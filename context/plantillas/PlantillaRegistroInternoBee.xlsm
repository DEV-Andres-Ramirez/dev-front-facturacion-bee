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Bee\ProcesoFacturacion\Plantillas\"/>
    </mc:Choice>
  </mc:AlternateContent>
  <xr:revisionPtr revIDLastSave="0" documentId="13_ncr:1_{082FB985-1168-4B22-8034-207027F1A3EF}" xr6:coauthVersionLast="47" xr6:coauthVersionMax="47" xr10:uidLastSave="{00000000-0000-0000-0000-000000000000}"/>
  <bookViews>
    <workbookView xWindow="-120" yWindow="-120" windowWidth="20730" windowHeight="11040" activeTab="1" xr2:uid="{697FD22D-5B91-4D77-8E8A-AD776F5B7BFD}"/>
  </bookViews>
  <sheets>
    <sheet name="Registro" sheetId="1" r:id="rId1"/>
    <sheet name="InfoFactura" sheetId="2" r:id="rId2"/>
    <sheet name="D" sheetId="3" r:id="rId3"/>
  </sheets>
  <functionGroups builtInGroupCount="19"/>
  <definedNames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" i="2" l="1"/>
  <c r="M41" i="2" s="1"/>
  <c r="E42" i="2"/>
  <c r="M42" i="2" s="1"/>
  <c r="E43" i="2"/>
  <c r="E44" i="2"/>
  <c r="E45" i="2"/>
  <c r="E46" i="2"/>
  <c r="M46" i="2" s="1"/>
  <c r="E47" i="2"/>
  <c r="M47" i="2" s="1"/>
  <c r="E48" i="2"/>
  <c r="M48" i="2" s="1"/>
  <c r="E49" i="2"/>
  <c r="E50" i="2"/>
  <c r="M50" i="2" s="1"/>
  <c r="E51" i="2"/>
  <c r="E40" i="2"/>
  <c r="E39" i="2"/>
  <c r="E38" i="2"/>
  <c r="M38" i="2" s="1"/>
  <c r="E37" i="2"/>
  <c r="M37" i="2" s="1"/>
  <c r="E36" i="2"/>
  <c r="M36" i="2" s="1"/>
  <c r="E35" i="2"/>
  <c r="M35" i="2" s="1"/>
  <c r="E34" i="2"/>
  <c r="M34" i="2" s="1"/>
  <c r="E33" i="2"/>
  <c r="M33" i="2" s="1"/>
  <c r="E32" i="2"/>
  <c r="M32" i="2" s="1"/>
  <c r="E31" i="2"/>
  <c r="M31" i="2" s="1"/>
  <c r="E30" i="2"/>
  <c r="M30" i="2" s="1"/>
  <c r="E29" i="2"/>
  <c r="M29" i="2" s="1"/>
  <c r="E28" i="2"/>
  <c r="M28" i="2" s="1"/>
  <c r="E27" i="2"/>
  <c r="M27" i="2" s="1"/>
  <c r="M39" i="2"/>
  <c r="M40" i="2"/>
  <c r="M43" i="2"/>
  <c r="M44" i="2"/>
  <c r="M45" i="2"/>
  <c r="M51" i="2"/>
  <c r="M49" i="2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2" i="2" s="1"/>
  <c r="A35" i="1"/>
  <c r="A33" i="2" s="1"/>
  <c r="A36" i="1"/>
  <c r="A34" i="2" s="1"/>
  <c r="A37" i="1"/>
  <c r="A38" i="1"/>
  <c r="A39" i="1"/>
  <c r="A40" i="1"/>
  <c r="A41" i="1"/>
  <c r="A42" i="1"/>
  <c r="A40" i="2" s="1"/>
  <c r="A43" i="1"/>
  <c r="A41" i="2" s="1"/>
  <c r="A44" i="1"/>
  <c r="A42" i="2" s="1"/>
  <c r="A45" i="1"/>
  <c r="A46" i="1"/>
  <c r="A44" i="2" s="1"/>
  <c r="A47" i="1"/>
  <c r="A48" i="1"/>
  <c r="A49" i="1"/>
  <c r="A47" i="2" s="1"/>
  <c r="A50" i="1"/>
  <c r="A51" i="1"/>
  <c r="A49" i="2" s="1"/>
  <c r="A52" i="1"/>
  <c r="A50" i="2" s="1"/>
  <c r="A53" i="1"/>
  <c r="A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4" i="1"/>
  <c r="G5" i="1"/>
  <c r="P5" i="1" s="1"/>
  <c r="G6" i="1"/>
  <c r="P6" i="1" s="1"/>
  <c r="G7" i="1"/>
  <c r="P7" i="1" s="1"/>
  <c r="G8" i="1"/>
  <c r="P8" i="1" s="1"/>
  <c r="G9" i="1"/>
  <c r="P9" i="1" s="1"/>
  <c r="G10" i="1"/>
  <c r="P10" i="1" s="1"/>
  <c r="G11" i="1"/>
  <c r="P11" i="1" s="1"/>
  <c r="G12" i="1"/>
  <c r="P12" i="1" s="1"/>
  <c r="G13" i="1"/>
  <c r="P13" i="1" s="1"/>
  <c r="G14" i="1"/>
  <c r="P14" i="1" s="1"/>
  <c r="G15" i="1"/>
  <c r="P15" i="1" s="1"/>
  <c r="G16" i="1"/>
  <c r="P16" i="1" s="1"/>
  <c r="G17" i="1"/>
  <c r="P17" i="1" s="1"/>
  <c r="G18" i="1"/>
  <c r="P18" i="1" s="1"/>
  <c r="G19" i="1"/>
  <c r="P19" i="1" s="1"/>
  <c r="G20" i="1"/>
  <c r="P20" i="1" s="1"/>
  <c r="G21" i="1"/>
  <c r="P21" i="1" s="1"/>
  <c r="G22" i="1"/>
  <c r="P22" i="1" s="1"/>
  <c r="G23" i="1"/>
  <c r="P23" i="1" s="1"/>
  <c r="G24" i="1"/>
  <c r="P24" i="1" s="1"/>
  <c r="G25" i="1"/>
  <c r="P25" i="1" s="1"/>
  <c r="G26" i="1"/>
  <c r="P26" i="1" s="1"/>
  <c r="G27" i="1"/>
  <c r="P27" i="1" s="1"/>
  <c r="G28" i="1"/>
  <c r="P28" i="1" s="1"/>
  <c r="G29" i="1"/>
  <c r="P29" i="1" s="1"/>
  <c r="G30" i="1"/>
  <c r="P30" i="1" s="1"/>
  <c r="G31" i="1"/>
  <c r="P31" i="1" s="1"/>
  <c r="G32" i="1"/>
  <c r="P32" i="1" s="1"/>
  <c r="G33" i="1"/>
  <c r="P33" i="1" s="1"/>
  <c r="G34" i="1"/>
  <c r="P34" i="1" s="1"/>
  <c r="G35" i="1"/>
  <c r="P35" i="1" s="1"/>
  <c r="G36" i="1"/>
  <c r="P36" i="1" s="1"/>
  <c r="G37" i="1"/>
  <c r="P37" i="1" s="1"/>
  <c r="G38" i="1"/>
  <c r="P38" i="1" s="1"/>
  <c r="G39" i="1"/>
  <c r="P39" i="1" s="1"/>
  <c r="G40" i="1"/>
  <c r="P40" i="1" s="1"/>
  <c r="G41" i="1"/>
  <c r="P41" i="1" s="1"/>
  <c r="G42" i="1"/>
  <c r="P42" i="1" s="1"/>
  <c r="G43" i="1"/>
  <c r="P43" i="1" s="1"/>
  <c r="G44" i="1"/>
  <c r="P44" i="1" s="1"/>
  <c r="G45" i="1"/>
  <c r="P45" i="1" s="1"/>
  <c r="G46" i="1"/>
  <c r="P46" i="1" s="1"/>
  <c r="G47" i="1"/>
  <c r="P47" i="1" s="1"/>
  <c r="G48" i="1"/>
  <c r="P48" i="1" s="1"/>
  <c r="G49" i="1"/>
  <c r="P49" i="1" s="1"/>
  <c r="G50" i="1"/>
  <c r="P50" i="1" s="1"/>
  <c r="G51" i="1"/>
  <c r="P51" i="1" s="1"/>
  <c r="G52" i="1"/>
  <c r="P52" i="1" s="1"/>
  <c r="G53" i="1"/>
  <c r="P53" i="1" s="1"/>
  <c r="G4" i="1"/>
  <c r="P4" i="1" s="1"/>
  <c r="L46" i="2"/>
  <c r="L47" i="2"/>
  <c r="L48" i="2"/>
  <c r="L49" i="2"/>
  <c r="L50" i="2"/>
  <c r="L51" i="2"/>
  <c r="A51" i="2"/>
  <c r="A48" i="2"/>
  <c r="A46" i="2"/>
  <c r="A45" i="2"/>
  <c r="A43" i="2"/>
  <c r="A39" i="2"/>
  <c r="A38" i="2"/>
  <c r="A37" i="2"/>
  <c r="A36" i="2"/>
  <c r="A35" i="2"/>
  <c r="A31" i="2"/>
  <c r="A30" i="2"/>
  <c r="A29" i="2"/>
  <c r="A18" i="2"/>
  <c r="D1" i="1"/>
  <c r="B4" i="1" s="1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D5" i="1"/>
  <c r="C18" i="2" s="1"/>
  <c r="D6" i="1"/>
  <c r="D7" i="1"/>
  <c r="D8" i="1"/>
  <c r="C12" i="2" s="1"/>
  <c r="D9" i="1"/>
  <c r="C25" i="2" s="1"/>
  <c r="D10" i="1"/>
  <c r="C2" i="2" s="1"/>
  <c r="D11" i="1"/>
  <c r="C14" i="2" s="1"/>
  <c r="D12" i="1"/>
  <c r="C26" i="2" s="1"/>
  <c r="D13" i="1"/>
  <c r="C7" i="2" s="1"/>
  <c r="D14" i="1"/>
  <c r="C8" i="2" s="1"/>
  <c r="D15" i="1"/>
  <c r="D16" i="1"/>
  <c r="C15" i="2" s="1"/>
  <c r="D17" i="1"/>
  <c r="C10" i="2" s="1"/>
  <c r="D18" i="1"/>
  <c r="C9" i="2" s="1"/>
  <c r="D19" i="1"/>
  <c r="C20" i="2" s="1"/>
  <c r="D20" i="1"/>
  <c r="C21" i="2" s="1"/>
  <c r="D21" i="1"/>
  <c r="C3" i="2" s="1"/>
  <c r="D22" i="1"/>
  <c r="D23" i="1"/>
  <c r="C11" i="2" s="1"/>
  <c r="D24" i="1"/>
  <c r="C23" i="2" s="1"/>
  <c r="D25" i="1"/>
  <c r="C16" i="2" s="1"/>
  <c r="D26" i="1"/>
  <c r="C19" i="2" s="1"/>
  <c r="D27" i="1"/>
  <c r="C24" i="2" s="1"/>
  <c r="D28" i="1"/>
  <c r="C5" i="2" s="1"/>
  <c r="D29" i="1"/>
  <c r="C27" i="2" s="1"/>
  <c r="D30" i="1"/>
  <c r="D31" i="1"/>
  <c r="C29" i="2" s="1"/>
  <c r="D32" i="1"/>
  <c r="C30" i="2" s="1"/>
  <c r="D33" i="1"/>
  <c r="C31" i="2" s="1"/>
  <c r="D34" i="1"/>
  <c r="C32" i="2" s="1"/>
  <c r="D35" i="1"/>
  <c r="C33" i="2" s="1"/>
  <c r="D36" i="1"/>
  <c r="C34" i="2" s="1"/>
  <c r="D37" i="1"/>
  <c r="C35" i="2" s="1"/>
  <c r="D38" i="1"/>
  <c r="C36" i="2" s="1"/>
  <c r="D39" i="1"/>
  <c r="C37" i="2" s="1"/>
  <c r="D40" i="1"/>
  <c r="C38" i="2" s="1"/>
  <c r="D41" i="1"/>
  <c r="C39" i="2" s="1"/>
  <c r="D42" i="1"/>
  <c r="C40" i="2" s="1"/>
  <c r="D43" i="1"/>
  <c r="C41" i="2" s="1"/>
  <c r="D44" i="1"/>
  <c r="C42" i="2" s="1"/>
  <c r="D45" i="1"/>
  <c r="C43" i="2" s="1"/>
  <c r="D46" i="1"/>
  <c r="C44" i="2" s="1"/>
  <c r="D47" i="1"/>
  <c r="D48" i="1"/>
  <c r="C46" i="2" s="1"/>
  <c r="D49" i="1"/>
  <c r="C47" i="2" s="1"/>
  <c r="D50" i="1"/>
  <c r="C48" i="2" s="1"/>
  <c r="D51" i="1"/>
  <c r="C49" i="2" s="1"/>
  <c r="D52" i="1"/>
  <c r="C50" i="2" s="1"/>
  <c r="D53" i="1"/>
  <c r="C51" i="2" s="1"/>
  <c r="D4" i="1"/>
  <c r="C6" i="2" s="1"/>
  <c r="C45" i="2"/>
  <c r="C28" i="2"/>
  <c r="C22" i="2"/>
  <c r="C17" i="2"/>
  <c r="C13" i="2"/>
  <c r="C4" i="2"/>
  <c r="E26" i="2" l="1"/>
  <c r="M26" i="2" s="1"/>
  <c r="E25" i="2"/>
  <c r="M25" i="2" s="1"/>
  <c r="E24" i="2"/>
  <c r="M24" i="2" s="1"/>
  <c r="E23" i="2"/>
  <c r="M23" i="2" s="1"/>
  <c r="E22" i="2"/>
  <c r="M22" i="2" s="1"/>
  <c r="E21" i="2"/>
  <c r="M21" i="2" s="1"/>
  <c r="E20" i="2"/>
  <c r="M20" i="2" s="1"/>
  <c r="E19" i="2"/>
  <c r="M19" i="2" s="1"/>
  <c r="E18" i="2"/>
  <c r="E17" i="2"/>
  <c r="M17" i="2" s="1"/>
  <c r="E16" i="2"/>
  <c r="M16" i="2" s="1"/>
  <c r="E15" i="2"/>
  <c r="M15" i="2" s="1"/>
  <c r="E14" i="2"/>
  <c r="M14" i="2" s="1"/>
  <c r="E13" i="2"/>
  <c r="M13" i="2" s="1"/>
  <c r="E12" i="2"/>
  <c r="M12" i="2" s="1"/>
  <c r="E11" i="2"/>
  <c r="M11" i="2" s="1"/>
  <c r="E10" i="2"/>
  <c r="M10" i="2" s="1"/>
  <c r="E9" i="2"/>
  <c r="M9" i="2" s="1"/>
  <c r="E8" i="2"/>
  <c r="M8" i="2" s="1"/>
  <c r="E7" i="2"/>
  <c r="M7" i="2" s="1"/>
  <c r="E6" i="2"/>
  <c r="M6" i="2" s="1"/>
  <c r="E5" i="2"/>
  <c r="M5" i="2" s="1"/>
  <c r="E4" i="2"/>
  <c r="M4" i="2" s="1"/>
  <c r="M18" i="2"/>
  <c r="E3" i="2"/>
  <c r="M3" i="2" s="1"/>
  <c r="E2" i="2"/>
  <c r="M2" i="2" s="1"/>
  <c r="B5" i="1"/>
  <c r="B16" i="1" a="1"/>
  <c r="B16" i="1" s="1"/>
  <c r="B47" i="1" a="1"/>
  <c r="B47" i="1" s="1"/>
  <c r="B45" i="2" s="1"/>
  <c r="B17" i="1" a="1"/>
  <c r="B17" i="1" s="1"/>
  <c r="B10" i="1" a="1"/>
  <c r="B10" i="1" s="1"/>
  <c r="B18" i="1" a="1"/>
  <c r="B18" i="1" s="1"/>
  <c r="B26" i="1" a="1"/>
  <c r="B26" i="1" s="1"/>
  <c r="B11" i="1" a="1"/>
  <c r="B11" i="1" s="1"/>
  <c r="B19" i="1" a="1"/>
  <c r="B19" i="1" s="1"/>
  <c r="B12" i="1" a="1"/>
  <c r="B12" i="1" s="1"/>
  <c r="B20" i="1" a="1"/>
  <c r="B20" i="1" s="1"/>
  <c r="B36" i="1" a="1"/>
  <c r="B36" i="1" s="1"/>
  <c r="B34" i="2" s="1"/>
  <c r="B44" i="1" a="1"/>
  <c r="B44" i="1" s="1"/>
  <c r="B42" i="2" s="1"/>
  <c r="B52" i="1" a="1"/>
  <c r="B52" i="1" s="1"/>
  <c r="B50" i="2" s="1"/>
  <c r="B9" i="1" a="1"/>
  <c r="B9" i="1" s="1"/>
  <c r="B13" i="1" a="1"/>
  <c r="B13" i="1" s="1"/>
  <c r="B29" i="1" a="1"/>
  <c r="B29" i="1" s="1"/>
  <c r="B6" i="1" a="1"/>
  <c r="B6" i="1" s="1"/>
  <c r="B22" i="1" a="1"/>
  <c r="B22" i="1" s="1"/>
  <c r="B30" i="1" a="1"/>
  <c r="B30" i="1" s="1"/>
  <c r="B24" i="1" a="1"/>
  <c r="B24" i="1" s="1"/>
  <c r="B7" i="1" a="1"/>
  <c r="B7" i="1" s="1"/>
  <c r="B15" i="1" a="1"/>
  <c r="B15" i="1" s="1"/>
  <c r="B23" i="1" a="1"/>
  <c r="B23" i="1" s="1"/>
  <c r="B25" i="1" a="1"/>
  <c r="B25" i="1" s="1"/>
  <c r="B41" i="1" a="1"/>
  <c r="B41" i="1" s="1"/>
  <c r="B39" i="2" s="1"/>
  <c r="B31" i="1" a="1"/>
  <c r="B31" i="1" s="1"/>
  <c r="B29" i="2" s="1"/>
  <c r="B32" i="1" a="1"/>
  <c r="B32" i="1" s="1"/>
  <c r="B30" i="2" s="1"/>
  <c r="B40" i="1" a="1"/>
  <c r="B40" i="1" s="1"/>
  <c r="B38" i="2" s="1"/>
  <c r="B48" i="1" a="1"/>
  <c r="B48" i="1" s="1"/>
  <c r="B46" i="2" s="1"/>
  <c r="B21" i="1" a="1"/>
  <c r="B21" i="1" s="1"/>
  <c r="B33" i="1" a="1"/>
  <c r="B33" i="1" s="1"/>
  <c r="B31" i="2" s="1"/>
  <c r="B49" i="1" a="1"/>
  <c r="B49" i="1" s="1"/>
  <c r="B47" i="2" s="1"/>
  <c r="B39" i="1" a="1"/>
  <c r="B39" i="1" s="1"/>
  <c r="B37" i="2" s="1"/>
  <c r="B8" i="1" a="1"/>
  <c r="B8" i="1" s="1"/>
  <c r="B34" i="1" a="1"/>
  <c r="B34" i="1" s="1"/>
  <c r="B32" i="2" s="1"/>
  <c r="B42" i="1" a="1"/>
  <c r="B42" i="1" s="1"/>
  <c r="B40" i="2" s="1"/>
  <c r="B50" i="1" a="1"/>
  <c r="B50" i="1" s="1"/>
  <c r="B48" i="2" s="1"/>
  <c r="B35" i="1" a="1"/>
  <c r="B35" i="1" s="1"/>
  <c r="B33" i="2" s="1"/>
  <c r="B43" i="1" a="1"/>
  <c r="B43" i="1" s="1"/>
  <c r="B41" i="2" s="1"/>
  <c r="B51" i="1" a="1"/>
  <c r="B51" i="1" s="1"/>
  <c r="B49" i="2" s="1"/>
  <c r="B37" i="1" a="1"/>
  <c r="B37" i="1" s="1"/>
  <c r="B35" i="2" s="1"/>
  <c r="B45" i="1" a="1"/>
  <c r="B45" i="1" s="1"/>
  <c r="B43" i="2" s="1"/>
  <c r="B53" i="1" a="1"/>
  <c r="B53" i="1" s="1"/>
  <c r="B51" i="2" s="1"/>
  <c r="B38" i="1" a="1"/>
  <c r="B38" i="1" s="1"/>
  <c r="B36" i="2" s="1"/>
  <c r="B46" i="1" a="1"/>
  <c r="B46" i="1" s="1"/>
  <c r="B44" i="2" s="1"/>
  <c r="B14" i="1" l="1" a="1"/>
  <c r="B14" i="1" s="1"/>
  <c r="B27" i="1" s="1" a="1"/>
  <c r="B27" i="1" s="1"/>
  <c r="B28" i="1" l="1" a="1"/>
  <c r="B28" i="1" s="1"/>
  <c r="F18" i="2"/>
  <c r="F17" i="2"/>
  <c r="F13" i="2"/>
  <c r="F12" i="2"/>
  <c r="F25" i="2"/>
  <c r="F2" i="2"/>
  <c r="F14" i="2"/>
  <c r="F26" i="2"/>
  <c r="F7" i="2"/>
  <c r="F8" i="2"/>
  <c r="F22" i="2"/>
  <c r="F15" i="2"/>
  <c r="F10" i="2"/>
  <c r="F9" i="2"/>
  <c r="F20" i="2"/>
  <c r="F21" i="2"/>
  <c r="F3" i="2"/>
  <c r="F4" i="2"/>
  <c r="F11" i="2"/>
  <c r="F23" i="2"/>
  <c r="F16" i="2"/>
  <c r="F19" i="2"/>
  <c r="F24" i="2"/>
  <c r="F5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6" i="2"/>
  <c r="J18" i="2"/>
  <c r="J17" i="2"/>
  <c r="J13" i="2"/>
  <c r="J12" i="2"/>
  <c r="J25" i="2"/>
  <c r="J2" i="2"/>
  <c r="J14" i="2"/>
  <c r="J26" i="2"/>
  <c r="J7" i="2"/>
  <c r="J8" i="2"/>
  <c r="J22" i="2"/>
  <c r="J15" i="2"/>
  <c r="J10" i="2"/>
  <c r="J9" i="2"/>
  <c r="J20" i="2"/>
  <c r="J21" i="2"/>
  <c r="J3" i="2"/>
  <c r="J4" i="2"/>
  <c r="J11" i="2"/>
  <c r="J23" i="2"/>
  <c r="J16" i="2"/>
  <c r="J19" i="2"/>
  <c r="J24" i="2"/>
  <c r="J5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6" i="2"/>
  <c r="I18" i="2"/>
  <c r="I17" i="2"/>
  <c r="I13" i="2"/>
  <c r="I12" i="2"/>
  <c r="I25" i="2"/>
  <c r="I2" i="2"/>
  <c r="I14" i="2"/>
  <c r="I26" i="2"/>
  <c r="I7" i="2"/>
  <c r="I8" i="2"/>
  <c r="I22" i="2"/>
  <c r="I15" i="2"/>
  <c r="I10" i="2"/>
  <c r="I9" i="2"/>
  <c r="I20" i="2"/>
  <c r="I21" i="2"/>
  <c r="I3" i="2"/>
  <c r="I4" i="2"/>
  <c r="I11" i="2"/>
  <c r="I23" i="2"/>
  <c r="I16" i="2"/>
  <c r="I19" i="2"/>
  <c r="I24" i="2"/>
  <c r="I5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6" i="2"/>
  <c r="H18" i="2"/>
  <c r="H17" i="2"/>
  <c r="H13" i="2"/>
  <c r="H12" i="2"/>
  <c r="H25" i="2"/>
  <c r="H2" i="2"/>
  <c r="H14" i="2"/>
  <c r="H26" i="2"/>
  <c r="H7" i="2"/>
  <c r="H8" i="2"/>
  <c r="H22" i="2"/>
  <c r="H15" i="2"/>
  <c r="H10" i="2"/>
  <c r="H9" i="2"/>
  <c r="H20" i="2"/>
  <c r="H21" i="2"/>
  <c r="H3" i="2"/>
  <c r="H4" i="2"/>
  <c r="H11" i="2"/>
  <c r="H23" i="2"/>
  <c r="H16" i="2"/>
  <c r="H19" i="2"/>
  <c r="H24" i="2"/>
  <c r="H5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6" i="2"/>
  <c r="G18" i="2"/>
  <c r="G17" i="2"/>
  <c r="G13" i="2"/>
  <c r="G12" i="2"/>
  <c r="G25" i="2"/>
  <c r="G2" i="2"/>
  <c r="G14" i="2"/>
  <c r="G26" i="2"/>
  <c r="G7" i="2"/>
  <c r="G8" i="2"/>
  <c r="G22" i="2"/>
  <c r="G15" i="2"/>
  <c r="G10" i="2"/>
  <c r="G9" i="2"/>
  <c r="G20" i="2"/>
  <c r="G21" i="2"/>
  <c r="G3" i="2"/>
  <c r="G4" i="2"/>
  <c r="G11" i="2"/>
  <c r="G23" i="2"/>
  <c r="G16" i="2"/>
  <c r="G19" i="2"/>
  <c r="G24" i="2"/>
  <c r="G5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6" i="2"/>
  <c r="A17" i="2"/>
  <c r="A13" i="2"/>
  <c r="A12" i="2"/>
  <c r="A25" i="2"/>
  <c r="A2" i="2"/>
  <c r="A14" i="2"/>
  <c r="A26" i="2"/>
  <c r="A7" i="2"/>
  <c r="A8" i="2"/>
  <c r="A22" i="2"/>
  <c r="A15" i="2"/>
  <c r="A10" i="2"/>
  <c r="A9" i="2"/>
  <c r="A20" i="2"/>
  <c r="A21" i="2"/>
  <c r="A3" i="2"/>
  <c r="A4" i="2"/>
  <c r="A11" i="2"/>
  <c r="A23" i="2"/>
  <c r="A16" i="2"/>
  <c r="A19" i="2"/>
  <c r="A24" i="2"/>
  <c r="A5" i="2"/>
  <c r="A27" i="2"/>
  <c r="A28" i="2"/>
  <c r="A6" i="2"/>
  <c r="L5" i="1"/>
  <c r="L6" i="1"/>
  <c r="L7" i="1"/>
  <c r="L8" i="1"/>
  <c r="L9" i="1"/>
  <c r="L10" i="1"/>
  <c r="M10" i="1" s="1"/>
  <c r="K2" i="2" s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M42" i="1" s="1"/>
  <c r="K40" i="2" s="1"/>
  <c r="L43" i="1"/>
  <c r="L44" i="1"/>
  <c r="L45" i="1"/>
  <c r="L46" i="1"/>
  <c r="L47" i="1"/>
  <c r="L48" i="1"/>
  <c r="L49" i="1"/>
  <c r="L50" i="1"/>
  <c r="L51" i="1"/>
  <c r="L52" i="1"/>
  <c r="L53" i="1"/>
  <c r="L4" i="1"/>
  <c r="N42" i="1" a="1"/>
  <c r="N10" i="1" a="1"/>
  <c r="F17" i="3" l="1"/>
  <c r="F25" i="3"/>
  <c r="F33" i="3"/>
  <c r="F41" i="3"/>
  <c r="F49" i="3"/>
  <c r="F57" i="3"/>
  <c r="F65" i="3"/>
  <c r="F73" i="3"/>
  <c r="F81" i="3"/>
  <c r="F89" i="3"/>
  <c r="F97" i="3"/>
  <c r="F105" i="3"/>
  <c r="F113" i="3"/>
  <c r="F121" i="3"/>
  <c r="F129" i="3"/>
  <c r="F137" i="3"/>
  <c r="F145" i="3"/>
  <c r="F153" i="3"/>
  <c r="F161" i="3"/>
  <c r="F169" i="3"/>
  <c r="F177" i="3"/>
  <c r="F185" i="3"/>
  <c r="F193" i="3"/>
  <c r="F201" i="3"/>
  <c r="F209" i="3"/>
  <c r="F217" i="3"/>
  <c r="F225" i="3"/>
  <c r="F233" i="3"/>
  <c r="F241" i="3"/>
  <c r="F249" i="3"/>
  <c r="F257" i="3"/>
  <c r="F265" i="3"/>
  <c r="F273" i="3"/>
  <c r="F281" i="3"/>
  <c r="F289" i="3"/>
  <c r="F297" i="3"/>
  <c r="F305" i="3"/>
  <c r="F313" i="3"/>
  <c r="F321" i="3"/>
  <c r="F329" i="3"/>
  <c r="F337" i="3"/>
  <c r="F345" i="3"/>
  <c r="F353" i="3"/>
  <c r="F361" i="3"/>
  <c r="F369" i="3"/>
  <c r="F377" i="3"/>
  <c r="F385" i="3"/>
  <c r="F393" i="3"/>
  <c r="F401" i="3"/>
  <c r="F409" i="3"/>
  <c r="F417" i="3"/>
  <c r="F425" i="3"/>
  <c r="F433" i="3"/>
  <c r="F441" i="3"/>
  <c r="F449" i="3"/>
  <c r="F457" i="3"/>
  <c r="F465" i="3"/>
  <c r="F473" i="3"/>
  <c r="F481" i="3"/>
  <c r="F489" i="3"/>
  <c r="F497" i="3"/>
  <c r="F128" i="3"/>
  <c r="F320" i="3"/>
  <c r="F392" i="3"/>
  <c r="F456" i="3"/>
  <c r="F18" i="3"/>
  <c r="F34" i="3"/>
  <c r="F42" i="3"/>
  <c r="F50" i="3"/>
  <c r="F58" i="3"/>
  <c r="F66" i="3"/>
  <c r="F74" i="3"/>
  <c r="F82" i="3"/>
  <c r="F90" i="3"/>
  <c r="F98" i="3"/>
  <c r="F106" i="3"/>
  <c r="F114" i="3"/>
  <c r="F122" i="3"/>
  <c r="F130" i="3"/>
  <c r="F138" i="3"/>
  <c r="F146" i="3"/>
  <c r="F154" i="3"/>
  <c r="F162" i="3"/>
  <c r="F170" i="3"/>
  <c r="F178" i="3"/>
  <c r="F186" i="3"/>
  <c r="F194" i="3"/>
  <c r="F202" i="3"/>
  <c r="F210" i="3"/>
  <c r="F218" i="3"/>
  <c r="F226" i="3"/>
  <c r="F234" i="3"/>
  <c r="F242" i="3"/>
  <c r="F250" i="3"/>
  <c r="F258" i="3"/>
  <c r="F266" i="3"/>
  <c r="F274" i="3"/>
  <c r="F282" i="3"/>
  <c r="F290" i="3"/>
  <c r="F298" i="3"/>
  <c r="F306" i="3"/>
  <c r="F314" i="3"/>
  <c r="F322" i="3"/>
  <c r="F330" i="3"/>
  <c r="F338" i="3"/>
  <c r="F346" i="3"/>
  <c r="F354" i="3"/>
  <c r="F362" i="3"/>
  <c r="F370" i="3"/>
  <c r="F378" i="3"/>
  <c r="F386" i="3"/>
  <c r="F394" i="3"/>
  <c r="F402" i="3"/>
  <c r="F410" i="3"/>
  <c r="F418" i="3"/>
  <c r="F426" i="3"/>
  <c r="F434" i="3"/>
  <c r="F442" i="3"/>
  <c r="F450" i="3"/>
  <c r="F458" i="3"/>
  <c r="F466" i="3"/>
  <c r="F474" i="3"/>
  <c r="F482" i="3"/>
  <c r="F490" i="3"/>
  <c r="F498" i="3"/>
  <c r="F24" i="3"/>
  <c r="F56" i="3"/>
  <c r="F96" i="3"/>
  <c r="F144" i="3"/>
  <c r="F184" i="3"/>
  <c r="F232" i="3"/>
  <c r="F280" i="3"/>
  <c r="F328" i="3"/>
  <c r="F376" i="3"/>
  <c r="F432" i="3"/>
  <c r="F488" i="3"/>
  <c r="F3" i="3"/>
  <c r="F19" i="3"/>
  <c r="F27" i="3"/>
  <c r="F35" i="3"/>
  <c r="F43" i="3"/>
  <c r="F51" i="3"/>
  <c r="F59" i="3"/>
  <c r="F67" i="3"/>
  <c r="F75" i="3"/>
  <c r="F83" i="3"/>
  <c r="F91" i="3"/>
  <c r="F99" i="3"/>
  <c r="F107" i="3"/>
  <c r="F115" i="3"/>
  <c r="F123" i="3"/>
  <c r="F131" i="3"/>
  <c r="F139" i="3"/>
  <c r="F147" i="3"/>
  <c r="F155" i="3"/>
  <c r="F163" i="3"/>
  <c r="F171" i="3"/>
  <c r="F179" i="3"/>
  <c r="F187" i="3"/>
  <c r="F195" i="3"/>
  <c r="F203" i="3"/>
  <c r="F211" i="3"/>
  <c r="F219" i="3"/>
  <c r="F227" i="3"/>
  <c r="F235" i="3"/>
  <c r="F243" i="3"/>
  <c r="F251" i="3"/>
  <c r="F259" i="3"/>
  <c r="F267" i="3"/>
  <c r="F275" i="3"/>
  <c r="F283" i="3"/>
  <c r="F291" i="3"/>
  <c r="F299" i="3"/>
  <c r="F307" i="3"/>
  <c r="F315" i="3"/>
  <c r="F323" i="3"/>
  <c r="F331" i="3"/>
  <c r="F339" i="3"/>
  <c r="F347" i="3"/>
  <c r="F355" i="3"/>
  <c r="F363" i="3"/>
  <c r="F371" i="3"/>
  <c r="F379" i="3"/>
  <c r="F387" i="3"/>
  <c r="F395" i="3"/>
  <c r="F403" i="3"/>
  <c r="F411" i="3"/>
  <c r="F419" i="3"/>
  <c r="F427" i="3"/>
  <c r="F435" i="3"/>
  <c r="F443" i="3"/>
  <c r="F451" i="3"/>
  <c r="F459" i="3"/>
  <c r="F467" i="3"/>
  <c r="F475" i="3"/>
  <c r="F483" i="3"/>
  <c r="F491" i="3"/>
  <c r="F499" i="3"/>
  <c r="F8" i="3"/>
  <c r="F80" i="3"/>
  <c r="F120" i="3"/>
  <c r="F192" i="3"/>
  <c r="F240" i="3"/>
  <c r="F288" i="3"/>
  <c r="F344" i="3"/>
  <c r="F400" i="3"/>
  <c r="F448" i="3"/>
  <c r="F4" i="3"/>
  <c r="F28" i="3"/>
  <c r="F36" i="3"/>
  <c r="F44" i="3"/>
  <c r="F52" i="3"/>
  <c r="F60" i="3"/>
  <c r="F68" i="3"/>
  <c r="F76" i="3"/>
  <c r="F84" i="3"/>
  <c r="F92" i="3"/>
  <c r="F100" i="3"/>
  <c r="F108" i="3"/>
  <c r="F116" i="3"/>
  <c r="F124" i="3"/>
  <c r="F132" i="3"/>
  <c r="F140" i="3"/>
  <c r="F148" i="3"/>
  <c r="F156" i="3"/>
  <c r="F164" i="3"/>
  <c r="F172" i="3"/>
  <c r="F180" i="3"/>
  <c r="F188" i="3"/>
  <c r="F196" i="3"/>
  <c r="F204" i="3"/>
  <c r="F212" i="3"/>
  <c r="F220" i="3"/>
  <c r="F228" i="3"/>
  <c r="F236" i="3"/>
  <c r="F244" i="3"/>
  <c r="F252" i="3"/>
  <c r="F260" i="3"/>
  <c r="F268" i="3"/>
  <c r="F276" i="3"/>
  <c r="F284" i="3"/>
  <c r="F292" i="3"/>
  <c r="F300" i="3"/>
  <c r="F308" i="3"/>
  <c r="F316" i="3"/>
  <c r="F324" i="3"/>
  <c r="F332" i="3"/>
  <c r="F340" i="3"/>
  <c r="F348" i="3"/>
  <c r="F356" i="3"/>
  <c r="F364" i="3"/>
  <c r="F372" i="3"/>
  <c r="F380" i="3"/>
  <c r="F388" i="3"/>
  <c r="F396" i="3"/>
  <c r="F404" i="3"/>
  <c r="F412" i="3"/>
  <c r="F420" i="3"/>
  <c r="F428" i="3"/>
  <c r="F436" i="3"/>
  <c r="F444" i="3"/>
  <c r="F452" i="3"/>
  <c r="F460" i="3"/>
  <c r="F468" i="3"/>
  <c r="F476" i="3"/>
  <c r="F484" i="3"/>
  <c r="F492" i="3"/>
  <c r="F500" i="3"/>
  <c r="F72" i="3"/>
  <c r="F112" i="3"/>
  <c r="F168" i="3"/>
  <c r="F208" i="3"/>
  <c r="F248" i="3"/>
  <c r="F296" i="3"/>
  <c r="F352" i="3"/>
  <c r="F408" i="3"/>
  <c r="F464" i="3"/>
  <c r="F5" i="3"/>
  <c r="F13" i="3"/>
  <c r="F21" i="3"/>
  <c r="F29" i="3"/>
  <c r="F37" i="3"/>
  <c r="F45" i="3"/>
  <c r="F53" i="3"/>
  <c r="F61" i="3"/>
  <c r="F69" i="3"/>
  <c r="F77" i="3"/>
  <c r="F85" i="3"/>
  <c r="F93" i="3"/>
  <c r="F101" i="3"/>
  <c r="F109" i="3"/>
  <c r="F117" i="3"/>
  <c r="F125" i="3"/>
  <c r="F133" i="3"/>
  <c r="F141" i="3"/>
  <c r="F149" i="3"/>
  <c r="F157" i="3"/>
  <c r="F165" i="3"/>
  <c r="F173" i="3"/>
  <c r="F181" i="3"/>
  <c r="F189" i="3"/>
  <c r="F197" i="3"/>
  <c r="F205" i="3"/>
  <c r="F213" i="3"/>
  <c r="F221" i="3"/>
  <c r="F229" i="3"/>
  <c r="F237" i="3"/>
  <c r="F245" i="3"/>
  <c r="F253" i="3"/>
  <c r="F261" i="3"/>
  <c r="F269" i="3"/>
  <c r="F277" i="3"/>
  <c r="F285" i="3"/>
  <c r="F293" i="3"/>
  <c r="F301" i="3"/>
  <c r="F309" i="3"/>
  <c r="F317" i="3"/>
  <c r="F325" i="3"/>
  <c r="F333" i="3"/>
  <c r="F341" i="3"/>
  <c r="F349" i="3"/>
  <c r="F357" i="3"/>
  <c r="F365" i="3"/>
  <c r="F373" i="3"/>
  <c r="F381" i="3"/>
  <c r="F389" i="3"/>
  <c r="F397" i="3"/>
  <c r="F405" i="3"/>
  <c r="F413" i="3"/>
  <c r="F421" i="3"/>
  <c r="F429" i="3"/>
  <c r="F437" i="3"/>
  <c r="F445" i="3"/>
  <c r="F453" i="3"/>
  <c r="F461" i="3"/>
  <c r="F469" i="3"/>
  <c r="F477" i="3"/>
  <c r="F485" i="3"/>
  <c r="F493" i="3"/>
  <c r="F32" i="3"/>
  <c r="F64" i="3"/>
  <c r="F88" i="3"/>
  <c r="F136" i="3"/>
  <c r="F176" i="3"/>
  <c r="F224" i="3"/>
  <c r="F272" i="3"/>
  <c r="F336" i="3"/>
  <c r="F384" i="3"/>
  <c r="F440" i="3"/>
  <c r="F496" i="3"/>
  <c r="F6" i="3"/>
  <c r="F22" i="3"/>
  <c r="F30" i="3"/>
  <c r="F38" i="3"/>
  <c r="F46" i="3"/>
  <c r="F54" i="3"/>
  <c r="F62" i="3"/>
  <c r="F70" i="3"/>
  <c r="F78" i="3"/>
  <c r="F86" i="3"/>
  <c r="F94" i="3"/>
  <c r="F102" i="3"/>
  <c r="F110" i="3"/>
  <c r="F118" i="3"/>
  <c r="F126" i="3"/>
  <c r="F134" i="3"/>
  <c r="F142" i="3"/>
  <c r="F150" i="3"/>
  <c r="F158" i="3"/>
  <c r="F166" i="3"/>
  <c r="F174" i="3"/>
  <c r="F182" i="3"/>
  <c r="F190" i="3"/>
  <c r="F198" i="3"/>
  <c r="F206" i="3"/>
  <c r="F214" i="3"/>
  <c r="F222" i="3"/>
  <c r="F230" i="3"/>
  <c r="F238" i="3"/>
  <c r="F246" i="3"/>
  <c r="F254" i="3"/>
  <c r="F262" i="3"/>
  <c r="F270" i="3"/>
  <c r="F278" i="3"/>
  <c r="F286" i="3"/>
  <c r="F294" i="3"/>
  <c r="F302" i="3"/>
  <c r="F310" i="3"/>
  <c r="F318" i="3"/>
  <c r="F326" i="3"/>
  <c r="F334" i="3"/>
  <c r="F342" i="3"/>
  <c r="F350" i="3"/>
  <c r="F358" i="3"/>
  <c r="F366" i="3"/>
  <c r="F374" i="3"/>
  <c r="F382" i="3"/>
  <c r="F390" i="3"/>
  <c r="F398" i="3"/>
  <c r="F406" i="3"/>
  <c r="F414" i="3"/>
  <c r="F422" i="3"/>
  <c r="F430" i="3"/>
  <c r="F438" i="3"/>
  <c r="F446" i="3"/>
  <c r="F454" i="3"/>
  <c r="F462" i="3"/>
  <c r="F470" i="3"/>
  <c r="F478" i="3"/>
  <c r="F486" i="3"/>
  <c r="F494" i="3"/>
  <c r="F48" i="3"/>
  <c r="F104" i="3"/>
  <c r="F160" i="3"/>
  <c r="F200" i="3"/>
  <c r="F256" i="3"/>
  <c r="F304" i="3"/>
  <c r="F360" i="3"/>
  <c r="F416" i="3"/>
  <c r="F480" i="3"/>
  <c r="F7" i="3"/>
  <c r="F15" i="3"/>
  <c r="F23" i="3"/>
  <c r="F31" i="3"/>
  <c r="F39" i="3"/>
  <c r="F47" i="3"/>
  <c r="F55" i="3"/>
  <c r="F63" i="3"/>
  <c r="F71" i="3"/>
  <c r="F79" i="3"/>
  <c r="F87" i="3"/>
  <c r="F95" i="3"/>
  <c r="F103" i="3"/>
  <c r="F111" i="3"/>
  <c r="F119" i="3"/>
  <c r="F127" i="3"/>
  <c r="F135" i="3"/>
  <c r="F143" i="3"/>
  <c r="F151" i="3"/>
  <c r="F159" i="3"/>
  <c r="F167" i="3"/>
  <c r="F175" i="3"/>
  <c r="F183" i="3"/>
  <c r="F191" i="3"/>
  <c r="F199" i="3"/>
  <c r="F207" i="3"/>
  <c r="F215" i="3"/>
  <c r="F223" i="3"/>
  <c r="F231" i="3"/>
  <c r="F239" i="3"/>
  <c r="F247" i="3"/>
  <c r="F255" i="3"/>
  <c r="F263" i="3"/>
  <c r="F271" i="3"/>
  <c r="F279" i="3"/>
  <c r="F287" i="3"/>
  <c r="F295" i="3"/>
  <c r="F303" i="3"/>
  <c r="F311" i="3"/>
  <c r="F319" i="3"/>
  <c r="F327" i="3"/>
  <c r="F335" i="3"/>
  <c r="F343" i="3"/>
  <c r="F351" i="3"/>
  <c r="F359" i="3"/>
  <c r="F367" i="3"/>
  <c r="F375" i="3"/>
  <c r="F383" i="3"/>
  <c r="F391" i="3"/>
  <c r="F399" i="3"/>
  <c r="F407" i="3"/>
  <c r="F415" i="3"/>
  <c r="F423" i="3"/>
  <c r="F431" i="3"/>
  <c r="F439" i="3"/>
  <c r="F447" i="3"/>
  <c r="F455" i="3"/>
  <c r="F463" i="3"/>
  <c r="F471" i="3"/>
  <c r="F479" i="3"/>
  <c r="F487" i="3"/>
  <c r="F495" i="3"/>
  <c r="F40" i="3"/>
  <c r="F152" i="3"/>
  <c r="F216" i="3"/>
  <c r="F264" i="3"/>
  <c r="F312" i="3"/>
  <c r="F368" i="3"/>
  <c r="F424" i="3"/>
  <c r="F472" i="3"/>
  <c r="M45" i="1"/>
  <c r="M44" i="1"/>
  <c r="M51" i="1"/>
  <c r="M43" i="1"/>
  <c r="M35" i="1"/>
  <c r="M27" i="1"/>
  <c r="M19" i="1"/>
  <c r="K20" i="2" s="1"/>
  <c r="M11" i="1"/>
  <c r="M37" i="1"/>
  <c r="M12" i="1"/>
  <c r="M50" i="1"/>
  <c r="M34" i="1"/>
  <c r="M18" i="1"/>
  <c r="M46" i="1"/>
  <c r="M6" i="1"/>
  <c r="K17" i="2" s="1"/>
  <c r="M29" i="1"/>
  <c r="M28" i="1"/>
  <c r="M25" i="1"/>
  <c r="M9" i="1"/>
  <c r="K25" i="2" s="1"/>
  <c r="M30" i="1"/>
  <c r="M13" i="1"/>
  <c r="M36" i="1"/>
  <c r="M41" i="1"/>
  <c r="M40" i="1"/>
  <c r="K38" i="2" s="1"/>
  <c r="M32" i="1"/>
  <c r="M16" i="1"/>
  <c r="M8" i="1"/>
  <c r="K12" i="2" s="1"/>
  <c r="M38" i="1"/>
  <c r="K36" i="2" s="1"/>
  <c r="M53" i="1"/>
  <c r="M21" i="1"/>
  <c r="M52" i="1"/>
  <c r="M20" i="1"/>
  <c r="M49" i="1"/>
  <c r="M33" i="1"/>
  <c r="M17" i="1"/>
  <c r="K10" i="2" s="1"/>
  <c r="M48" i="1"/>
  <c r="M47" i="1"/>
  <c r="M39" i="1"/>
  <c r="M31" i="1"/>
  <c r="M15" i="1"/>
  <c r="K22" i="2" s="1"/>
  <c r="B28" i="2"/>
  <c r="B27" i="2"/>
  <c r="M26" i="1"/>
  <c r="M24" i="1"/>
  <c r="M23" i="1"/>
  <c r="M22" i="1"/>
  <c r="M14" i="1"/>
  <c r="M7" i="1"/>
  <c r="M5" i="1"/>
  <c r="M4" i="1"/>
  <c r="N42" i="1"/>
  <c r="L34" i="2" s="1"/>
  <c r="N10" i="1"/>
  <c r="L2" i="2" s="1"/>
  <c r="B24" i="2"/>
  <c r="F20" i="3" s="1"/>
  <c r="B5" i="2"/>
  <c r="F10" i="3" s="1"/>
  <c r="B2" i="2"/>
  <c r="B19" i="2"/>
  <c r="B15" i="2"/>
  <c r="B17" i="2"/>
  <c r="B20" i="2"/>
  <c r="B4" i="2"/>
  <c r="B25" i="2"/>
  <c r="B23" i="2"/>
  <c r="B13" i="2"/>
  <c r="B14" i="2"/>
  <c r="B10" i="2"/>
  <c r="B26" i="2"/>
  <c r="B22" i="2"/>
  <c r="B16" i="2"/>
  <c r="B21" i="2"/>
  <c r="B11" i="2"/>
  <c r="B7" i="2"/>
  <c r="B6" i="2"/>
  <c r="B9" i="2"/>
  <c r="B3" i="2"/>
  <c r="B12" i="2"/>
  <c r="B8" i="2"/>
  <c r="F9" i="3" s="1"/>
  <c r="B18" i="2"/>
  <c r="F2" i="3" s="1"/>
  <c r="N45" i="1" a="1"/>
  <c r="N35" i="1" a="1"/>
  <c r="N37" i="1" a="1"/>
  <c r="N32" i="1" a="1"/>
  <c r="N53" i="1" a="1"/>
  <c r="N49" i="1" a="1"/>
  <c r="N47" i="1" a="1"/>
  <c r="N38" i="1" a="1"/>
  <c r="N44" i="1" a="1"/>
  <c r="N46" i="1" a="1"/>
  <c r="N36" i="1" a="1"/>
  <c r="N33" i="1" a="1"/>
  <c r="N39" i="1" a="1"/>
  <c r="N40" i="1" a="1"/>
  <c r="N51" i="1" a="1"/>
  <c r="N50" i="1" a="1"/>
  <c r="N41" i="1" a="1"/>
  <c r="N52" i="1" a="1"/>
  <c r="N31" i="1" a="1"/>
  <c r="N43" i="1" a="1"/>
  <c r="N34" i="1" a="1"/>
  <c r="N29" i="1" a="1"/>
  <c r="N30" i="1" a="1"/>
  <c r="N48" i="1" a="1"/>
  <c r="N15" i="1" a="1"/>
  <c r="N12" i="1" a="1"/>
  <c r="N19" i="1" a="1"/>
  <c r="N4" i="1" a="1"/>
  <c r="N11" i="1" a="1"/>
  <c r="N26" i="1" a="1"/>
  <c r="N6" i="1" a="1"/>
  <c r="N17" i="1" a="1"/>
  <c r="N13" i="1" a="1"/>
  <c r="N5" i="1" a="1"/>
  <c r="N27" i="1" a="1"/>
  <c r="N25" i="1" a="1"/>
  <c r="N22" i="1" a="1"/>
  <c r="N23" i="1" a="1"/>
  <c r="N9" i="1" a="1"/>
  <c r="N14" i="1" a="1"/>
  <c r="N18" i="1" a="1"/>
  <c r="N8" i="1" a="1"/>
  <c r="N16" i="1" a="1"/>
  <c r="N24" i="1" a="1"/>
  <c r="N20" i="1" a="1"/>
  <c r="N28" i="1" a="1"/>
  <c r="N21" i="1" a="1"/>
  <c r="N7" i="1" a="1"/>
  <c r="F14" i="3" l="1"/>
  <c r="F12" i="3"/>
  <c r="F11" i="3"/>
  <c r="F26" i="3"/>
  <c r="F16" i="3"/>
  <c r="N48" i="1"/>
  <c r="L40" i="2" s="1"/>
  <c r="N20" i="1"/>
  <c r="L12" i="2" s="1"/>
  <c r="N30" i="1"/>
  <c r="L22" i="2" s="1"/>
  <c r="N29" i="1"/>
  <c r="L21" i="2" s="1"/>
  <c r="N34" i="1"/>
  <c r="L26" i="2" s="1"/>
  <c r="N11" i="1"/>
  <c r="L3" i="2" s="1"/>
  <c r="N43" i="1"/>
  <c r="L35" i="2" s="1"/>
  <c r="N31" i="1"/>
  <c r="L23" i="2" s="1"/>
  <c r="N52" i="1"/>
  <c r="L44" i="2" s="1"/>
  <c r="N41" i="1"/>
  <c r="L33" i="2" s="1"/>
  <c r="N50" i="1"/>
  <c r="L42" i="2" s="1"/>
  <c r="N51" i="1"/>
  <c r="L43" i="2" s="1"/>
  <c r="N40" i="1"/>
  <c r="L32" i="2" s="1"/>
  <c r="N17" i="1"/>
  <c r="L9" i="2" s="1"/>
  <c r="N19" i="1"/>
  <c r="L11" i="2" s="1"/>
  <c r="N39" i="1"/>
  <c r="L31" i="2" s="1"/>
  <c r="N33" i="1"/>
  <c r="L25" i="2" s="1"/>
  <c r="N21" i="1"/>
  <c r="L13" i="2" s="1"/>
  <c r="N16" i="1"/>
  <c r="L8" i="2" s="1"/>
  <c r="N36" i="1"/>
  <c r="L28" i="2" s="1"/>
  <c r="N25" i="1"/>
  <c r="L17" i="2" s="1"/>
  <c r="N46" i="1"/>
  <c r="L38" i="2" s="1"/>
  <c r="N12" i="1"/>
  <c r="L4" i="2" s="1"/>
  <c r="N27" i="1"/>
  <c r="L19" i="2" s="1"/>
  <c r="N44" i="1"/>
  <c r="L36" i="2" s="1"/>
  <c r="N38" i="1"/>
  <c r="L30" i="2" s="1"/>
  <c r="N8" i="1"/>
  <c r="N9" i="1"/>
  <c r="N47" i="1"/>
  <c r="L39" i="2" s="1"/>
  <c r="N49" i="1"/>
  <c r="L41" i="2" s="1"/>
  <c r="N53" i="1"/>
  <c r="L45" i="2" s="1"/>
  <c r="N32" i="1"/>
  <c r="L24" i="2" s="1"/>
  <c r="N13" i="1"/>
  <c r="L5" i="2" s="1"/>
  <c r="N28" i="1"/>
  <c r="L20" i="2" s="1"/>
  <c r="N18" i="1"/>
  <c r="L10" i="2" s="1"/>
  <c r="N37" i="1"/>
  <c r="L29" i="2" s="1"/>
  <c r="N35" i="1"/>
  <c r="L27" i="2" s="1"/>
  <c r="N45" i="1"/>
  <c r="L37" i="2" s="1"/>
  <c r="N15" i="1"/>
  <c r="L7" i="2" s="1"/>
  <c r="N6" i="1"/>
  <c r="K46" i="2"/>
  <c r="K21" i="2"/>
  <c r="K28" i="2"/>
  <c r="K27" i="2"/>
  <c r="K32" i="2"/>
  <c r="K14" i="2"/>
  <c r="K41" i="2"/>
  <c r="K29" i="2"/>
  <c r="K50" i="2"/>
  <c r="K39" i="2"/>
  <c r="K48" i="2"/>
  <c r="K49" i="2"/>
  <c r="K37" i="2"/>
  <c r="K31" i="2"/>
  <c r="K3" i="2"/>
  <c r="K15" i="2"/>
  <c r="K34" i="2"/>
  <c r="K16" i="2"/>
  <c r="K44" i="2"/>
  <c r="K26" i="2"/>
  <c r="K24" i="2"/>
  <c r="K42" i="2"/>
  <c r="K45" i="2"/>
  <c r="K47" i="2"/>
  <c r="K51" i="2"/>
  <c r="K30" i="2"/>
  <c r="K7" i="2"/>
  <c r="K5" i="2"/>
  <c r="K9" i="2"/>
  <c r="K35" i="2"/>
  <c r="K33" i="2"/>
  <c r="K43" i="2"/>
  <c r="N26" i="1"/>
  <c r="L18" i="2" s="1"/>
  <c r="K19" i="2"/>
  <c r="N24" i="1"/>
  <c r="L16" i="2" s="1"/>
  <c r="K23" i="2"/>
  <c r="N23" i="1"/>
  <c r="L15" i="2" s="1"/>
  <c r="K11" i="2"/>
  <c r="N22" i="1"/>
  <c r="L14" i="2" s="1"/>
  <c r="K4" i="2"/>
  <c r="N14" i="1"/>
  <c r="L6" i="2" s="1"/>
  <c r="K8" i="2"/>
  <c r="N7" i="1"/>
  <c r="K13" i="2"/>
  <c r="N5" i="1"/>
  <c r="K18" i="2"/>
  <c r="N4" i="1"/>
  <c r="K6" i="2"/>
  <c r="I3" i="3" a="1"/>
  <c r="I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tc={9A03ACCF-6C1A-4F78-AF23-F415AC4C04CD}</author>
  </authors>
  <commentList>
    <comment ref="J3" authorId="0" shapeId="0" xr:uid="{9A03ACCF-6C1A-4F78-AF23-F415AC4C04C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Colocar las horas con - si se trata de un descuento. De lo contrario si son adicionales como horas extras dejar el número +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<sst xmlns="http://schemas.openxmlformats.org/spreadsheetml/2006/main" count="514" uniqueCount="500">
  <si>
    <t>N° pedido de compra</t>
  </si>
  <si>
    <t>Nombre</t>
  </si>
  <si>
    <t>Mes de facturación</t>
  </si>
  <si>
    <t>Tipo de moneda</t>
  </si>
  <si>
    <t>Tarifa</t>
  </si>
  <si>
    <t>Hora novedad</t>
  </si>
  <si>
    <t>Tarifa hora</t>
  </si>
  <si>
    <t>Monto de la novedad</t>
  </si>
  <si>
    <t>Monto a facturar</t>
  </si>
  <si>
    <t>Valor en letras</t>
  </si>
  <si>
    <t>Descripción</t>
  </si>
  <si>
    <t>N° de contrato</t>
  </si>
  <si>
    <t>CAPEX</t>
  </si>
  <si>
    <t>Aprobador</t>
  </si>
  <si>
    <t>Entrega de valor</t>
  </si>
  <si>
    <t>Marzo</t>
  </si>
  <si>
    <t>Nombre del talento</t>
  </si>
  <si>
    <t>N° de última factura</t>
  </si>
  <si>
    <t>Mes</t>
  </si>
  <si>
    <t>N° última factura</t>
  </si>
  <si>
    <t>BEE712</t>
  </si>
  <si>
    <t>N° pedido compra</t>
  </si>
  <si>
    <t>Cliente</t>
  </si>
  <si>
    <t>Mes anterior</t>
  </si>
  <si>
    <t>Mes actual</t>
  </si>
  <si>
    <t>N° contrato</t>
  </si>
  <si>
    <t>Email aprobador</t>
  </si>
  <si>
    <t>Sec. Factura</t>
  </si>
  <si>
    <t>Código talento</t>
  </si>
  <si>
    <t>Código</t>
  </si>
  <si>
    <t>Código del talento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</si>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</sst>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</font>
    <font>
      <b/>
      <sz val="12"/>
      <color theme="1"/>
      <name val="Aptos Narrow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3"/>
      <color theme="1"/>
      <name val="Aptos Narrow"/>
      <family val="2"/>
    </font>
    <font>
      <b/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0" fontId="24" fillId="0" borderId="0" applyNumberFormat="0" applyFill="0" applyBorder="0" applyAlignment="0" applyProtection="0"/>
  </cellStyleXfs>
  <cellXfs count="32">
    <xf numFmtId="0" fontId="0" fillId="0" borderId="0" xfId="0"/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left" vertical="center" wrapText="1"/>
    </xf>
    <xf numFmtId="4" fontId="18" fillId="0" borderId="10" xfId="0" applyNumberFormat="1" applyFont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 wrapText="1"/>
    </xf>
    <xf numFmtId="0" fontId="16" fillId="37" borderId="10" xfId="0" applyFont="1" applyFill="1" applyBorder="1" applyAlignment="1">
      <alignment horizontal="center" vertical="center"/>
    </xf>
    <xf numFmtId="0" fontId="21" fillId="0" borderId="10" xfId="0" applyFont="1" applyBorder="1" applyAlignment="1">
      <alignment wrapText="1"/>
    </xf>
    <xf numFmtId="0" fontId="0" fillId="0" borderId="10" xfId="0" applyBorder="1"/>
    <xf numFmtId="0" fontId="0" fillId="0" borderId="10" xfId="0" applyBorder="1" applyAlignment="1">
      <alignment horizontal="center" vertical="center"/>
    </xf>
    <xf numFmtId="0" fontId="22" fillId="37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21" fillId="0" borderId="10" xfId="0" applyFont="1" applyBorder="1"/>
    <xf numFmtId="0" fontId="18" fillId="35" borderId="10" xfId="0" applyFont="1" applyFill="1" applyBorder="1" applyAlignment="1">
      <alignment horizontal="center" vertical="center"/>
    </xf>
    <xf numFmtId="4" fontId="18" fillId="35" borderId="10" xfId="0" applyNumberFormat="1" applyFont="1" applyFill="1" applyBorder="1" applyAlignment="1">
      <alignment horizontal="center" vertical="center"/>
    </xf>
    <xf numFmtId="0" fontId="18" fillId="35" borderId="10" xfId="0" applyFont="1" applyFill="1" applyBorder="1" applyAlignment="1">
      <alignment horizontal="center" vertical="center" wrapText="1"/>
    </xf>
    <xf numFmtId="0" fontId="23" fillId="36" borderId="11" xfId="0" applyFont="1" applyFill="1" applyBorder="1" applyAlignment="1">
      <alignment horizontal="center" vertical="center"/>
    </xf>
    <xf numFmtId="0" fontId="23" fillId="36" borderId="10" xfId="0" applyFont="1" applyFill="1" applyBorder="1" applyAlignment="1">
      <alignment horizontal="center" vertical="center"/>
    </xf>
    <xf numFmtId="0" fontId="24" fillId="0" borderId="10" xfId="43" applyNumberFormat="1" applyBorder="1" applyAlignment="1">
      <alignment horizontal="center" vertical="center"/>
    </xf>
    <xf numFmtId="0" fontId="21" fillId="0" borderId="12" xfId="0" applyFont="1" applyBorder="1" applyAlignment="1">
      <alignment wrapText="1"/>
    </xf>
    <xf numFmtId="0" fontId="21" fillId="0" borderId="13" xfId="0" applyFont="1" applyBorder="1"/>
    <xf numFmtId="0" fontId="21" fillId="0" borderId="14" xfId="0" applyFont="1" applyBorder="1"/>
    <xf numFmtId="0" fontId="21" fillId="0" borderId="15" xfId="0" applyFont="1" applyBorder="1"/>
    <xf numFmtId="0" fontId="0" fillId="0" borderId="15" xfId="0" applyBorder="1"/>
    <xf numFmtId="0" fontId="0" fillId="0" borderId="12" xfId="0" applyBorder="1"/>
    <xf numFmtId="0" fontId="0" fillId="0" borderId="16" xfId="0" applyBorder="1"/>
    <xf numFmtId="49" fontId="21" fillId="0" borderId="12" xfId="0" applyNumberFormat="1" applyFont="1" applyBorder="1" applyAlignment="1">
      <alignment horizontal="center" vertical="center" wrapText="1"/>
    </xf>
    <xf numFmtId="0" fontId="0" fillId="35" borderId="10" xfId="0" applyFill="1" applyBorder="1" applyAlignment="1">
      <alignment horizontal="center" vertical="center"/>
    </xf>
    <xf numFmtId="0" fontId="0" fillId="35" borderId="10" xfId="0" applyFill="1" applyBorder="1"/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3" builtinId="8"/>
    <cellStyle name="Incorrecto" xfId="7" builtinId="27" customBuiltin="1"/>
    <cellStyle name="Millares 2" xfId="42" xr:uid="{234C7BC7-930A-4F21-A3AD-9C89F0BB6F7D}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0" formatCode="General"/>
      <fill>
        <patternFill patternType="solid">
          <fgColor indexed="64"/>
          <bgColor theme="0" tint="-4.9989318521683403E-2"/>
        </patternFill>
      </fill>
    </dxf>
    <dxf>
      <border outline="0">
        <right style="thin">
          <color indexed="64"/>
        </right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0</xdr:row>
      <xdr:rowOff>85725</xdr:rowOff>
    </xdr:from>
    <xdr:to>
      <xdr:col>5</xdr:col>
      <xdr:colOff>1038225</xdr:colOff>
      <xdr:row>0</xdr:row>
      <xdr:rowOff>457200</xdr:rowOff>
    </xdr:to>
    <xdr:sp macro="[0]!Hoja2.OrdenarDescendent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C5E5790-3DBD-B3CA-3950-2BBD848BF21B}"/>
            </a:ext>
          </a:extLst>
        </xdr:cNvPr>
        <xdr:cNvSpPr/>
      </xdr:nvSpPr>
      <xdr:spPr>
        <a:xfrm>
          <a:off x="2219325" y="85725"/>
          <a:ext cx="857250" cy="371475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ORDENAR</a:t>
          </a:r>
        </a:p>
      </xdr:txBody>
    </xdr:sp>
    <xdr:clientData/>
  </xdr:twoCellAnchor>
  <xdr:twoCellAnchor>
    <xdr:from>
      <xdr:col>5</xdr:col>
      <xdr:colOff>3333750</xdr:colOff>
      <xdr:row>0</xdr:row>
      <xdr:rowOff>85725</xdr:rowOff>
    </xdr:from>
    <xdr:to>
      <xdr:col>5</xdr:col>
      <xdr:colOff>4191000</xdr:colOff>
      <xdr:row>0</xdr:row>
      <xdr:rowOff>457200</xdr:rowOff>
    </xdr:to>
    <xdr:sp macro="[0]!Hoja2.CopiarHojaANuevoLibroY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33BDD78E-FC8C-4D32-AC06-BABB5BC79491}"/>
            </a:ext>
          </a:extLst>
        </xdr:cNvPr>
        <xdr:cNvSpPr/>
      </xdr:nvSpPr>
      <xdr:spPr>
        <a:xfrm>
          <a:off x="6934200" y="85725"/>
          <a:ext cx="857250" cy="371475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EXPORTAR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isa Fernanda  Granada Ramírez" id="{53EB2A72-A3BE-4AE3-965C-21F9E5D642F2}" userId="S::luisa.granada@beeconsultoria.com::822cb223-44ee-4993-98cc-9f3b99b38976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6C283A-774C-4AA0-AB2F-C53CD8E37A3D}" name="Tabla1" displayName="Tabla1" ref="A1:F500" totalsRowShown="0" headerRowDxfId="4" headerRowBorderDxfId="3">
  <autoFilter ref="A1:F500" xr:uid="{566C283A-774C-4AA0-AB2F-C53CD8E37A3D}"/>
  <tableColumns count="6">
    <tableColumn id="1" xr3:uid="{1978FF03-369B-4AB1-B775-9D2DEBDA38B3}" name="Nombre del talento"/>
    <tableColumn id="10" xr3:uid="{A95419A6-10BE-4AF8-B5DF-601692117368}" name="Código del talento" dataDxfId="2"/>
    <tableColumn id="2" xr3:uid="{01A9CB47-7C0A-49E4-9C44-51768A064C85}" name="N° contrato"/>
    <tableColumn id="3" xr3:uid="{7C692D91-0486-414F-B3D4-ACA250FBA9AB}" name="N° pedido compra"/>
    <tableColumn id="4" xr3:uid="{8858CA32-A7AF-42B0-BE57-FA48AE82B585}" name="Email aprobador" dataDxfId="1"/>
    <tableColumn id="5" xr3:uid="{715FDAA9-8C80-4A3D-AD5A-5CB3A21C4304}" name="Sec. Factura" dataDxfId="0">
      <calculatedColumnFormula>IFERROR(VLOOKUP(Tabla1[[#This Row],[N° pedido compra]],InfoFactura!$A$1:$M$51,2,FALSE),"")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3" dT="2026-04-16T20:28:32.93" personId="{53EB2A72-A3BE-4AE3-965C-21F9E5D642F2}" id="{9A03ACCF-6C1A-4F78-AF23-F415AC4C04CD}">
    <text>Colocar las horas con - si se trata de un descuento. De lo contrario si son adicionales como horas extras dejar el número +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30E06-29F6-4B52-8C44-C008906C11FF}">
  <sheetPr codeName="Hoja1"/>
  <dimension ref="A1:R53"/>
  <sheetViews>
    <sheetView showGridLines="0" workbookViewId="0">
      <selection activeCell="A4" sqref="A4"/>
    </sheetView>
  </sheetViews>
  <sheetFormatPr baseColWidth="10" defaultRowHeight="15.75" x14ac:dyDescent="0.25"/>
  <cols>
    <col min="1" max="1" width="22.7109375" style="1" bestFit="1" customWidth="1"/>
    <col min="2" max="2" width="11.7109375" style="1" bestFit="1" customWidth="1"/>
    <col min="3" max="3" width="23.5703125" style="1" customWidth="1"/>
    <col min="4" max="4" width="18.85546875" style="1" bestFit="1" customWidth="1"/>
    <col min="5" max="5" width="16" style="1" customWidth="1"/>
    <col min="6" max="6" width="34.28515625" style="1" customWidth="1"/>
    <col min="7" max="7" width="20.85546875" style="1" customWidth="1"/>
    <col min="8" max="8" width="15.5703125" style="1" bestFit="1" customWidth="1"/>
    <col min="9" max="9" width="11.42578125" style="1"/>
    <col min="10" max="10" width="13.7109375" style="1" bestFit="1" customWidth="1"/>
    <col min="11" max="11" width="11.42578125" style="1"/>
    <col min="12" max="12" width="20.140625" style="1" bestFit="1" customWidth="1"/>
    <col min="13" max="13" width="16.42578125" style="1" bestFit="1" customWidth="1"/>
    <col min="14" max="14" width="37.28515625" style="1" customWidth="1"/>
    <col min="15" max="16" width="37.7109375" style="1" customWidth="1"/>
    <col min="17" max="17" width="13" style="1" customWidth="1"/>
    <col min="18" max="18" width="28.140625" style="1" customWidth="1"/>
    <col min="19" max="16384" width="11.42578125" style="1"/>
  </cols>
  <sheetData>
    <row r="1" spans="1:18" ht="17.25" x14ac:dyDescent="0.25">
      <c r="A1" s="12" t="s">
        <v>2</v>
      </c>
      <c r="B1" s="13" t="s">
        <v>15</v>
      </c>
      <c r="C1" s="12" t="s">
        <v>17</v>
      </c>
      <c r="D1" s="2" t="str">
        <f>D!$I$2</f>
        <v>BEE712</v>
      </c>
    </row>
    <row r="3" spans="1:18" x14ac:dyDescent="0.25">
      <c r="A3" s="6" t="s">
        <v>0</v>
      </c>
      <c r="B3" s="6" t="s">
        <v>27</v>
      </c>
      <c r="C3" s="6" t="s">
        <v>11</v>
      </c>
      <c r="D3" s="6" t="s">
        <v>2</v>
      </c>
      <c r="E3" s="6" t="s">
        <v>22</v>
      </c>
      <c r="F3" s="6" t="s">
        <v>1</v>
      </c>
      <c r="G3" s="6" t="s">
        <v>29</v>
      </c>
      <c r="H3" s="6" t="s">
        <v>3</v>
      </c>
      <c r="I3" s="6" t="s">
        <v>4</v>
      </c>
      <c r="J3" s="6" t="s">
        <v>5</v>
      </c>
      <c r="K3" s="6" t="s">
        <v>6</v>
      </c>
      <c r="L3" s="6" t="s">
        <v>7</v>
      </c>
      <c r="M3" s="6" t="s">
        <v>8</v>
      </c>
      <c r="N3" s="6" t="s">
        <v>9</v>
      </c>
      <c r="O3" s="6" t="s">
        <v>13</v>
      </c>
      <c r="P3" s="6" t="s">
        <v>26</v>
      </c>
      <c r="Q3" s="6" t="s">
        <v>12</v>
      </c>
      <c r="R3" s="6" t="s">
        <v>14</v>
      </c>
    </row>
    <row r="4" spans="1:18" ht="31.5" x14ac:dyDescent="0.25">
      <c r="A4" s="16" t="str">
        <f>IFERROR(VLOOKUP(F4,D!$A$2:$D$500,4,FALSE),"")</f>
        <v/>
      </c>
      <c r="B4" s="16" t="str">
        <f>CONCATENATE("BEE",MAX(IF(ISNUMBER(VALUE(MID($D$1,4,3))),VALUE(MID($D$1,4,3)))+1))</f>
        <v>BEE713</v>
      </c>
      <c r="C4" s="16" t="str">
        <f>IFERROR(VLOOKUP(F4,D!$A$2:$D$500,3,FALSE),"")</f>
        <v/>
      </c>
      <c r="D4" s="16" t="str">
        <f>IF($B$1="","",$B$1)</f>
        <v>Marzo</v>
      </c>
      <c r="E4" s="2"/>
      <c r="F4" s="2"/>
      <c r="G4" s="16" t="str">
        <f>IFERROR(VLOOKUP(F4,Tabla1[#All],2,FALSE),"")</f>
        <v/>
      </c>
      <c r="H4" s="2"/>
      <c r="I4" s="5"/>
      <c r="J4" s="2"/>
      <c r="K4" s="5"/>
      <c r="L4" s="16" t="str">
        <f>IF(K4&lt;&gt;"",J4*K4,"")</f>
        <v/>
      </c>
      <c r="M4" s="17">
        <f>IF(L4="",I4,I4-(-L4))</f>
        <v>0</v>
      </c>
      <c r="N4" s="18" t="str" cm="1">
        <f t="array" ref="N4">NumeLetras(M4,"CON","CENTAVOS",1)</f>
        <v>DOLARES AMERICANOS CON 00/100 CENTAVOS</v>
      </c>
      <c r="O4" s="2"/>
      <c r="P4" s="16" t="str">
        <f>IFERROR(VLOOKUP(G4,Tabla1[[#All],[Código del talento]:[Sec. Factura]],4,FALSE),"")</f>
        <v/>
      </c>
      <c r="Q4" s="2"/>
      <c r="R4" s="3"/>
    </row>
    <row r="5" spans="1:18" ht="31.5" x14ac:dyDescent="0.25">
      <c r="A5" s="16" t="str">
        <f>IFERROR(VLOOKUP(F5,D!$A$2:$D$500,4,FALSE),"")</f>
        <v/>
      </c>
      <c r="B5" s="16" t="str">
        <f>IF(COUNTIF($A$4:$A$53,A5)&gt;1,"Repetido",CONCATENATE("BEE",MAX(IF(ISNUMBER(VALUE(MID($B$4,4,3))),VALUE(MID($B$4,4,3)))+1)))</f>
        <v>Repetido</v>
      </c>
      <c r="C5" s="16" t="str">
        <f>IFERROR(VLOOKUP(F5,D!$A$2:$D$500,3,FALSE),"")</f>
        <v/>
      </c>
      <c r="D5" s="16" t="str">
        <f t="shared" ref="D5:D53" si="0">IF($B$1="","",$B$1)</f>
        <v>Marzo</v>
      </c>
      <c r="E5" s="2"/>
      <c r="F5" s="2"/>
      <c r="G5" s="16" t="str">
        <f>IFERROR(VLOOKUP(F5,Tabla1[#All],2,FALSE),"")</f>
        <v/>
      </c>
      <c r="H5" s="2"/>
      <c r="I5" s="5"/>
      <c r="J5" s="2"/>
      <c r="K5" s="2"/>
      <c r="L5" s="16" t="str">
        <f t="shared" ref="L5:L53" si="1">IF(K5&lt;&gt;"",J5*K5,"")</f>
        <v/>
      </c>
      <c r="M5" s="17">
        <f t="shared" ref="M5:M53" si="2">IF(L5="",I5,I5-(-L5))</f>
        <v>0</v>
      </c>
      <c r="N5" s="18" t="str" cm="1">
        <f t="array" ref="N5">NumeLetras(M5,"CON","CENTAVOS",1)</f>
        <v>DOLARES AMERICANOS CON 00/100 CENTAVOS</v>
      </c>
      <c r="O5" s="2"/>
      <c r="P5" s="16" t="str">
        <f>IFERROR(VLOOKUP(G5,Tabla1[[#All],[Código del talento]:[Sec. Factura]],4,FALSE),"")</f>
        <v/>
      </c>
      <c r="Q5" s="2"/>
      <c r="R5" s="3"/>
    </row>
    <row r="6" spans="1:18" ht="31.5" x14ac:dyDescent="0.25">
      <c r="A6" s="16" t="str">
        <f>IFERROR(VLOOKUP(F6,D!$A$2:$D$500,4,FALSE),"")</f>
        <v/>
      </c>
      <c r="B6" s="16" t="str" cm="1">
        <f t="array" ref="B6">IF(COUNTIF($A$4:$A$53,A6)&gt;1,"Repetido",CONCATENATE("BEE",MAX(IF(ISNUMBER(VALUE(MID($B$4:$B$5,4,3))),VALUE(MID($B$4:$B$5,4,3)))+1)))</f>
        <v>Repetido</v>
      </c>
      <c r="C6" s="16" t="str">
        <f>IFERROR(VLOOKUP(F6,D!$A$2:$D$500,3,FALSE),"")</f>
        <v/>
      </c>
      <c r="D6" s="16" t="str">
        <f t="shared" si="0"/>
        <v>Marzo</v>
      </c>
      <c r="E6" s="2"/>
      <c r="F6" s="2"/>
      <c r="G6" s="16" t="str">
        <f>IFERROR(VLOOKUP(F6,Tabla1[#All],2,FALSE),"")</f>
        <v/>
      </c>
      <c r="H6" s="2"/>
      <c r="I6" s="5"/>
      <c r="J6" s="2"/>
      <c r="K6" s="2"/>
      <c r="L6" s="16" t="str">
        <f t="shared" si="1"/>
        <v/>
      </c>
      <c r="M6" s="17">
        <f t="shared" si="2"/>
        <v>0</v>
      </c>
      <c r="N6" s="18" t="str" cm="1">
        <f t="array" ref="N6">NumeLetras(M6,"CON","CENTAVOS",1)</f>
        <v>DOLARES AMERICANOS CON 00/100 CENTAVOS</v>
      </c>
      <c r="O6" s="2"/>
      <c r="P6" s="16" t="str">
        <f>IFERROR(VLOOKUP(G6,Tabla1[[#All],[Código del talento]:[Sec. Factura]],4,FALSE),"")</f>
        <v/>
      </c>
      <c r="Q6" s="2"/>
      <c r="R6" s="3"/>
    </row>
    <row r="7" spans="1:18" ht="31.5" x14ac:dyDescent="0.25">
      <c r="A7" s="16" t="str">
        <f>IFERROR(VLOOKUP(F7,D!$A$2:$D$500,4,FALSE),"")</f>
        <v/>
      </c>
      <c r="B7" s="16" t="str" cm="1">
        <f t="array" ref="B7">IF(COUNTIF($A$4:$A$53,A7)&gt;1,"Repetido",CONCATENATE("BEE",MAX(IF(ISNUMBER(VALUE(MID($B$4:$B$6,4,3))),VALUE(MID($B$4:$B$6,4,3)))+1)))</f>
        <v>Repetido</v>
      </c>
      <c r="C7" s="16" t="str">
        <f>IFERROR(VLOOKUP(F7,D!$A$2:$D$500,3,FALSE),"")</f>
        <v/>
      </c>
      <c r="D7" s="16" t="str">
        <f t="shared" si="0"/>
        <v>Marzo</v>
      </c>
      <c r="E7" s="2"/>
      <c r="F7" s="2"/>
      <c r="G7" s="16" t="str">
        <f>IFERROR(VLOOKUP(F7,Tabla1[#All],2,FALSE),"")</f>
        <v/>
      </c>
      <c r="H7" s="2"/>
      <c r="I7" s="5"/>
      <c r="J7" s="2"/>
      <c r="K7" s="2"/>
      <c r="L7" s="16" t="str">
        <f t="shared" si="1"/>
        <v/>
      </c>
      <c r="M7" s="17">
        <f t="shared" si="2"/>
        <v>0</v>
      </c>
      <c r="N7" s="18" t="str" cm="1">
        <f t="array" ref="N7">NumeLetras(M7,"CON","CENTAVOS",1)</f>
        <v>DOLARES AMERICANOS CON 00/100 CENTAVOS</v>
      </c>
      <c r="O7" s="2"/>
      <c r="P7" s="16" t="str">
        <f>IFERROR(VLOOKUP(G7,Tabla1[[#All],[Código del talento]:[Sec. Factura]],4,FALSE),"")</f>
        <v/>
      </c>
      <c r="Q7" s="2"/>
      <c r="R7" s="3"/>
    </row>
    <row r="8" spans="1:18" ht="31.5" x14ac:dyDescent="0.25">
      <c r="A8" s="16" t="str">
        <f>IFERROR(VLOOKUP(F8,D!$A$2:$D$500,4,FALSE),"")</f>
        <v/>
      </c>
      <c r="B8" s="16" t="str" cm="1">
        <f t="array" ref="B8">IF(COUNTIF($A$4:$A$53,A8)&gt;1,"Repetido",CONCATENATE("BEE",MAX(IF(ISNUMBER(VALUE(MID($B$4:$B$7,4,3))),VALUE(MID($B$4:$B$7,4,3)))+1)))</f>
        <v>Repetido</v>
      </c>
      <c r="C8" s="16" t="str">
        <f>IFERROR(VLOOKUP(F8,D!$A$2:$D$500,3,FALSE),"")</f>
        <v/>
      </c>
      <c r="D8" s="16" t="str">
        <f t="shared" si="0"/>
        <v>Marzo</v>
      </c>
      <c r="E8" s="2"/>
      <c r="F8" s="2"/>
      <c r="G8" s="16" t="str">
        <f>IFERROR(VLOOKUP(F8,Tabla1[#All],2,FALSE),"")</f>
        <v/>
      </c>
      <c r="H8" s="2"/>
      <c r="I8" s="5"/>
      <c r="J8" s="2"/>
      <c r="K8" s="2"/>
      <c r="L8" s="16" t="str">
        <f t="shared" si="1"/>
        <v/>
      </c>
      <c r="M8" s="17">
        <f t="shared" si="2"/>
        <v>0</v>
      </c>
      <c r="N8" s="18" t="str" cm="1">
        <f t="array" ref="N8">NumeLetras(M8,"CON","CENTAVOS",1)</f>
        <v>DOLARES AMERICANOS CON 00/100 CENTAVOS</v>
      </c>
      <c r="O8" s="2"/>
      <c r="P8" s="16" t="str">
        <f>IFERROR(VLOOKUP(G8,Tabla1[[#All],[Código del talento]:[Sec. Factura]],4,FALSE),"")</f>
        <v/>
      </c>
      <c r="Q8" s="2"/>
      <c r="R8" s="3"/>
    </row>
    <row r="9" spans="1:18" ht="31.5" x14ac:dyDescent="0.25">
      <c r="A9" s="16" t="str">
        <f>IFERROR(VLOOKUP(F9,D!$A$2:$D$500,4,FALSE),"")</f>
        <v/>
      </c>
      <c r="B9" s="16" t="str" cm="1">
        <f t="array" ref="B9">IF(COUNTIF($A$4:$A$53,A9)&gt;1,"Repetido",CONCATENATE("BEE",MAX(IF(ISNUMBER(VALUE(MID($B$4:$B$8,4,3))),VALUE(MID($B$4:$B$8,4,3)))+1)))</f>
        <v>Repetido</v>
      </c>
      <c r="C9" s="16" t="str">
        <f>IFERROR(VLOOKUP(F9,D!$A$2:$D$500,3,FALSE),"")</f>
        <v/>
      </c>
      <c r="D9" s="16" t="str">
        <f t="shared" si="0"/>
        <v>Marzo</v>
      </c>
      <c r="E9" s="2"/>
      <c r="F9" s="2"/>
      <c r="G9" s="16" t="str">
        <f>IFERROR(VLOOKUP(F9,Tabla1[#All],2,FALSE),"")</f>
        <v/>
      </c>
      <c r="H9" s="2"/>
      <c r="I9" s="5"/>
      <c r="J9" s="2"/>
      <c r="K9" s="2"/>
      <c r="L9" s="16" t="str">
        <f t="shared" si="1"/>
        <v/>
      </c>
      <c r="M9" s="17">
        <f t="shared" si="2"/>
        <v>0</v>
      </c>
      <c r="N9" s="18" t="str" cm="1">
        <f t="array" ref="N9">NumeLetras(M9,"CON","CENTAVOS",1)</f>
        <v>DOLARES AMERICANOS CON 00/100 CENTAVOS</v>
      </c>
      <c r="O9" s="2"/>
      <c r="P9" s="16" t="str">
        <f>IFERROR(VLOOKUP(G9,Tabla1[[#All],[Código del talento]:[Sec. Factura]],4,FALSE),"")</f>
        <v/>
      </c>
      <c r="Q9" s="2"/>
      <c r="R9" s="3"/>
    </row>
    <row r="10" spans="1:18" ht="31.5" x14ac:dyDescent="0.25">
      <c r="A10" s="16" t="str">
        <f>IFERROR(VLOOKUP(F10,D!$A$2:$D$500,4,FALSE),"")</f>
        <v/>
      </c>
      <c r="B10" s="16" t="str" cm="1">
        <f t="array" ref="B10">IF(COUNTIF($A$4:$A$53,A10)&gt;1,"Repetido",CONCATENATE("BEE",MAX(IF(ISNUMBER(VALUE(MID($B$4:$B$9,4,3))),VALUE(MID($B$4:$B$9,4,3)))+1)))</f>
        <v>Repetido</v>
      </c>
      <c r="C10" s="16" t="str">
        <f>IFERROR(VLOOKUP(F10,D!$A$2:$D$500,3,FALSE),"")</f>
        <v/>
      </c>
      <c r="D10" s="16" t="str">
        <f t="shared" si="0"/>
        <v>Marzo</v>
      </c>
      <c r="E10" s="2"/>
      <c r="F10" s="2"/>
      <c r="G10" s="16" t="str">
        <f>IFERROR(VLOOKUP(F10,Tabla1[#All],2,FALSE),"")</f>
        <v/>
      </c>
      <c r="H10" s="2"/>
      <c r="I10" s="5"/>
      <c r="J10" s="2"/>
      <c r="K10" s="2"/>
      <c r="L10" s="16" t="str">
        <f t="shared" si="1"/>
        <v/>
      </c>
      <c r="M10" s="17">
        <f t="shared" si="2"/>
        <v>0</v>
      </c>
      <c r="N10" s="18" t="str" cm="1">
        <f t="array" ref="N10">NumeLetras(M10,"CON","CENTAVOS",1)</f>
        <v>DOLARES AMERICANOS CON 00/100 CENTAVOS</v>
      </c>
      <c r="O10" s="2"/>
      <c r="P10" s="16" t="str">
        <f>IFERROR(VLOOKUP(G10,Tabla1[[#All],[Código del talento]:[Sec. Factura]],4,FALSE),"")</f>
        <v/>
      </c>
      <c r="Q10" s="2"/>
      <c r="R10" s="3"/>
    </row>
    <row r="11" spans="1:18" ht="31.5" x14ac:dyDescent="0.25">
      <c r="A11" s="16" t="str">
        <f>IFERROR(VLOOKUP(F11,D!$A$2:$D$500,4,FALSE),"")</f>
        <v/>
      </c>
      <c r="B11" s="16" t="str" cm="1">
        <f t="array" ref="B11">IF(COUNTIF($A$4:$A$53,A11)&gt;1,"Repetido",CONCATENATE("BEE",MAX(IF(ISNUMBER(VALUE(MID($B$4:$B$10,4,3))),VALUE(MID($B$4:$B$10,4,3)))+1)))</f>
        <v>Repetido</v>
      </c>
      <c r="C11" s="16" t="str">
        <f>IFERROR(VLOOKUP(F11,D!$A$2:$D$500,3,FALSE),"")</f>
        <v/>
      </c>
      <c r="D11" s="16" t="str">
        <f t="shared" si="0"/>
        <v>Marzo</v>
      </c>
      <c r="E11" s="2"/>
      <c r="F11" s="2"/>
      <c r="G11" s="16" t="str">
        <f>IFERROR(VLOOKUP(F11,Tabla1[#All],2,FALSE),"")</f>
        <v/>
      </c>
      <c r="H11" s="2"/>
      <c r="I11" s="5"/>
      <c r="J11" s="2"/>
      <c r="K11" s="2"/>
      <c r="L11" s="16" t="str">
        <f t="shared" si="1"/>
        <v/>
      </c>
      <c r="M11" s="17">
        <f t="shared" si="2"/>
        <v>0</v>
      </c>
      <c r="N11" s="18" t="str" cm="1">
        <f t="array" ref="N11">NumeLetras(M11,"CON","CENTAVOS",1)</f>
        <v>DOLARES AMERICANOS CON 00/100 CENTAVOS</v>
      </c>
      <c r="O11" s="2"/>
      <c r="P11" s="16" t="str">
        <f>IFERROR(VLOOKUP(G11,Tabla1[[#All],[Código del talento]:[Sec. Factura]],4,FALSE),"")</f>
        <v/>
      </c>
      <c r="Q11" s="2"/>
      <c r="R11" s="3"/>
    </row>
    <row r="12" spans="1:18" ht="31.5" x14ac:dyDescent="0.25">
      <c r="A12" s="16" t="str">
        <f>IFERROR(VLOOKUP(F12,D!$A$2:$D$500,4,FALSE),"")</f>
        <v/>
      </c>
      <c r="B12" s="16" t="str" cm="1">
        <f t="array" ref="B12">IF(COUNTIF($A$4:$A$53,A12)&gt;1,"Repetido",CONCATENATE("BEE",MAX(IF(ISNUMBER(VALUE(MID($B$4:$B$11,4,3))),VALUE(MID($B$4:$B$11,4,3)))+1)))</f>
        <v>Repetido</v>
      </c>
      <c r="C12" s="16" t="str">
        <f>IFERROR(VLOOKUP(F12,D!$A$2:$D$500,3,FALSE),"")</f>
        <v/>
      </c>
      <c r="D12" s="16" t="str">
        <f t="shared" si="0"/>
        <v>Marzo</v>
      </c>
      <c r="E12" s="2"/>
      <c r="F12" s="2"/>
      <c r="G12" s="16" t="str">
        <f>IFERROR(VLOOKUP(F12,Tabla1[#All],2,FALSE),"")</f>
        <v/>
      </c>
      <c r="H12" s="2"/>
      <c r="I12" s="5"/>
      <c r="J12" s="2"/>
      <c r="K12" s="2"/>
      <c r="L12" s="16" t="str">
        <f t="shared" si="1"/>
        <v/>
      </c>
      <c r="M12" s="17">
        <f t="shared" si="2"/>
        <v>0</v>
      </c>
      <c r="N12" s="18" t="str" cm="1">
        <f t="array" ref="N12">NumeLetras(M12,"CON","CENTAVOS",1)</f>
        <v>DOLARES AMERICANOS CON 00/100 CENTAVOS</v>
      </c>
      <c r="O12" s="2"/>
      <c r="P12" s="16" t="str">
        <f>IFERROR(VLOOKUP(G12,Tabla1[[#All],[Código del talento]:[Sec. Factura]],4,FALSE),"")</f>
        <v/>
      </c>
      <c r="Q12" s="2"/>
      <c r="R12" s="3"/>
    </row>
    <row r="13" spans="1:18" ht="31.5" x14ac:dyDescent="0.25">
      <c r="A13" s="16" t="str">
        <f>IFERROR(VLOOKUP(F13,D!$A$2:$D$500,4,FALSE),"")</f>
        <v/>
      </c>
      <c r="B13" s="16" t="str" cm="1">
        <f t="array" ref="B13">IF(COUNTIF($A$4:$A$53,A13)&gt;1,"Repetido",CONCATENATE("BEE",MAX(IF(ISNUMBER(VALUE(MID($B$4:$B$12,4,3))),VALUE(MID($B$4:$B$12,4,3)))+1)))</f>
        <v>Repetido</v>
      </c>
      <c r="C13" s="16" t="str">
        <f>IFERROR(VLOOKUP(F13,D!$A$2:$D$500,3,FALSE),"")</f>
        <v/>
      </c>
      <c r="D13" s="16" t="str">
        <f t="shared" si="0"/>
        <v>Marzo</v>
      </c>
      <c r="E13" s="2"/>
      <c r="F13" s="2"/>
      <c r="G13" s="16" t="str">
        <f>IFERROR(VLOOKUP(F13,Tabla1[#All],2,FALSE),"")</f>
        <v/>
      </c>
      <c r="H13" s="2"/>
      <c r="I13" s="5"/>
      <c r="J13" s="2"/>
      <c r="K13" s="2"/>
      <c r="L13" s="16" t="str">
        <f t="shared" si="1"/>
        <v/>
      </c>
      <c r="M13" s="17">
        <f t="shared" si="2"/>
        <v>0</v>
      </c>
      <c r="N13" s="18" t="str" cm="1">
        <f t="array" ref="N13">NumeLetras(M13,"CON","CENTAVOS",1)</f>
        <v>DOLARES AMERICANOS CON 00/100 CENTAVOS</v>
      </c>
      <c r="O13" s="2"/>
      <c r="P13" s="16" t="str">
        <f>IFERROR(VLOOKUP(G13,Tabla1[[#All],[Código del talento]:[Sec. Factura]],4,FALSE),"")</f>
        <v/>
      </c>
      <c r="Q13" s="2"/>
      <c r="R13" s="3"/>
    </row>
    <row r="14" spans="1:18" ht="31.5" x14ac:dyDescent="0.25">
      <c r="A14" s="16" t="str">
        <f>IFERROR(VLOOKUP(F14,D!$A$2:$D$500,4,FALSE),"")</f>
        <v/>
      </c>
      <c r="B14" s="16" t="str" cm="1">
        <f t="array" ref="B14">IF(COUNTIF($A$4:$A$53,A14)&gt;1,"Repetido",CONCATENATE("BEE",MAX(IF(ISNUMBER(VALUE(MID($B$4:$B$13,4,3))),VALUE(MID($B$4:$B$13,4,3)))+1)))</f>
        <v>Repetido</v>
      </c>
      <c r="C14" s="16" t="str">
        <f>IFERROR(VLOOKUP(F14,D!$A$2:$D$500,3,FALSE),"")</f>
        <v/>
      </c>
      <c r="D14" s="16" t="str">
        <f t="shared" si="0"/>
        <v>Marzo</v>
      </c>
      <c r="E14" s="2"/>
      <c r="F14" s="2"/>
      <c r="G14" s="16" t="str">
        <f>IFERROR(VLOOKUP(F14,Tabla1[#All],2,FALSE),"")</f>
        <v/>
      </c>
      <c r="H14" s="2"/>
      <c r="I14" s="5"/>
      <c r="J14" s="2"/>
      <c r="K14" s="2"/>
      <c r="L14" s="16" t="str">
        <f t="shared" si="1"/>
        <v/>
      </c>
      <c r="M14" s="17">
        <f t="shared" si="2"/>
        <v>0</v>
      </c>
      <c r="N14" s="18" t="str" cm="1">
        <f t="array" ref="N14">NumeLetras(M14,"CON","CENTAVOS",1)</f>
        <v>DOLARES AMERICANOS CON 00/100 CENTAVOS</v>
      </c>
      <c r="O14" s="2"/>
      <c r="P14" s="16" t="str">
        <f>IFERROR(VLOOKUP(G14,Tabla1[[#All],[Código del talento]:[Sec. Factura]],4,FALSE),"")</f>
        <v/>
      </c>
      <c r="Q14" s="2"/>
      <c r="R14" s="3"/>
    </row>
    <row r="15" spans="1:18" ht="31.5" x14ac:dyDescent="0.25">
      <c r="A15" s="16" t="str">
        <f>IFERROR(VLOOKUP(F15,D!$A$2:$D$500,4,FALSE),"")</f>
        <v/>
      </c>
      <c r="B15" s="16" t="str" cm="1">
        <f t="array" ref="B15">IF(COUNTIF($A$4:$A$53,A15)&gt;1,"Repetido",CONCATENATE("BEE",MAX(IF(ISNUMBER(VALUE(MID($B$4:$B$14,4,3))),VALUE(MID($B$4:$B$14,4,3)))+1)))</f>
        <v>Repetido</v>
      </c>
      <c r="C15" s="16" t="str">
        <f>IFERROR(VLOOKUP(F15,D!$A$2:$D$500,3,FALSE),"")</f>
        <v/>
      </c>
      <c r="D15" s="16" t="str">
        <f t="shared" si="0"/>
        <v>Marzo</v>
      </c>
      <c r="E15" s="2"/>
      <c r="F15" s="2"/>
      <c r="G15" s="16" t="str">
        <f>IFERROR(VLOOKUP(F15,Tabla1[#All],2,FALSE),"")</f>
        <v/>
      </c>
      <c r="H15" s="2"/>
      <c r="I15" s="5"/>
      <c r="J15" s="2"/>
      <c r="K15" s="2"/>
      <c r="L15" s="16" t="str">
        <f t="shared" si="1"/>
        <v/>
      </c>
      <c r="M15" s="17">
        <f t="shared" si="2"/>
        <v>0</v>
      </c>
      <c r="N15" s="18" t="str" cm="1">
        <f t="array" ref="N15">NumeLetras(M15,"CON","CENTAVOS",1)</f>
        <v>DOLARES AMERICANOS CON 00/100 CENTAVOS</v>
      </c>
      <c r="O15" s="2"/>
      <c r="P15" s="16" t="str">
        <f>IFERROR(VLOOKUP(G15,Tabla1[[#All],[Código del talento]:[Sec. Factura]],4,FALSE),"")</f>
        <v/>
      </c>
      <c r="Q15" s="2"/>
      <c r="R15" s="3"/>
    </row>
    <row r="16" spans="1:18" ht="31.5" x14ac:dyDescent="0.25">
      <c r="A16" s="16" t="str">
        <f>IFERROR(VLOOKUP(F16,D!$A$2:$D$500,4,FALSE),"")</f>
        <v/>
      </c>
      <c r="B16" s="16" t="str" cm="1">
        <f t="array" ref="B16">IF(COUNTIF($A$4:$A$53,A16)&gt;1,"Repetido",CONCATENATE("BEE",MAX(IF(ISNUMBER(VALUE(MID($B$4:$B$15,4,3))),VALUE(MID($B$4:$B$15,4,3)))+1)))</f>
        <v>Repetido</v>
      </c>
      <c r="C16" s="16" t="str">
        <f>IFERROR(VLOOKUP(F16,D!$A$2:$D$500,3,FALSE),"")</f>
        <v/>
      </c>
      <c r="D16" s="16" t="str">
        <f t="shared" si="0"/>
        <v>Marzo</v>
      </c>
      <c r="E16" s="2"/>
      <c r="F16" s="2"/>
      <c r="G16" s="16" t="str">
        <f>IFERROR(VLOOKUP(F16,Tabla1[#All],2,FALSE),"")</f>
        <v/>
      </c>
      <c r="H16" s="2"/>
      <c r="I16" s="5"/>
      <c r="J16" s="2"/>
      <c r="K16" s="2"/>
      <c r="L16" s="16" t="str">
        <f t="shared" si="1"/>
        <v/>
      </c>
      <c r="M16" s="17">
        <f t="shared" si="2"/>
        <v>0</v>
      </c>
      <c r="N16" s="18" t="str" cm="1">
        <f t="array" ref="N16">NumeLetras(M16,"CON","CENTAVOS",1)</f>
        <v>DOLARES AMERICANOS CON 00/100 CENTAVOS</v>
      </c>
      <c r="O16" s="2"/>
      <c r="P16" s="16" t="str">
        <f>IFERROR(VLOOKUP(G16,Tabla1[[#All],[Código del talento]:[Sec. Factura]],4,FALSE),"")</f>
        <v/>
      </c>
      <c r="Q16" s="2"/>
      <c r="R16" s="3"/>
    </row>
    <row r="17" spans="1:18" ht="31.5" x14ac:dyDescent="0.25">
      <c r="A17" s="16" t="str">
        <f>IFERROR(VLOOKUP(F17,D!$A$2:$D$500,4,FALSE),"")</f>
        <v/>
      </c>
      <c r="B17" s="16" t="str" cm="1">
        <f t="array" ref="B17">IF(COUNTIF($A$4:$A$53,A17)&gt;1,"Repetido",CONCATENATE("BEE",MAX(IF(ISNUMBER(VALUE(MID($B$4:$B$16,4,3))),VALUE(MID($B$4:$B$16,4,3)))+1)))</f>
        <v>Repetido</v>
      </c>
      <c r="C17" s="16" t="str">
        <f>IFERROR(VLOOKUP(F17,D!$A$2:$D$500,3,FALSE),"")</f>
        <v/>
      </c>
      <c r="D17" s="16" t="str">
        <f t="shared" si="0"/>
        <v>Marzo</v>
      </c>
      <c r="E17" s="2"/>
      <c r="F17" s="2"/>
      <c r="G17" s="16" t="str">
        <f>IFERROR(VLOOKUP(F17,Tabla1[#All],2,FALSE),"")</f>
        <v/>
      </c>
      <c r="H17" s="2"/>
      <c r="I17" s="5"/>
      <c r="J17" s="2"/>
      <c r="K17" s="2"/>
      <c r="L17" s="16" t="str">
        <f t="shared" si="1"/>
        <v/>
      </c>
      <c r="M17" s="17">
        <f t="shared" si="2"/>
        <v>0</v>
      </c>
      <c r="N17" s="18" t="str" cm="1">
        <f t="array" ref="N17">NumeLetras(M17,"CON","CENTAVOS",1)</f>
        <v>DOLARES AMERICANOS CON 00/100 CENTAVOS</v>
      </c>
      <c r="O17" s="2"/>
      <c r="P17" s="16" t="str">
        <f>IFERROR(VLOOKUP(G17,Tabla1[[#All],[Código del talento]:[Sec. Factura]],4,FALSE),"")</f>
        <v/>
      </c>
      <c r="Q17" s="2"/>
      <c r="R17" s="3"/>
    </row>
    <row r="18" spans="1:18" ht="31.5" x14ac:dyDescent="0.25">
      <c r="A18" s="16" t="str">
        <f>IFERROR(VLOOKUP(F18,D!$A$2:$D$500,4,FALSE),"")</f>
        <v/>
      </c>
      <c r="B18" s="16" t="str" cm="1">
        <f t="array" ref="B18">IF(COUNTIF($A$4:$A$53,A18)&gt;1,"Repetido",CONCATENATE("BEE",MAX(IF(ISNUMBER(VALUE(MID($B$4:$B$17,4,3))),VALUE(MID($B$4:$B$17,4,3)))+1)))</f>
        <v>Repetido</v>
      </c>
      <c r="C18" s="16" t="str">
        <f>IFERROR(VLOOKUP(F18,D!$A$2:$D$500,3,FALSE),"")</f>
        <v/>
      </c>
      <c r="D18" s="16" t="str">
        <f t="shared" si="0"/>
        <v>Marzo</v>
      </c>
      <c r="E18" s="2"/>
      <c r="F18" s="2"/>
      <c r="G18" s="16" t="str">
        <f>IFERROR(VLOOKUP(F18,Tabla1[#All],2,FALSE),"")</f>
        <v/>
      </c>
      <c r="H18" s="2"/>
      <c r="I18" s="5"/>
      <c r="J18" s="2"/>
      <c r="K18" s="2"/>
      <c r="L18" s="16" t="str">
        <f t="shared" si="1"/>
        <v/>
      </c>
      <c r="M18" s="17">
        <f t="shared" si="2"/>
        <v>0</v>
      </c>
      <c r="N18" s="18" t="str" cm="1">
        <f t="array" ref="N18">NumeLetras(M18,"CON","CENTAVOS",1)</f>
        <v>DOLARES AMERICANOS CON 00/100 CENTAVOS</v>
      </c>
      <c r="O18" s="2"/>
      <c r="P18" s="16" t="str">
        <f>IFERROR(VLOOKUP(G18,Tabla1[[#All],[Código del talento]:[Sec. Factura]],4,FALSE),"")</f>
        <v/>
      </c>
      <c r="Q18" s="2"/>
      <c r="R18" s="3"/>
    </row>
    <row r="19" spans="1:18" ht="31.5" x14ac:dyDescent="0.25">
      <c r="A19" s="16" t="str">
        <f>IFERROR(VLOOKUP(F19,D!$A$2:$D$500,4,FALSE),"")</f>
        <v/>
      </c>
      <c r="B19" s="16" t="str" cm="1">
        <f t="array" ref="B19">IF(COUNTIF($A$4:$A$53,A19)&gt;1,"Repetido",CONCATENATE("BEE",MAX(IF(ISNUMBER(VALUE(MID($B$4:$B$18,4,3))),VALUE(MID($B$4:$B$18,4,3)))+1)))</f>
        <v>Repetido</v>
      </c>
      <c r="C19" s="16" t="str">
        <f>IFERROR(VLOOKUP(F19,D!$A$2:$D$500,3,FALSE),"")</f>
        <v/>
      </c>
      <c r="D19" s="16" t="str">
        <f t="shared" si="0"/>
        <v>Marzo</v>
      </c>
      <c r="E19" s="2"/>
      <c r="F19" s="2"/>
      <c r="G19" s="16" t="str">
        <f>IFERROR(VLOOKUP(F19,Tabla1[#All],2,FALSE),"")</f>
        <v/>
      </c>
      <c r="H19" s="2"/>
      <c r="I19" s="5"/>
      <c r="J19" s="2"/>
      <c r="K19" s="2"/>
      <c r="L19" s="16" t="str">
        <f t="shared" si="1"/>
        <v/>
      </c>
      <c r="M19" s="17">
        <f t="shared" si="2"/>
        <v>0</v>
      </c>
      <c r="N19" s="18" t="str" cm="1">
        <f t="array" ref="N19">NumeLetras(M19,"CON","CENTAVOS",1)</f>
        <v>DOLARES AMERICANOS CON 00/100 CENTAVOS</v>
      </c>
      <c r="O19" s="2"/>
      <c r="P19" s="16" t="str">
        <f>IFERROR(VLOOKUP(G19,Tabla1[[#All],[Código del talento]:[Sec. Factura]],4,FALSE),"")</f>
        <v/>
      </c>
      <c r="Q19" s="2"/>
      <c r="R19" s="3"/>
    </row>
    <row r="20" spans="1:18" ht="31.5" x14ac:dyDescent="0.25">
      <c r="A20" s="16" t="str">
        <f>IFERROR(VLOOKUP(F20,D!$A$2:$D$500,4,FALSE),"")</f>
        <v/>
      </c>
      <c r="B20" s="16" t="str" cm="1">
        <f t="array" ref="B20">IF(COUNTIF($A$4:$A$53,A20)&gt;1,"Repetido",CONCATENATE("BEE",MAX(IF(ISNUMBER(VALUE(MID($B$4:$B$19,4,3))),VALUE(MID($B$4:$B$19,4,3)))+1)))</f>
        <v>Repetido</v>
      </c>
      <c r="C20" s="16" t="str">
        <f>IFERROR(VLOOKUP(F20,D!$A$2:$D$500,3,FALSE),"")</f>
        <v/>
      </c>
      <c r="D20" s="16" t="str">
        <f t="shared" si="0"/>
        <v>Marzo</v>
      </c>
      <c r="E20" s="2"/>
      <c r="F20" s="2"/>
      <c r="G20" s="16" t="str">
        <f>IFERROR(VLOOKUP(F20,Tabla1[#All],2,FALSE),"")</f>
        <v/>
      </c>
      <c r="H20" s="2"/>
      <c r="I20" s="5"/>
      <c r="J20" s="2"/>
      <c r="K20" s="2"/>
      <c r="L20" s="16" t="str">
        <f t="shared" si="1"/>
        <v/>
      </c>
      <c r="M20" s="17">
        <f t="shared" si="2"/>
        <v>0</v>
      </c>
      <c r="N20" s="18" t="str" cm="1">
        <f t="array" ref="N20">NumeLetras(M20,"CON","CENTAVOS",1)</f>
        <v>DOLARES AMERICANOS CON 00/100 CENTAVOS</v>
      </c>
      <c r="O20" s="2"/>
      <c r="P20" s="16" t="str">
        <f>IFERROR(VLOOKUP(G20,Tabla1[[#All],[Código del talento]:[Sec. Factura]],4,FALSE),"")</f>
        <v/>
      </c>
      <c r="Q20" s="2"/>
      <c r="R20" s="3"/>
    </row>
    <row r="21" spans="1:18" ht="31.5" x14ac:dyDescent="0.25">
      <c r="A21" s="16" t="str">
        <f>IFERROR(VLOOKUP(F21,D!$A$2:$D$500,4,FALSE),"")</f>
        <v/>
      </c>
      <c r="B21" s="16" t="str" cm="1">
        <f t="array" ref="B21">IF(COUNTIF($A$4:$A$53,A21)&gt;1,"Repetido",CONCATENATE("BEE",MAX(IF(ISNUMBER(VALUE(MID($B$4:$B$20,4,3))),VALUE(MID($B$4:$B$20,4,3)))+1)))</f>
        <v>Repetido</v>
      </c>
      <c r="C21" s="16" t="str">
        <f>IFERROR(VLOOKUP(F21,D!$A$2:$D$500,3,FALSE),"")</f>
        <v/>
      </c>
      <c r="D21" s="16" t="str">
        <f t="shared" si="0"/>
        <v>Marzo</v>
      </c>
      <c r="E21" s="2"/>
      <c r="F21" s="2"/>
      <c r="G21" s="16" t="str">
        <f>IFERROR(VLOOKUP(F21,Tabla1[#All],2,FALSE),"")</f>
        <v/>
      </c>
      <c r="H21" s="2"/>
      <c r="I21" s="5"/>
      <c r="J21" s="2"/>
      <c r="K21" s="2"/>
      <c r="L21" s="16" t="str">
        <f t="shared" si="1"/>
        <v/>
      </c>
      <c r="M21" s="17">
        <f t="shared" si="2"/>
        <v>0</v>
      </c>
      <c r="N21" s="18" t="str" cm="1">
        <f t="array" ref="N21">NumeLetras(M21,"CON","CENTAVOS",1)</f>
        <v>DOLARES AMERICANOS CON 00/100 CENTAVOS</v>
      </c>
      <c r="O21" s="2"/>
      <c r="P21" s="16" t="str">
        <f>IFERROR(VLOOKUP(G21,Tabla1[[#All],[Código del talento]:[Sec. Factura]],4,FALSE),"")</f>
        <v/>
      </c>
      <c r="Q21" s="2"/>
      <c r="R21" s="3"/>
    </row>
    <row r="22" spans="1:18" ht="31.5" x14ac:dyDescent="0.25">
      <c r="A22" s="16" t="str">
        <f>IFERROR(VLOOKUP(F22,D!$A$2:$D$500,4,FALSE),"")</f>
        <v/>
      </c>
      <c r="B22" s="16" t="str" cm="1">
        <f t="array" ref="B22">IF(COUNTIF($A$4:$A$53,A22)&gt;1,"Repetido",CONCATENATE("BEE",MAX(IF(ISNUMBER(VALUE(MID($B$4:$B$21,4,3))),VALUE(MID($B$4:$B$21,4,3)))+1)))</f>
        <v>Repetido</v>
      </c>
      <c r="C22" s="16" t="str">
        <f>IFERROR(VLOOKUP(F22,D!$A$2:$D$500,3,FALSE),"")</f>
        <v/>
      </c>
      <c r="D22" s="16" t="str">
        <f t="shared" si="0"/>
        <v>Marzo</v>
      </c>
      <c r="E22" s="2"/>
      <c r="F22" s="2"/>
      <c r="G22" s="16" t="str">
        <f>IFERROR(VLOOKUP(F22,Tabla1[#All],2,FALSE),"")</f>
        <v/>
      </c>
      <c r="H22" s="2"/>
      <c r="I22" s="5"/>
      <c r="J22" s="2"/>
      <c r="K22" s="2"/>
      <c r="L22" s="16" t="str">
        <f t="shared" si="1"/>
        <v/>
      </c>
      <c r="M22" s="17">
        <f t="shared" si="2"/>
        <v>0</v>
      </c>
      <c r="N22" s="18" t="str" cm="1">
        <f t="array" ref="N22">NumeLetras(M22,"CON","CENTAVOS",1)</f>
        <v>DOLARES AMERICANOS CON 00/100 CENTAVOS</v>
      </c>
      <c r="O22" s="2"/>
      <c r="P22" s="16" t="str">
        <f>IFERROR(VLOOKUP(G22,Tabla1[[#All],[Código del talento]:[Sec. Factura]],4,FALSE),"")</f>
        <v/>
      </c>
      <c r="Q22" s="2"/>
      <c r="R22" s="3"/>
    </row>
    <row r="23" spans="1:18" ht="31.5" x14ac:dyDescent="0.25">
      <c r="A23" s="16" t="str">
        <f>IFERROR(VLOOKUP(F23,D!$A$2:$D$500,4,FALSE),"")</f>
        <v/>
      </c>
      <c r="B23" s="16" t="str" cm="1">
        <f t="array" ref="B23">IF(COUNTIF($A$4:$A$53,A23)&gt;1,"Repetido",CONCATENATE("BEE",MAX(IF(ISNUMBER(VALUE(MID($B$4:$B$22,4,3))),VALUE(MID($B$4:$B$22,4,3)))+1)))</f>
        <v>Repetido</v>
      </c>
      <c r="C23" s="16" t="str">
        <f>IFERROR(VLOOKUP(F23,D!$A$2:$D$500,3,FALSE),"")</f>
        <v/>
      </c>
      <c r="D23" s="16" t="str">
        <f t="shared" si="0"/>
        <v>Marzo</v>
      </c>
      <c r="E23" s="2"/>
      <c r="F23" s="2"/>
      <c r="G23" s="16" t="str">
        <f>IFERROR(VLOOKUP(F23,Tabla1[#All],2,FALSE),"")</f>
        <v/>
      </c>
      <c r="H23" s="2"/>
      <c r="I23" s="5"/>
      <c r="J23" s="2"/>
      <c r="K23" s="2"/>
      <c r="L23" s="16" t="str">
        <f t="shared" si="1"/>
        <v/>
      </c>
      <c r="M23" s="17">
        <f t="shared" si="2"/>
        <v>0</v>
      </c>
      <c r="N23" s="18" t="str" cm="1">
        <f t="array" ref="N23">NumeLetras(M23,"CON","CENTAVOS",1)</f>
        <v>DOLARES AMERICANOS CON 00/100 CENTAVOS</v>
      </c>
      <c r="O23" s="2"/>
      <c r="P23" s="16" t="str">
        <f>IFERROR(VLOOKUP(G23,Tabla1[[#All],[Código del talento]:[Sec. Factura]],4,FALSE),"")</f>
        <v/>
      </c>
      <c r="Q23" s="2"/>
      <c r="R23" s="3"/>
    </row>
    <row r="24" spans="1:18" ht="31.5" x14ac:dyDescent="0.25">
      <c r="A24" s="16" t="str">
        <f>IFERROR(VLOOKUP(F24,D!$A$2:$D$500,4,FALSE),"")</f>
        <v/>
      </c>
      <c r="B24" s="16" t="str" cm="1">
        <f t="array" ref="B24">IF(COUNTIF($A$4:$A$53,A24)&gt;1,"Repetido",CONCATENATE("BEE",MAX(IF(ISNUMBER(VALUE(MID($B$4:$B$23,4,3))),VALUE(MID($B$4:$B$23,4,3)))+1)))</f>
        <v>Repetido</v>
      </c>
      <c r="C24" s="16" t="str">
        <f>IFERROR(VLOOKUP(F24,D!$A$2:$D$500,3,FALSE),"")</f>
        <v/>
      </c>
      <c r="D24" s="16" t="str">
        <f t="shared" si="0"/>
        <v>Marzo</v>
      </c>
      <c r="E24" s="2"/>
      <c r="F24" s="2"/>
      <c r="G24" s="16" t="str">
        <f>IFERROR(VLOOKUP(F24,Tabla1[#All],2,FALSE),"")</f>
        <v/>
      </c>
      <c r="H24" s="2"/>
      <c r="I24" s="5"/>
      <c r="J24" s="2"/>
      <c r="K24" s="2"/>
      <c r="L24" s="16" t="str">
        <f t="shared" si="1"/>
        <v/>
      </c>
      <c r="M24" s="17">
        <f t="shared" si="2"/>
        <v>0</v>
      </c>
      <c r="N24" s="18" t="str" cm="1">
        <f t="array" ref="N24">NumeLetras(M24,"CON","CENTAVOS",1)</f>
        <v>DOLARES AMERICANOS CON 00/100 CENTAVOS</v>
      </c>
      <c r="O24" s="2"/>
      <c r="P24" s="16" t="str">
        <f>IFERROR(VLOOKUP(G24,Tabla1[[#All],[Código del talento]:[Sec. Factura]],4,FALSE),"")</f>
        <v/>
      </c>
      <c r="Q24" s="2"/>
      <c r="R24" s="3"/>
    </row>
    <row r="25" spans="1:18" ht="31.5" x14ac:dyDescent="0.25">
      <c r="A25" s="16" t="str">
        <f>IFERROR(VLOOKUP(F25,D!$A$2:$D$500,4,FALSE),"")</f>
        <v/>
      </c>
      <c r="B25" s="16" t="str" cm="1">
        <f t="array" ref="B25">IF(COUNTIF($A$4:$A$53,A25)&gt;1,"Repetido",CONCATENATE("BEE",MAX(IF(ISNUMBER(VALUE(MID($B$4:$B$24,4,3))),VALUE(MID($B$4:$B$24,4,3)))+1)))</f>
        <v>Repetido</v>
      </c>
      <c r="C25" s="16" t="str">
        <f>IFERROR(VLOOKUP(F25,D!$A$2:$D$500,3,FALSE),"")</f>
        <v/>
      </c>
      <c r="D25" s="16" t="str">
        <f t="shared" si="0"/>
        <v>Marzo</v>
      </c>
      <c r="E25" s="2"/>
      <c r="F25" s="2"/>
      <c r="G25" s="16" t="str">
        <f>IFERROR(VLOOKUP(F25,Tabla1[#All],2,FALSE),"")</f>
        <v/>
      </c>
      <c r="H25" s="2"/>
      <c r="I25" s="5"/>
      <c r="J25" s="2"/>
      <c r="K25" s="2"/>
      <c r="L25" s="16" t="str">
        <f t="shared" si="1"/>
        <v/>
      </c>
      <c r="M25" s="17">
        <f t="shared" si="2"/>
        <v>0</v>
      </c>
      <c r="N25" s="18" t="str" cm="1">
        <f t="array" ref="N25">NumeLetras(M25,"CON","CENTAVOS",1)</f>
        <v>DOLARES AMERICANOS CON 00/100 CENTAVOS</v>
      </c>
      <c r="O25" s="2"/>
      <c r="P25" s="16" t="str">
        <f>IFERROR(VLOOKUP(G25,Tabla1[[#All],[Código del talento]:[Sec. Factura]],4,FALSE),"")</f>
        <v/>
      </c>
      <c r="Q25" s="2"/>
      <c r="R25" s="3"/>
    </row>
    <row r="26" spans="1:18" ht="31.5" x14ac:dyDescent="0.25">
      <c r="A26" s="16" t="str">
        <f>IFERROR(VLOOKUP(F26,D!$A$2:$D$500,4,FALSE),"")</f>
        <v/>
      </c>
      <c r="B26" s="16" t="str" cm="1">
        <f t="array" ref="B26">IF(COUNTIF($A$4:$A$53,A26)&gt;1,"Repetido",CONCATENATE("BEE",MAX(IF(ISNUMBER(VALUE(MID($B$4:$B$25,4,3))),VALUE(MID($B$4:$B$25,4,3)))+1)))</f>
        <v>Repetido</v>
      </c>
      <c r="C26" s="16" t="str">
        <f>IFERROR(VLOOKUP(F26,D!$A$2:$D$500,3,FALSE),"")</f>
        <v/>
      </c>
      <c r="D26" s="16" t="str">
        <f t="shared" si="0"/>
        <v>Marzo</v>
      </c>
      <c r="E26" s="2"/>
      <c r="F26" s="2"/>
      <c r="G26" s="16" t="str">
        <f>IFERROR(VLOOKUP(F26,Tabla1[#All],2,FALSE),"")</f>
        <v/>
      </c>
      <c r="H26" s="2"/>
      <c r="I26" s="5"/>
      <c r="J26" s="2"/>
      <c r="K26" s="2"/>
      <c r="L26" s="16" t="str">
        <f t="shared" si="1"/>
        <v/>
      </c>
      <c r="M26" s="17">
        <f t="shared" si="2"/>
        <v>0</v>
      </c>
      <c r="N26" s="18" t="str" cm="1">
        <f t="array" ref="N26">NumeLetras(M26,"CON","CENTAVOS",1)</f>
        <v>DOLARES AMERICANOS CON 00/100 CENTAVOS</v>
      </c>
      <c r="O26" s="2"/>
      <c r="P26" s="16" t="str">
        <f>IFERROR(VLOOKUP(G26,Tabla1[[#All],[Código del talento]:[Sec. Factura]],4,FALSE),"")</f>
        <v/>
      </c>
      <c r="Q26" s="2"/>
      <c r="R26" s="3"/>
    </row>
    <row r="27" spans="1:18" ht="31.5" x14ac:dyDescent="0.25">
      <c r="A27" s="16" t="str">
        <f>IFERROR(VLOOKUP(F27,D!$A$2:$D$500,4,FALSE),"")</f>
        <v/>
      </c>
      <c r="B27" s="16" t="str" cm="1">
        <f t="array" ref="B27">IF(COUNTIF($A$4:$A$53,A27)&gt;1,"Repetido",CONCATENATE("BEE",MAX(IF(ISNUMBER(VALUE(MID($B$4:$B$26,4,3))),VALUE(MID($B$4:$B$26,4,3)))+1)))</f>
        <v>Repetido</v>
      </c>
      <c r="C27" s="16" t="str">
        <f>IFERROR(VLOOKUP(F27,D!$A$2:$D$500,3,FALSE),"")</f>
        <v/>
      </c>
      <c r="D27" s="16" t="str">
        <f t="shared" si="0"/>
        <v>Marzo</v>
      </c>
      <c r="E27" s="2"/>
      <c r="F27" s="2"/>
      <c r="G27" s="16" t="str">
        <f>IFERROR(VLOOKUP(F27,Tabla1[#All],2,FALSE),"")</f>
        <v/>
      </c>
      <c r="H27" s="2"/>
      <c r="I27" s="5"/>
      <c r="J27" s="2"/>
      <c r="K27" s="2"/>
      <c r="L27" s="16" t="str">
        <f t="shared" si="1"/>
        <v/>
      </c>
      <c r="M27" s="17">
        <f t="shared" si="2"/>
        <v>0</v>
      </c>
      <c r="N27" s="18" t="str" cm="1">
        <f t="array" ref="N27">NumeLetras(M27,"CON","CENTAVOS",1)</f>
        <v>DOLARES AMERICANOS CON 00/100 CENTAVOS</v>
      </c>
      <c r="O27" s="2"/>
      <c r="P27" s="16" t="str">
        <f>IFERROR(VLOOKUP(G27,Tabla1[[#All],[Código del talento]:[Sec. Factura]],4,FALSE),"")</f>
        <v/>
      </c>
      <c r="Q27" s="2"/>
      <c r="R27" s="3"/>
    </row>
    <row r="28" spans="1:18" ht="31.5" x14ac:dyDescent="0.25">
      <c r="A28" s="16" t="str">
        <f>IFERROR(VLOOKUP(F28,D!$A$2:$D$500,4,FALSE),"")</f>
        <v/>
      </c>
      <c r="B28" s="16" t="str" cm="1">
        <f t="array" ref="B28">IF(COUNTIF($A$4:$A$53,A28)&gt;1,"Repetido",CONCATENATE("BEE",MAX(IF(ISNUMBER(VALUE(MID($B$4:$B$27,4,3))),VALUE(MID($B$4:$B$27,4,3)))+1)))</f>
        <v>Repetido</v>
      </c>
      <c r="C28" s="16" t="str">
        <f>IFERROR(VLOOKUP(F28,D!$A$2:$D$500,3,FALSE),"")</f>
        <v/>
      </c>
      <c r="D28" s="16" t="str">
        <f t="shared" si="0"/>
        <v>Marzo</v>
      </c>
      <c r="E28" s="2"/>
      <c r="F28" s="2"/>
      <c r="G28" s="16" t="str">
        <f>IFERROR(VLOOKUP(F28,Tabla1[#All],2,FALSE),"")</f>
        <v/>
      </c>
      <c r="H28" s="2"/>
      <c r="I28" s="5"/>
      <c r="J28" s="2"/>
      <c r="K28" s="2"/>
      <c r="L28" s="16" t="str">
        <f t="shared" si="1"/>
        <v/>
      </c>
      <c r="M28" s="17">
        <f t="shared" si="2"/>
        <v>0</v>
      </c>
      <c r="N28" s="18" t="str" cm="1">
        <f t="array" ref="N28">NumeLetras(M28,"CON","CENTAVOS",1)</f>
        <v>DOLARES AMERICANOS CON 00/100 CENTAVOS</v>
      </c>
      <c r="O28" s="2"/>
      <c r="P28" s="16" t="str">
        <f>IFERROR(VLOOKUP(G28,Tabla1[[#All],[Código del talento]:[Sec. Factura]],4,FALSE),"")</f>
        <v/>
      </c>
      <c r="Q28" s="2"/>
      <c r="R28" s="3"/>
    </row>
    <row r="29" spans="1:18" ht="31.5" x14ac:dyDescent="0.25">
      <c r="A29" s="16" t="str">
        <f>IFERROR(VLOOKUP(F29,D!$A$2:$D$500,4,FALSE),"")</f>
        <v/>
      </c>
      <c r="B29" s="16" t="str" cm="1">
        <f t="array" ref="B29">IF(COUNTIF($A$4:$A$53,A29)&gt;1,"Repetido",CONCATENATE("BEE",MAX(IF(ISNUMBER(VALUE(MID($B$4:$B$28,4,3))),VALUE(MID($B$4:$B$28,4,3)))+1)))</f>
        <v>Repetido</v>
      </c>
      <c r="C29" s="16" t="str">
        <f>IFERROR(VLOOKUP(F29,D!$A$2:$D$500,3,FALSE),"")</f>
        <v/>
      </c>
      <c r="D29" s="16" t="str">
        <f t="shared" si="0"/>
        <v>Marzo</v>
      </c>
      <c r="E29" s="2"/>
      <c r="F29" s="2"/>
      <c r="G29" s="16" t="str">
        <f>IFERROR(VLOOKUP(F29,Tabla1[#All],2,FALSE),"")</f>
        <v/>
      </c>
      <c r="H29" s="2"/>
      <c r="I29" s="2"/>
      <c r="J29" s="2"/>
      <c r="K29" s="2"/>
      <c r="L29" s="16" t="str">
        <f t="shared" si="1"/>
        <v/>
      </c>
      <c r="M29" s="17">
        <f t="shared" si="2"/>
        <v>0</v>
      </c>
      <c r="N29" s="18" t="str" cm="1">
        <f t="array" ref="N29">NumeLetras(M29,"CON","CENTAVOS",1)</f>
        <v>DOLARES AMERICANOS CON 00/100 CENTAVOS</v>
      </c>
      <c r="O29" s="2"/>
      <c r="P29" s="16" t="str">
        <f>IFERROR(VLOOKUP(G29,Tabla1[[#All],[Código del talento]:[Sec. Factura]],4,FALSE),"")</f>
        <v/>
      </c>
      <c r="Q29" s="2"/>
      <c r="R29" s="2"/>
    </row>
    <row r="30" spans="1:18" ht="31.5" x14ac:dyDescent="0.25">
      <c r="A30" s="16" t="str">
        <f>IFERROR(VLOOKUP(F30,D!$A$2:$D$500,4,FALSE),"")</f>
        <v/>
      </c>
      <c r="B30" s="16" t="str" cm="1">
        <f t="array" ref="B30">IF(COUNTIF($A$4:$A$53,A30)&gt;1,"Repetido",CONCATENATE("BEE",MAX(IF(ISNUMBER(VALUE(MID($B$4:$B$29,4,3))),VALUE(MID($B$4:$B$29,4,3)))+1)))</f>
        <v>Repetido</v>
      </c>
      <c r="C30" s="16" t="str">
        <f>IFERROR(VLOOKUP(F30,D!$A$2:$D$500,3,FALSE),"")</f>
        <v/>
      </c>
      <c r="D30" s="16" t="str">
        <f t="shared" si="0"/>
        <v>Marzo</v>
      </c>
      <c r="E30" s="2"/>
      <c r="F30" s="2"/>
      <c r="G30" s="16" t="str">
        <f>IFERROR(VLOOKUP(F30,Tabla1[#All],2,FALSE),"")</f>
        <v/>
      </c>
      <c r="H30" s="2"/>
      <c r="I30" s="2"/>
      <c r="J30" s="2"/>
      <c r="K30" s="2"/>
      <c r="L30" s="16" t="str">
        <f t="shared" si="1"/>
        <v/>
      </c>
      <c r="M30" s="17">
        <f t="shared" si="2"/>
        <v>0</v>
      </c>
      <c r="N30" s="18" t="str" cm="1">
        <f t="array" ref="N30">NumeLetras(M30,"CON","CENTAVOS",1)</f>
        <v>DOLARES AMERICANOS CON 00/100 CENTAVOS</v>
      </c>
      <c r="O30" s="2"/>
      <c r="P30" s="16" t="str">
        <f>IFERROR(VLOOKUP(G30,Tabla1[[#All],[Código del talento]:[Sec. Factura]],4,FALSE),"")</f>
        <v/>
      </c>
      <c r="Q30" s="2"/>
      <c r="R30" s="2"/>
    </row>
    <row r="31" spans="1:18" ht="31.5" x14ac:dyDescent="0.25">
      <c r="A31" s="16" t="str">
        <f>IFERROR(VLOOKUP(F31,D!$A$2:$D$500,4,FALSE),"")</f>
        <v/>
      </c>
      <c r="B31" s="16" t="str" cm="1">
        <f t="array" ref="B31">IF(COUNTIF($A$4:$A$53,A31)&gt;1,"Repetido",CONCATENATE("BEE",MAX(IF(ISNUMBER(VALUE(MID($B$4:$B$30,4,3))),VALUE(MID($B$4:$B$30,4,3)))+1)))</f>
        <v>Repetido</v>
      </c>
      <c r="C31" s="16" t="str">
        <f>IFERROR(VLOOKUP(F31,D!$A$2:$D$500,3,FALSE),"")</f>
        <v/>
      </c>
      <c r="D31" s="16" t="str">
        <f t="shared" si="0"/>
        <v>Marzo</v>
      </c>
      <c r="E31" s="2"/>
      <c r="F31" s="2"/>
      <c r="G31" s="16" t="str">
        <f>IFERROR(VLOOKUP(F31,Tabla1[#All],2,FALSE),"")</f>
        <v/>
      </c>
      <c r="H31" s="2"/>
      <c r="I31" s="2"/>
      <c r="J31" s="2"/>
      <c r="K31" s="2"/>
      <c r="L31" s="16" t="str">
        <f t="shared" si="1"/>
        <v/>
      </c>
      <c r="M31" s="17">
        <f t="shared" si="2"/>
        <v>0</v>
      </c>
      <c r="N31" s="18" t="str" cm="1">
        <f t="array" ref="N31">NumeLetras(M31,"CON","CENTAVOS",1)</f>
        <v>DOLARES AMERICANOS CON 00/100 CENTAVOS</v>
      </c>
      <c r="O31" s="2"/>
      <c r="P31" s="16" t="str">
        <f>IFERROR(VLOOKUP(G31,Tabla1[[#All],[Código del talento]:[Sec. Factura]],4,FALSE),"")</f>
        <v/>
      </c>
      <c r="Q31" s="2"/>
      <c r="R31" s="2"/>
    </row>
    <row r="32" spans="1:18" ht="31.5" x14ac:dyDescent="0.25">
      <c r="A32" s="16" t="str">
        <f>IFERROR(VLOOKUP(F32,D!$A$2:$D$500,4,FALSE),"")</f>
        <v/>
      </c>
      <c r="B32" s="16" t="str" cm="1">
        <f t="array" ref="B32">IF(COUNTIF($A$4:$A$53,A32)&gt;1,"Repetido",CONCATENATE("BEE",MAX(IF(ISNUMBER(VALUE(MID($B$4:$B$31,4,3))),VALUE(MID($B$4:$B$31,4,3)))+1)))</f>
        <v>Repetido</v>
      </c>
      <c r="C32" s="16" t="str">
        <f>IFERROR(VLOOKUP(F32,D!$A$2:$D$500,3,FALSE),"")</f>
        <v/>
      </c>
      <c r="D32" s="16" t="str">
        <f t="shared" si="0"/>
        <v>Marzo</v>
      </c>
      <c r="E32" s="2"/>
      <c r="F32" s="2"/>
      <c r="G32" s="16" t="str">
        <f>IFERROR(VLOOKUP(F32,Tabla1[#All],2,FALSE),"")</f>
        <v/>
      </c>
      <c r="H32" s="2"/>
      <c r="I32" s="2"/>
      <c r="J32" s="2"/>
      <c r="K32" s="2"/>
      <c r="L32" s="16" t="str">
        <f t="shared" si="1"/>
        <v/>
      </c>
      <c r="M32" s="17">
        <f t="shared" si="2"/>
        <v>0</v>
      </c>
      <c r="N32" s="18" t="str" cm="1">
        <f t="array" ref="N32">NumeLetras(M32,"CON","CENTAVOS",1)</f>
        <v>DOLARES AMERICANOS CON 00/100 CENTAVOS</v>
      </c>
      <c r="O32" s="2"/>
      <c r="P32" s="16" t="str">
        <f>IFERROR(VLOOKUP(G32,Tabla1[[#All],[Código del talento]:[Sec. Factura]],4,FALSE),"")</f>
        <v/>
      </c>
      <c r="Q32" s="2"/>
      <c r="R32" s="2"/>
    </row>
    <row r="33" spans="1:18" ht="31.5" x14ac:dyDescent="0.25">
      <c r="A33" s="16" t="str">
        <f>IFERROR(VLOOKUP(F33,D!$A$2:$D$500,4,FALSE),"")</f>
        <v/>
      </c>
      <c r="B33" s="16" t="str" cm="1">
        <f t="array" ref="B33">IF(COUNTIF($A$4:$A$53,A33)&gt;1,"Repetido",CONCATENATE("BEE",MAX(IF(ISNUMBER(VALUE(MID($B$4:$B$32,4,3))),VALUE(MID($B$4:$B$32,4,3)))+1)))</f>
        <v>Repetido</v>
      </c>
      <c r="C33" s="16" t="str">
        <f>IFERROR(VLOOKUP(F33,D!$A$2:$D$500,3,FALSE),"")</f>
        <v/>
      </c>
      <c r="D33" s="16" t="str">
        <f t="shared" si="0"/>
        <v>Marzo</v>
      </c>
      <c r="E33" s="2"/>
      <c r="F33" s="2"/>
      <c r="G33" s="16" t="str">
        <f>IFERROR(VLOOKUP(F33,Tabla1[#All],2,FALSE),"")</f>
        <v/>
      </c>
      <c r="H33" s="2"/>
      <c r="I33" s="2"/>
      <c r="J33" s="2"/>
      <c r="K33" s="2"/>
      <c r="L33" s="16" t="str">
        <f t="shared" si="1"/>
        <v/>
      </c>
      <c r="M33" s="17">
        <f t="shared" si="2"/>
        <v>0</v>
      </c>
      <c r="N33" s="18" t="str" cm="1">
        <f t="array" ref="N33">NumeLetras(M33,"CON","CENTAVOS",1)</f>
        <v>DOLARES AMERICANOS CON 00/100 CENTAVOS</v>
      </c>
      <c r="O33" s="2"/>
      <c r="P33" s="16" t="str">
        <f>IFERROR(VLOOKUP(G33,Tabla1[[#All],[Código del talento]:[Sec. Factura]],4,FALSE),"")</f>
        <v/>
      </c>
      <c r="Q33" s="2"/>
      <c r="R33" s="2"/>
    </row>
    <row r="34" spans="1:18" ht="31.5" x14ac:dyDescent="0.25">
      <c r="A34" s="16" t="str">
        <f>IFERROR(VLOOKUP(F34,D!$A$2:$D$500,4,FALSE),"")</f>
        <v/>
      </c>
      <c r="B34" s="16" t="str" cm="1">
        <f t="array" ref="B34">IF(COUNTIF($A$4:$A$53,A34)&gt;1,"Repetido",CONCATENATE("BEE",MAX(IF(ISNUMBER(VALUE(MID($B$4:$B$33,4,3))),VALUE(MID($B$4:$B$33,4,3)))+1)))</f>
        <v>Repetido</v>
      </c>
      <c r="C34" s="16" t="str">
        <f>IFERROR(VLOOKUP(F34,D!$A$2:$D$500,3,FALSE),"")</f>
        <v/>
      </c>
      <c r="D34" s="16" t="str">
        <f t="shared" si="0"/>
        <v>Marzo</v>
      </c>
      <c r="E34" s="2"/>
      <c r="F34" s="2"/>
      <c r="G34" s="16" t="str">
        <f>IFERROR(VLOOKUP(F34,Tabla1[#All],2,FALSE),"")</f>
        <v/>
      </c>
      <c r="H34" s="2"/>
      <c r="I34" s="2"/>
      <c r="J34" s="2"/>
      <c r="K34" s="2"/>
      <c r="L34" s="16" t="str">
        <f t="shared" si="1"/>
        <v/>
      </c>
      <c r="M34" s="17">
        <f t="shared" si="2"/>
        <v>0</v>
      </c>
      <c r="N34" s="18" t="str" cm="1">
        <f t="array" ref="N34">NumeLetras(M34,"CON","CENTAVOS",1)</f>
        <v>DOLARES AMERICANOS CON 00/100 CENTAVOS</v>
      </c>
      <c r="O34" s="2"/>
      <c r="P34" s="16" t="str">
        <f>IFERROR(VLOOKUP(G34,Tabla1[[#All],[Código del talento]:[Sec. Factura]],4,FALSE),"")</f>
        <v/>
      </c>
      <c r="Q34" s="2"/>
      <c r="R34" s="2"/>
    </row>
    <row r="35" spans="1:18" ht="31.5" x14ac:dyDescent="0.25">
      <c r="A35" s="16" t="str">
        <f>IFERROR(VLOOKUP(F35,D!$A$2:$D$500,4,FALSE),"")</f>
        <v/>
      </c>
      <c r="B35" s="16" t="str" cm="1">
        <f t="array" ref="B35">IF(COUNTIF($A$4:$A$53,A35)&gt;1,"Repetido",CONCATENATE("BEE",MAX(IF(ISNUMBER(VALUE(MID($B$4:$B$34,4,3))),VALUE(MID($B$4:$B$34,4,3)))+1)))</f>
        <v>Repetido</v>
      </c>
      <c r="C35" s="16" t="str">
        <f>IFERROR(VLOOKUP(F35,D!$A$2:$D$500,3,FALSE),"")</f>
        <v/>
      </c>
      <c r="D35" s="16" t="str">
        <f t="shared" si="0"/>
        <v>Marzo</v>
      </c>
      <c r="E35" s="2"/>
      <c r="F35" s="2"/>
      <c r="G35" s="16" t="str">
        <f>IFERROR(VLOOKUP(F35,Tabla1[#All],2,FALSE),"")</f>
        <v/>
      </c>
      <c r="H35" s="2"/>
      <c r="I35" s="2"/>
      <c r="J35" s="2"/>
      <c r="K35" s="2"/>
      <c r="L35" s="16" t="str">
        <f t="shared" si="1"/>
        <v/>
      </c>
      <c r="M35" s="17">
        <f t="shared" si="2"/>
        <v>0</v>
      </c>
      <c r="N35" s="18" t="str" cm="1">
        <f t="array" ref="N35">NumeLetras(M35,"CON","CENTAVOS",1)</f>
        <v>DOLARES AMERICANOS CON 00/100 CENTAVOS</v>
      </c>
      <c r="O35" s="2"/>
      <c r="P35" s="16" t="str">
        <f>IFERROR(VLOOKUP(G35,Tabla1[[#All],[Código del talento]:[Sec. Factura]],4,FALSE),"")</f>
        <v/>
      </c>
      <c r="Q35" s="2"/>
      <c r="R35" s="2"/>
    </row>
    <row r="36" spans="1:18" ht="31.5" x14ac:dyDescent="0.25">
      <c r="A36" s="16" t="str">
        <f>IFERROR(VLOOKUP(F36,D!$A$2:$D$500,4,FALSE),"")</f>
        <v/>
      </c>
      <c r="B36" s="16" t="str" cm="1">
        <f t="array" ref="B36">IF(COUNTIF($A$4:$A$53,A36)&gt;1,"Repetido",CONCATENATE("BEE",MAX(IF(ISNUMBER(VALUE(MID($B$4:$B$35,4,3))),VALUE(MID($B$4:$B$35,4,3)))+1)))</f>
        <v>Repetido</v>
      </c>
      <c r="C36" s="16" t="str">
        <f>IFERROR(VLOOKUP(F36,D!$A$2:$D$500,3,FALSE),"")</f>
        <v/>
      </c>
      <c r="D36" s="16" t="str">
        <f t="shared" si="0"/>
        <v>Marzo</v>
      </c>
      <c r="E36" s="2"/>
      <c r="F36" s="2"/>
      <c r="G36" s="16" t="str">
        <f>IFERROR(VLOOKUP(F36,Tabla1[#All],2,FALSE),"")</f>
        <v/>
      </c>
      <c r="H36" s="2"/>
      <c r="I36" s="2"/>
      <c r="J36" s="2"/>
      <c r="K36" s="2"/>
      <c r="L36" s="16" t="str">
        <f t="shared" si="1"/>
        <v/>
      </c>
      <c r="M36" s="17">
        <f t="shared" si="2"/>
        <v>0</v>
      </c>
      <c r="N36" s="18" t="str" cm="1">
        <f t="array" ref="N36">NumeLetras(M36,"CON","CENTAVOS",1)</f>
        <v>DOLARES AMERICANOS CON 00/100 CENTAVOS</v>
      </c>
      <c r="O36" s="2"/>
      <c r="P36" s="16" t="str">
        <f>IFERROR(VLOOKUP(G36,Tabla1[[#All],[Código del talento]:[Sec. Factura]],4,FALSE),"")</f>
        <v/>
      </c>
      <c r="Q36" s="2"/>
      <c r="R36" s="2"/>
    </row>
    <row r="37" spans="1:18" ht="31.5" x14ac:dyDescent="0.25">
      <c r="A37" s="16" t="str">
        <f>IFERROR(VLOOKUP(F37,D!$A$2:$D$500,4,FALSE),"")</f>
        <v/>
      </c>
      <c r="B37" s="16" t="str" cm="1">
        <f t="array" ref="B37">IF(COUNTIF($A$4:$A$53,A37)&gt;1,"Repetido",CONCATENATE("BEE",MAX(IF(ISNUMBER(VALUE(MID($B$4:$B$36,4,3))),VALUE(MID($B$4:$B$36,4,3)))+1)))</f>
        <v>Repetido</v>
      </c>
      <c r="C37" s="16" t="str">
        <f>IFERROR(VLOOKUP(F37,D!$A$2:$D$500,3,FALSE),"")</f>
        <v/>
      </c>
      <c r="D37" s="16" t="str">
        <f t="shared" si="0"/>
        <v>Marzo</v>
      </c>
      <c r="E37" s="2"/>
      <c r="F37" s="2"/>
      <c r="G37" s="16" t="str">
        <f>IFERROR(VLOOKUP(F37,Tabla1[#All],2,FALSE),"")</f>
        <v/>
      </c>
      <c r="H37" s="2"/>
      <c r="I37" s="2"/>
      <c r="J37" s="2"/>
      <c r="K37" s="2"/>
      <c r="L37" s="16" t="str">
        <f t="shared" si="1"/>
        <v/>
      </c>
      <c r="M37" s="17">
        <f t="shared" si="2"/>
        <v>0</v>
      </c>
      <c r="N37" s="18" t="str" cm="1">
        <f t="array" ref="N37">NumeLetras(M37,"CON","CENTAVOS",1)</f>
        <v>DOLARES AMERICANOS CON 00/100 CENTAVOS</v>
      </c>
      <c r="O37" s="2"/>
      <c r="P37" s="16" t="str">
        <f>IFERROR(VLOOKUP(G37,Tabla1[[#All],[Código del talento]:[Sec. Factura]],4,FALSE),"")</f>
        <v/>
      </c>
      <c r="Q37" s="2"/>
      <c r="R37" s="2"/>
    </row>
    <row r="38" spans="1:18" ht="31.5" x14ac:dyDescent="0.25">
      <c r="A38" s="16" t="str">
        <f>IFERROR(VLOOKUP(F38,D!$A$2:$D$500,4,FALSE),"")</f>
        <v/>
      </c>
      <c r="B38" s="16" t="str" cm="1">
        <f t="array" ref="B38">IF(COUNTIF($A$4:$A$53,A38)&gt;1,"Repetido",CONCATENATE("BEE",MAX(IF(ISNUMBER(VALUE(MID($B$4:$B$37,4,3))),VALUE(MID($B$4:$B$37,4,3)))+1)))</f>
        <v>Repetido</v>
      </c>
      <c r="C38" s="16" t="str">
        <f>IFERROR(VLOOKUP(F38,D!$A$2:$D$500,3,FALSE),"")</f>
        <v/>
      </c>
      <c r="D38" s="16" t="str">
        <f t="shared" si="0"/>
        <v>Marzo</v>
      </c>
      <c r="E38" s="2"/>
      <c r="F38" s="2"/>
      <c r="G38" s="16" t="str">
        <f>IFERROR(VLOOKUP(F38,Tabla1[#All],2,FALSE),"")</f>
        <v/>
      </c>
      <c r="H38" s="2"/>
      <c r="I38" s="2"/>
      <c r="J38" s="2"/>
      <c r="K38" s="2"/>
      <c r="L38" s="16" t="str">
        <f t="shared" si="1"/>
        <v/>
      </c>
      <c r="M38" s="17">
        <f t="shared" si="2"/>
        <v>0</v>
      </c>
      <c r="N38" s="18" t="str" cm="1">
        <f t="array" ref="N38">NumeLetras(M38,"CON","CENTAVOS",1)</f>
        <v>DOLARES AMERICANOS CON 00/100 CENTAVOS</v>
      </c>
      <c r="O38" s="2"/>
      <c r="P38" s="16" t="str">
        <f>IFERROR(VLOOKUP(G38,Tabla1[[#All],[Código del talento]:[Sec. Factura]],4,FALSE),"")</f>
        <v/>
      </c>
      <c r="Q38" s="2"/>
      <c r="R38" s="2"/>
    </row>
    <row r="39" spans="1:18" ht="31.5" x14ac:dyDescent="0.25">
      <c r="A39" s="16" t="str">
        <f>IFERROR(VLOOKUP(F39,D!$A$2:$D$500,4,FALSE),"")</f>
        <v/>
      </c>
      <c r="B39" s="16" t="str" cm="1">
        <f t="array" ref="B39">IF(COUNTIF($A$4:$A$53,A39)&gt;1,"Repetido",CONCATENATE("BEE",MAX(IF(ISNUMBER(VALUE(MID($B$4:$B$38,4,3))),VALUE(MID($B$4:$B$38,4,3)))+1)))</f>
        <v>Repetido</v>
      </c>
      <c r="C39" s="16" t="str">
        <f>IFERROR(VLOOKUP(F39,D!$A$2:$D$500,3,FALSE),"")</f>
        <v/>
      </c>
      <c r="D39" s="16" t="str">
        <f t="shared" si="0"/>
        <v>Marzo</v>
      </c>
      <c r="E39" s="2"/>
      <c r="F39" s="2"/>
      <c r="G39" s="16" t="str">
        <f>IFERROR(VLOOKUP(F39,Tabla1[#All],2,FALSE),"")</f>
        <v/>
      </c>
      <c r="H39" s="2"/>
      <c r="I39" s="2"/>
      <c r="J39" s="2"/>
      <c r="K39" s="2"/>
      <c r="L39" s="16" t="str">
        <f t="shared" si="1"/>
        <v/>
      </c>
      <c r="M39" s="17">
        <f t="shared" si="2"/>
        <v>0</v>
      </c>
      <c r="N39" s="18" t="str" cm="1">
        <f t="array" ref="N39">NumeLetras(M39,"CON","CENTAVOS",1)</f>
        <v>DOLARES AMERICANOS CON 00/100 CENTAVOS</v>
      </c>
      <c r="O39" s="2"/>
      <c r="P39" s="16" t="str">
        <f>IFERROR(VLOOKUP(G39,Tabla1[[#All],[Código del talento]:[Sec. Factura]],4,FALSE),"")</f>
        <v/>
      </c>
      <c r="Q39" s="2"/>
      <c r="R39" s="2"/>
    </row>
    <row r="40" spans="1:18" ht="31.5" x14ac:dyDescent="0.25">
      <c r="A40" s="16" t="str">
        <f>IFERROR(VLOOKUP(F40,D!$A$2:$D$500,4,FALSE),"")</f>
        <v/>
      </c>
      <c r="B40" s="16" t="str" cm="1">
        <f t="array" ref="B40">IF(COUNTIF($A$4:$A$53,A40)&gt;1,"Repetido",CONCATENATE("BEE",MAX(IF(ISNUMBER(VALUE(MID($B$4:$B$39,4,3))),VALUE(MID($B$4:$B$39,4,3)))+1)))</f>
        <v>Repetido</v>
      </c>
      <c r="C40" s="16" t="str">
        <f>IFERROR(VLOOKUP(F40,D!$A$2:$D$500,3,FALSE),"")</f>
        <v/>
      </c>
      <c r="D40" s="16" t="str">
        <f t="shared" si="0"/>
        <v>Marzo</v>
      </c>
      <c r="E40" s="2"/>
      <c r="F40" s="2"/>
      <c r="G40" s="16" t="str">
        <f>IFERROR(VLOOKUP(F40,Tabla1[#All],2,FALSE),"")</f>
        <v/>
      </c>
      <c r="H40" s="2"/>
      <c r="I40" s="2"/>
      <c r="J40" s="2"/>
      <c r="K40" s="2"/>
      <c r="L40" s="16" t="str">
        <f t="shared" si="1"/>
        <v/>
      </c>
      <c r="M40" s="17">
        <f t="shared" si="2"/>
        <v>0</v>
      </c>
      <c r="N40" s="18" t="str" cm="1">
        <f t="array" ref="N40">NumeLetras(M40,"CON","CENTAVOS",1)</f>
        <v>DOLARES AMERICANOS CON 00/100 CENTAVOS</v>
      </c>
      <c r="O40" s="2"/>
      <c r="P40" s="16" t="str">
        <f>IFERROR(VLOOKUP(G40,Tabla1[[#All],[Código del talento]:[Sec. Factura]],4,FALSE),"")</f>
        <v/>
      </c>
      <c r="Q40" s="2"/>
      <c r="R40" s="2"/>
    </row>
    <row r="41" spans="1:18" ht="31.5" x14ac:dyDescent="0.25">
      <c r="A41" s="16" t="str">
        <f>IFERROR(VLOOKUP(F41,D!$A$2:$D$500,4,FALSE),"")</f>
        <v/>
      </c>
      <c r="B41" s="16" t="str" cm="1">
        <f t="array" ref="B41">IF(COUNTIF($A$4:$A$53,A41)&gt;1,"Repetido",CONCATENATE("BEE",MAX(IF(ISNUMBER(VALUE(MID($B$4:$B$40,4,3))),VALUE(MID($B$4:$B$40,4,3)))+1)))</f>
        <v>Repetido</v>
      </c>
      <c r="C41" s="16" t="str">
        <f>IFERROR(VLOOKUP(F41,D!$A$2:$D$500,3,FALSE),"")</f>
        <v/>
      </c>
      <c r="D41" s="16" t="str">
        <f t="shared" si="0"/>
        <v>Marzo</v>
      </c>
      <c r="E41" s="2"/>
      <c r="F41" s="2"/>
      <c r="G41" s="16" t="str">
        <f>IFERROR(VLOOKUP(F41,Tabla1[#All],2,FALSE),"")</f>
        <v/>
      </c>
      <c r="H41" s="2"/>
      <c r="I41" s="2"/>
      <c r="J41" s="2"/>
      <c r="K41" s="2"/>
      <c r="L41" s="16" t="str">
        <f t="shared" si="1"/>
        <v/>
      </c>
      <c r="M41" s="17">
        <f t="shared" si="2"/>
        <v>0</v>
      </c>
      <c r="N41" s="18" t="str" cm="1">
        <f t="array" ref="N41">NumeLetras(M41,"CON","CENTAVOS",1)</f>
        <v>DOLARES AMERICANOS CON 00/100 CENTAVOS</v>
      </c>
      <c r="O41" s="2"/>
      <c r="P41" s="16" t="str">
        <f>IFERROR(VLOOKUP(G41,Tabla1[[#All],[Código del talento]:[Sec. Factura]],4,FALSE),"")</f>
        <v/>
      </c>
      <c r="Q41" s="2"/>
      <c r="R41" s="2"/>
    </row>
    <row r="42" spans="1:18" ht="31.5" x14ac:dyDescent="0.25">
      <c r="A42" s="16" t="str">
        <f>IFERROR(VLOOKUP(F42,D!$A$2:$D$500,4,FALSE),"")</f>
        <v/>
      </c>
      <c r="B42" s="16" t="str" cm="1">
        <f t="array" ref="B42">IF(COUNTIF($A$4:$A$53,A42)&gt;1,"Repetido",CONCATENATE("BEE",MAX(IF(ISNUMBER(VALUE(MID($B$4:$B$41,4,3))),VALUE(MID($B$4:$B$41,4,3)))+1)))</f>
        <v>Repetido</v>
      </c>
      <c r="C42" s="16" t="str">
        <f>IFERROR(VLOOKUP(F42,D!$A$2:$D$500,3,FALSE),"")</f>
        <v/>
      </c>
      <c r="D42" s="16" t="str">
        <f t="shared" si="0"/>
        <v>Marzo</v>
      </c>
      <c r="E42" s="2"/>
      <c r="F42" s="2"/>
      <c r="G42" s="16" t="str">
        <f>IFERROR(VLOOKUP(F42,Tabla1[#All],2,FALSE),"")</f>
        <v/>
      </c>
      <c r="H42" s="2"/>
      <c r="I42" s="2"/>
      <c r="J42" s="2"/>
      <c r="K42" s="2"/>
      <c r="L42" s="16" t="str">
        <f t="shared" si="1"/>
        <v/>
      </c>
      <c r="M42" s="17">
        <f t="shared" si="2"/>
        <v>0</v>
      </c>
      <c r="N42" s="18" t="str" cm="1">
        <f t="array" ref="N42">NumeLetras(M42,"CON","CENTAVOS",1)</f>
        <v>DOLARES AMERICANOS CON 00/100 CENTAVOS</v>
      </c>
      <c r="O42" s="2"/>
      <c r="P42" s="16" t="str">
        <f>IFERROR(VLOOKUP(G42,Tabla1[[#All],[Código del talento]:[Sec. Factura]],4,FALSE),"")</f>
        <v/>
      </c>
      <c r="Q42" s="2"/>
      <c r="R42" s="2"/>
    </row>
    <row r="43" spans="1:18" ht="31.5" x14ac:dyDescent="0.25">
      <c r="A43" s="16" t="str">
        <f>IFERROR(VLOOKUP(F43,D!$A$2:$D$500,4,FALSE),"")</f>
        <v/>
      </c>
      <c r="B43" s="16" t="str" cm="1">
        <f t="array" ref="B43">IF(COUNTIF($A$4:$A$53,A43)&gt;1,"Repetido",CONCATENATE("BEE",MAX(IF(ISNUMBER(VALUE(MID($B$4:$B$42,4,3))),VALUE(MID($B$4:$B$42,4,3)))+1)))</f>
        <v>Repetido</v>
      </c>
      <c r="C43" s="16" t="str">
        <f>IFERROR(VLOOKUP(F43,D!$A$2:$D$500,3,FALSE),"")</f>
        <v/>
      </c>
      <c r="D43" s="16" t="str">
        <f t="shared" si="0"/>
        <v>Marzo</v>
      </c>
      <c r="E43" s="2"/>
      <c r="F43" s="2"/>
      <c r="G43" s="16" t="str">
        <f>IFERROR(VLOOKUP(F43,Tabla1[#All],2,FALSE),"")</f>
        <v/>
      </c>
      <c r="H43" s="2"/>
      <c r="I43" s="2"/>
      <c r="J43" s="2"/>
      <c r="K43" s="2"/>
      <c r="L43" s="16" t="str">
        <f t="shared" si="1"/>
        <v/>
      </c>
      <c r="M43" s="17">
        <f t="shared" si="2"/>
        <v>0</v>
      </c>
      <c r="N43" s="18" t="str" cm="1">
        <f t="array" ref="N43">NumeLetras(M43,"CON","CENTAVOS",1)</f>
        <v>DOLARES AMERICANOS CON 00/100 CENTAVOS</v>
      </c>
      <c r="O43" s="2"/>
      <c r="P43" s="16" t="str">
        <f>IFERROR(VLOOKUP(G43,Tabla1[[#All],[Código del talento]:[Sec. Factura]],4,FALSE),"")</f>
        <v/>
      </c>
      <c r="Q43" s="2"/>
      <c r="R43" s="2"/>
    </row>
    <row r="44" spans="1:18" ht="31.5" x14ac:dyDescent="0.25">
      <c r="A44" s="16" t="str">
        <f>IFERROR(VLOOKUP(F44,D!$A$2:$D$500,4,FALSE),"")</f>
        <v/>
      </c>
      <c r="B44" s="16" t="str" cm="1">
        <f t="array" ref="B44">IF(COUNTIF($A$4:$A$53,A44)&gt;1,"Repetido",CONCATENATE("BEE",MAX(IF(ISNUMBER(VALUE(MID($B$4:$B$43,4,3))),VALUE(MID($B$4:$B$43,4,3)))+1)))</f>
        <v>Repetido</v>
      </c>
      <c r="C44" s="16" t="str">
        <f>IFERROR(VLOOKUP(F44,D!$A$2:$D$500,3,FALSE),"")</f>
        <v/>
      </c>
      <c r="D44" s="16" t="str">
        <f t="shared" si="0"/>
        <v>Marzo</v>
      </c>
      <c r="E44" s="2"/>
      <c r="F44" s="2"/>
      <c r="G44" s="16" t="str">
        <f>IFERROR(VLOOKUP(F44,Tabla1[#All],2,FALSE),"")</f>
        <v/>
      </c>
      <c r="H44" s="2"/>
      <c r="I44" s="2"/>
      <c r="J44" s="2"/>
      <c r="K44" s="2"/>
      <c r="L44" s="16" t="str">
        <f t="shared" si="1"/>
        <v/>
      </c>
      <c r="M44" s="17">
        <f t="shared" si="2"/>
        <v>0</v>
      </c>
      <c r="N44" s="18" t="str" cm="1">
        <f t="array" ref="N44">NumeLetras(M44,"CON","CENTAVOS",1)</f>
        <v>DOLARES AMERICANOS CON 00/100 CENTAVOS</v>
      </c>
      <c r="O44" s="2"/>
      <c r="P44" s="16" t="str">
        <f>IFERROR(VLOOKUP(G44,Tabla1[[#All],[Código del talento]:[Sec. Factura]],4,FALSE),"")</f>
        <v/>
      </c>
      <c r="Q44" s="2"/>
      <c r="R44" s="2"/>
    </row>
    <row r="45" spans="1:18" ht="31.5" x14ac:dyDescent="0.25">
      <c r="A45" s="16" t="str">
        <f>IFERROR(VLOOKUP(F45,D!$A$2:$D$500,4,FALSE),"")</f>
        <v/>
      </c>
      <c r="B45" s="16" t="str" cm="1">
        <f t="array" ref="B45">IF(COUNTIF($A$4:$A$53,A45)&gt;1,"Repetido",CONCATENATE("BEE",MAX(IF(ISNUMBER(VALUE(MID($B$4:$B$44,4,3))),VALUE(MID($B$4:$B$44,4,3)))+1)))</f>
        <v>Repetido</v>
      </c>
      <c r="C45" s="16" t="str">
        <f>IFERROR(VLOOKUP(F45,D!$A$2:$D$500,3,FALSE),"")</f>
        <v/>
      </c>
      <c r="D45" s="16" t="str">
        <f t="shared" si="0"/>
        <v>Marzo</v>
      </c>
      <c r="E45" s="2"/>
      <c r="F45" s="2"/>
      <c r="G45" s="16" t="str">
        <f>IFERROR(VLOOKUP(F45,Tabla1[#All],2,FALSE),"")</f>
        <v/>
      </c>
      <c r="H45" s="2"/>
      <c r="I45" s="2"/>
      <c r="J45" s="2"/>
      <c r="K45" s="2"/>
      <c r="L45" s="16" t="str">
        <f t="shared" si="1"/>
        <v/>
      </c>
      <c r="M45" s="17">
        <f t="shared" si="2"/>
        <v>0</v>
      </c>
      <c r="N45" s="18" t="str" cm="1">
        <f t="array" ref="N45">NumeLetras(M45,"CON","CENTAVOS",1)</f>
        <v>DOLARES AMERICANOS CON 00/100 CENTAVOS</v>
      </c>
      <c r="O45" s="2"/>
      <c r="P45" s="16" t="str">
        <f>IFERROR(VLOOKUP(G45,Tabla1[[#All],[Código del talento]:[Sec. Factura]],4,FALSE),"")</f>
        <v/>
      </c>
      <c r="Q45" s="2"/>
      <c r="R45" s="2"/>
    </row>
    <row r="46" spans="1:18" ht="31.5" x14ac:dyDescent="0.25">
      <c r="A46" s="16" t="str">
        <f>IFERROR(VLOOKUP(F46,D!$A$2:$D$500,4,FALSE),"")</f>
        <v/>
      </c>
      <c r="B46" s="16" t="str" cm="1">
        <f t="array" ref="B46">IF(COUNTIF($A$4:$A$53,A46)&gt;1,"Repetido",CONCATENATE("BEE",MAX(IF(ISNUMBER(VALUE(MID($B$4:$B$45,4,3))),VALUE(MID($B$4:$B$45,4,3)))+1)))</f>
        <v>Repetido</v>
      </c>
      <c r="C46" s="16" t="str">
        <f>IFERROR(VLOOKUP(F46,D!$A$2:$D$500,3,FALSE),"")</f>
        <v/>
      </c>
      <c r="D46" s="16" t="str">
        <f t="shared" si="0"/>
        <v>Marzo</v>
      </c>
      <c r="E46" s="2"/>
      <c r="F46" s="2"/>
      <c r="G46" s="16" t="str">
        <f>IFERROR(VLOOKUP(F46,Tabla1[#All],2,FALSE),"")</f>
        <v/>
      </c>
      <c r="H46" s="2"/>
      <c r="I46" s="2"/>
      <c r="J46" s="2"/>
      <c r="K46" s="2"/>
      <c r="L46" s="16" t="str">
        <f t="shared" si="1"/>
        <v/>
      </c>
      <c r="M46" s="17">
        <f t="shared" si="2"/>
        <v>0</v>
      </c>
      <c r="N46" s="18" t="str" cm="1">
        <f t="array" ref="N46">NumeLetras(M46,"CON","CENTAVOS",1)</f>
        <v>DOLARES AMERICANOS CON 00/100 CENTAVOS</v>
      </c>
      <c r="O46" s="2"/>
      <c r="P46" s="16" t="str">
        <f>IFERROR(VLOOKUP(G46,Tabla1[[#All],[Código del talento]:[Sec. Factura]],4,FALSE),"")</f>
        <v/>
      </c>
      <c r="Q46" s="2"/>
      <c r="R46" s="2"/>
    </row>
    <row r="47" spans="1:18" ht="31.5" x14ac:dyDescent="0.25">
      <c r="A47" s="16" t="str">
        <f>IFERROR(VLOOKUP(F47,D!$A$2:$D$500,4,FALSE),"")</f>
        <v/>
      </c>
      <c r="B47" s="16" t="str" cm="1">
        <f t="array" ref="B47">IF(COUNTIF($A$4:$A$53,A47)&gt;1,"Repetido",CONCATENATE("BEE",MAX(IF(ISNUMBER(VALUE(MID($B$4:$B$46,4,3))),VALUE(MID($B$4:$B$46,4,3)))+1)))</f>
        <v>Repetido</v>
      </c>
      <c r="C47" s="16" t="str">
        <f>IFERROR(VLOOKUP(F47,D!$A$2:$D$500,3,FALSE),"")</f>
        <v/>
      </c>
      <c r="D47" s="16" t="str">
        <f t="shared" si="0"/>
        <v>Marzo</v>
      </c>
      <c r="E47" s="2"/>
      <c r="F47" s="2"/>
      <c r="G47" s="16" t="str">
        <f>IFERROR(VLOOKUP(F47,Tabla1[#All],2,FALSE),"")</f>
        <v/>
      </c>
      <c r="H47" s="2"/>
      <c r="I47" s="2"/>
      <c r="J47" s="2"/>
      <c r="K47" s="2"/>
      <c r="L47" s="16" t="str">
        <f t="shared" si="1"/>
        <v/>
      </c>
      <c r="M47" s="17">
        <f t="shared" si="2"/>
        <v>0</v>
      </c>
      <c r="N47" s="18" t="str" cm="1">
        <f t="array" ref="N47">NumeLetras(M47,"CON","CENTAVOS",1)</f>
        <v>DOLARES AMERICANOS CON 00/100 CENTAVOS</v>
      </c>
      <c r="O47" s="2"/>
      <c r="P47" s="16" t="str">
        <f>IFERROR(VLOOKUP(G47,Tabla1[[#All],[Código del talento]:[Sec. Factura]],4,FALSE),"")</f>
        <v/>
      </c>
      <c r="Q47" s="2"/>
      <c r="R47" s="2"/>
    </row>
    <row r="48" spans="1:18" ht="31.5" x14ac:dyDescent="0.25">
      <c r="A48" s="16" t="str">
        <f>IFERROR(VLOOKUP(F48,D!$A$2:$D$500,4,FALSE),"")</f>
        <v/>
      </c>
      <c r="B48" s="16" t="str" cm="1">
        <f t="array" ref="B48">IF(COUNTIF($A$4:$A$53,A48)&gt;1,"Repetido",CONCATENATE("BEE",MAX(IF(ISNUMBER(VALUE(MID($B$4:$B$47,4,3))),VALUE(MID($B$4:$B$47,4,3)))+1)))</f>
        <v>Repetido</v>
      </c>
      <c r="C48" s="16" t="str">
        <f>IFERROR(VLOOKUP(F48,D!$A$2:$D$500,3,FALSE),"")</f>
        <v/>
      </c>
      <c r="D48" s="16" t="str">
        <f t="shared" si="0"/>
        <v>Marzo</v>
      </c>
      <c r="E48" s="2"/>
      <c r="F48" s="2"/>
      <c r="G48" s="16" t="str">
        <f>IFERROR(VLOOKUP(F48,Tabla1[#All],2,FALSE),"")</f>
        <v/>
      </c>
      <c r="H48" s="2"/>
      <c r="I48" s="2"/>
      <c r="J48" s="2"/>
      <c r="K48" s="2"/>
      <c r="L48" s="16" t="str">
        <f t="shared" si="1"/>
        <v/>
      </c>
      <c r="M48" s="17">
        <f t="shared" si="2"/>
        <v>0</v>
      </c>
      <c r="N48" s="18" t="str" cm="1">
        <f t="array" ref="N48">NumeLetras(M48,"CON","CENTAVOS",1)</f>
        <v>DOLARES AMERICANOS CON 00/100 CENTAVOS</v>
      </c>
      <c r="O48" s="2"/>
      <c r="P48" s="16" t="str">
        <f>IFERROR(VLOOKUP(G48,Tabla1[[#All],[Código del talento]:[Sec. Factura]],4,FALSE),"")</f>
        <v/>
      </c>
      <c r="Q48" s="2"/>
      <c r="R48" s="2"/>
    </row>
    <row r="49" spans="1:18" ht="31.5" x14ac:dyDescent="0.25">
      <c r="A49" s="16" t="str">
        <f>IFERROR(VLOOKUP(F49,D!$A$2:$D$500,4,FALSE),"")</f>
        <v/>
      </c>
      <c r="B49" s="16" t="str" cm="1">
        <f t="array" ref="B49">IF(COUNTIF($A$4:$A$53,A49)&gt;1,"Repetido",CONCATENATE("BEE",MAX(IF(ISNUMBER(VALUE(MID($B$4:$B$48,4,3))),VALUE(MID($B$4:$B$48,4,3)))+1)))</f>
        <v>Repetido</v>
      </c>
      <c r="C49" s="16" t="str">
        <f>IFERROR(VLOOKUP(F49,D!$A$2:$D$500,3,FALSE),"")</f>
        <v/>
      </c>
      <c r="D49" s="16" t="str">
        <f t="shared" si="0"/>
        <v>Marzo</v>
      </c>
      <c r="E49" s="2"/>
      <c r="F49" s="2"/>
      <c r="G49" s="16" t="str">
        <f>IFERROR(VLOOKUP(F49,Tabla1[#All],2,FALSE),"")</f>
        <v/>
      </c>
      <c r="H49" s="2"/>
      <c r="I49" s="2"/>
      <c r="J49" s="2"/>
      <c r="K49" s="2"/>
      <c r="L49" s="16" t="str">
        <f t="shared" si="1"/>
        <v/>
      </c>
      <c r="M49" s="17">
        <f t="shared" si="2"/>
        <v>0</v>
      </c>
      <c r="N49" s="18" t="str" cm="1">
        <f t="array" ref="N49">NumeLetras(M49,"CON","CENTAVOS",1)</f>
        <v>DOLARES AMERICANOS CON 00/100 CENTAVOS</v>
      </c>
      <c r="O49" s="2"/>
      <c r="P49" s="16" t="str">
        <f>IFERROR(VLOOKUP(G49,Tabla1[[#All],[Código del talento]:[Sec. Factura]],4,FALSE),"")</f>
        <v/>
      </c>
      <c r="Q49" s="2"/>
      <c r="R49" s="2"/>
    </row>
    <row r="50" spans="1:18" ht="31.5" x14ac:dyDescent="0.25">
      <c r="A50" s="16" t="str">
        <f>IFERROR(VLOOKUP(F50,D!$A$2:$D$500,4,FALSE),"")</f>
        <v/>
      </c>
      <c r="B50" s="16" t="str" cm="1">
        <f t="array" ref="B50">IF(COUNTIF($A$4:$A$53,A50)&gt;1,"Repetido",CONCATENATE("BEE",MAX(IF(ISNUMBER(VALUE(MID($B$4:$B$49,4,3))),VALUE(MID($B$4:$B$49,4,3)))+1)))</f>
        <v>Repetido</v>
      </c>
      <c r="C50" s="16" t="str">
        <f>IFERROR(VLOOKUP(F50,D!$A$2:$D$500,3,FALSE),"")</f>
        <v/>
      </c>
      <c r="D50" s="16" t="str">
        <f t="shared" si="0"/>
        <v>Marzo</v>
      </c>
      <c r="E50" s="2"/>
      <c r="F50" s="2"/>
      <c r="G50" s="16" t="str">
        <f>IFERROR(VLOOKUP(F50,Tabla1[#All],2,FALSE),"")</f>
        <v/>
      </c>
      <c r="H50" s="2"/>
      <c r="I50" s="2"/>
      <c r="J50" s="2"/>
      <c r="K50" s="2"/>
      <c r="L50" s="16" t="str">
        <f t="shared" si="1"/>
        <v/>
      </c>
      <c r="M50" s="17">
        <f t="shared" si="2"/>
        <v>0</v>
      </c>
      <c r="N50" s="18" t="str" cm="1">
        <f t="array" ref="N50">NumeLetras(M50,"CON","CENTAVOS",1)</f>
        <v>DOLARES AMERICANOS CON 00/100 CENTAVOS</v>
      </c>
      <c r="O50" s="2"/>
      <c r="P50" s="16" t="str">
        <f>IFERROR(VLOOKUP(G50,Tabla1[[#All],[Código del talento]:[Sec. Factura]],4,FALSE),"")</f>
        <v/>
      </c>
      <c r="Q50" s="2"/>
      <c r="R50" s="2"/>
    </row>
    <row r="51" spans="1:18" ht="31.5" x14ac:dyDescent="0.25">
      <c r="A51" s="16" t="str">
        <f>IFERROR(VLOOKUP(F51,D!$A$2:$D$500,4,FALSE),"")</f>
        <v/>
      </c>
      <c r="B51" s="16" t="str" cm="1">
        <f t="array" ref="B51">IF(COUNTIF($A$4:$A$53,A51)&gt;1,"Repetido",CONCATENATE("BEE",MAX(IF(ISNUMBER(VALUE(MID($B$4:$B$50,4,3))),VALUE(MID($B$4:$B$50,4,3)))+1)))</f>
        <v>Repetido</v>
      </c>
      <c r="C51" s="16" t="str">
        <f>IFERROR(VLOOKUP(F51,D!$A$2:$D$500,3,FALSE),"")</f>
        <v/>
      </c>
      <c r="D51" s="16" t="str">
        <f t="shared" si="0"/>
        <v>Marzo</v>
      </c>
      <c r="E51" s="2"/>
      <c r="F51" s="2"/>
      <c r="G51" s="16" t="str">
        <f>IFERROR(VLOOKUP(F51,Tabla1[#All],2,FALSE),"")</f>
        <v/>
      </c>
      <c r="H51" s="2"/>
      <c r="I51" s="2"/>
      <c r="J51" s="2"/>
      <c r="K51" s="2"/>
      <c r="L51" s="16" t="str">
        <f t="shared" si="1"/>
        <v/>
      </c>
      <c r="M51" s="17">
        <f t="shared" si="2"/>
        <v>0</v>
      </c>
      <c r="N51" s="18" t="str" cm="1">
        <f t="array" ref="N51">NumeLetras(M51,"CON","CENTAVOS",1)</f>
        <v>DOLARES AMERICANOS CON 00/100 CENTAVOS</v>
      </c>
      <c r="O51" s="2"/>
      <c r="P51" s="16" t="str">
        <f>IFERROR(VLOOKUP(G51,Tabla1[[#All],[Código del talento]:[Sec. Factura]],4,FALSE),"")</f>
        <v/>
      </c>
      <c r="Q51" s="2"/>
      <c r="R51" s="2"/>
    </row>
    <row r="52" spans="1:18" ht="31.5" x14ac:dyDescent="0.25">
      <c r="A52" s="16" t="str">
        <f>IFERROR(VLOOKUP(F52,D!$A$2:$D$500,4,FALSE),"")</f>
        <v/>
      </c>
      <c r="B52" s="16" t="str" cm="1">
        <f t="array" ref="B52">IF(COUNTIF($A$4:$A$53,A52)&gt;1,"Repetido",CONCATENATE("BEE",MAX(IF(ISNUMBER(VALUE(MID($B$4:$B$51,4,3))),VALUE(MID($B$4:$B$51,4,3)))+1)))</f>
        <v>Repetido</v>
      </c>
      <c r="C52" s="16" t="str">
        <f>IFERROR(VLOOKUP(F52,D!$A$2:$D$500,3,FALSE),"")</f>
        <v/>
      </c>
      <c r="D52" s="16" t="str">
        <f t="shared" si="0"/>
        <v>Marzo</v>
      </c>
      <c r="E52" s="2"/>
      <c r="F52" s="2"/>
      <c r="G52" s="16" t="str">
        <f>IFERROR(VLOOKUP(F52,Tabla1[#All],2,FALSE),"")</f>
        <v/>
      </c>
      <c r="H52" s="2"/>
      <c r="I52" s="2"/>
      <c r="J52" s="2"/>
      <c r="K52" s="2"/>
      <c r="L52" s="16" t="str">
        <f t="shared" si="1"/>
        <v/>
      </c>
      <c r="M52" s="17">
        <f t="shared" si="2"/>
        <v>0</v>
      </c>
      <c r="N52" s="18" t="str" cm="1">
        <f t="array" ref="N52">NumeLetras(M52,"CON","CENTAVOS",1)</f>
        <v>DOLARES AMERICANOS CON 00/100 CENTAVOS</v>
      </c>
      <c r="O52" s="2"/>
      <c r="P52" s="16" t="str">
        <f>IFERROR(VLOOKUP(G52,Tabla1[[#All],[Código del talento]:[Sec. Factura]],4,FALSE),"")</f>
        <v/>
      </c>
      <c r="Q52" s="2"/>
      <c r="R52" s="2"/>
    </row>
    <row r="53" spans="1:18" ht="31.5" x14ac:dyDescent="0.25">
      <c r="A53" s="16" t="str">
        <f>IFERROR(VLOOKUP(F53,D!$A$2:$D$500,4,FALSE),"")</f>
        <v/>
      </c>
      <c r="B53" s="16" t="str" cm="1">
        <f t="array" ref="B53">IF(COUNTIF($A$4:$A$53,A53)&gt;1,"Repetido",CONCATENATE("BEE",MAX(IF(ISNUMBER(VALUE(MID($B$4:$B$52,4,3))),VALUE(MID($B$4:$B$52,4,3)))+1)))</f>
        <v>Repetido</v>
      </c>
      <c r="C53" s="16" t="str">
        <f>IFERROR(VLOOKUP(F53,D!$A$2:$D$500,3,FALSE),"")</f>
        <v/>
      </c>
      <c r="D53" s="16" t="str">
        <f t="shared" si="0"/>
        <v>Marzo</v>
      </c>
      <c r="E53" s="2"/>
      <c r="F53" s="2"/>
      <c r="G53" s="16" t="str">
        <f>IFERROR(VLOOKUP(F53,Tabla1[#All],2,FALSE),"")</f>
        <v/>
      </c>
      <c r="H53" s="2"/>
      <c r="I53" s="2"/>
      <c r="J53" s="2"/>
      <c r="K53" s="2"/>
      <c r="L53" s="16" t="str">
        <f t="shared" si="1"/>
        <v/>
      </c>
      <c r="M53" s="17">
        <f t="shared" si="2"/>
        <v>0</v>
      </c>
      <c r="N53" s="18" t="str" cm="1">
        <f t="array" ref="N53">NumeLetras(M53,"CON","CENTAVOS",1)</f>
        <v>DOLARES AMERICANOS CON 00/100 CENTAVOS</v>
      </c>
      <c r="O53" s="2"/>
      <c r="P53" s="16" t="str">
        <f>IFERROR(VLOOKUP(G53,Tabla1[[#All],[Código del talento]:[Sec. Factura]],4,FALSE),"")</f>
        <v/>
      </c>
      <c r="Q53" s="2"/>
      <c r="R53" s="2"/>
    </row>
  </sheetData>
  <phoneticPr fontId="20" type="noConversion"/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6B45A2-87B2-4E58-BB86-F4DC91CA6EF1}">
          <x14:formula1>
            <xm:f>D!$D$1:$D$1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119FA-4BBF-45D3-B5EF-CE7853779A56}">
  <sheetPr codeName="Hoja2"/>
  <dimension ref="A1:M51"/>
  <sheetViews>
    <sheetView tabSelected="1" workbookViewId="0">
      <selection activeCell="F2" sqref="F2"/>
    </sheetView>
  </sheetViews>
  <sheetFormatPr baseColWidth="10" defaultRowHeight="15.75" x14ac:dyDescent="0.25"/>
  <cols>
    <col min="1" max="1" width="18.85546875" style="1" customWidth="1"/>
    <col min="2" max="2" width="11.7109375" style="1" bestFit="1" customWidth="1"/>
    <col min="3" max="5" width="11.7109375" style="1" customWidth="1"/>
    <col min="6" max="6" width="65.28515625" style="1" customWidth="1"/>
    <col min="7" max="7" width="15.5703125" style="1" bestFit="1" customWidth="1"/>
    <col min="8" max="8" width="11.42578125" style="1"/>
    <col min="9" max="9" width="13.7109375" style="1" bestFit="1" customWidth="1"/>
    <col min="10" max="10" width="11.42578125" style="1"/>
    <col min="11" max="11" width="16.42578125" style="1" bestFit="1" customWidth="1"/>
    <col min="12" max="12" width="34.42578125" style="1" customWidth="1"/>
    <col min="13" max="13" width="37.28515625" style="1" customWidth="1"/>
    <col min="14" max="14" width="11.42578125" style="1"/>
    <col min="15" max="15" width="15.7109375" style="1" bestFit="1" customWidth="1"/>
    <col min="16" max="16384" width="11.42578125" style="1"/>
  </cols>
  <sheetData>
    <row r="1" spans="1:13" ht="42.75" customHeight="1" x14ac:dyDescent="0.25">
      <c r="A1" s="7" t="s">
        <v>0</v>
      </c>
      <c r="B1" s="7" t="s">
        <v>27</v>
      </c>
      <c r="C1" s="7" t="s">
        <v>2</v>
      </c>
      <c r="D1" s="7" t="s">
        <v>22</v>
      </c>
      <c r="E1" s="7" t="s">
        <v>28</v>
      </c>
      <c r="F1" s="7" t="s">
        <v>10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8</v>
      </c>
      <c r="L1" s="7" t="s">
        <v>9</v>
      </c>
      <c r="M1" s="7" t="s">
        <v>26</v>
      </c>
    </row>
    <row r="2" spans="1:13" ht="47.25" x14ac:dyDescent="0.25">
      <c r="A2" s="2" t="str">
        <f>IF(Registro!A10&lt;&gt;"",Registro!A10,"")</f>
        <v/>
      </c>
      <c r="B2" s="2" t="str">
        <f>IF(Registro!B10&lt;&gt;"",VLOOKUP(A2,Registro!$A$4:$R$53,2,FALSE),"")</f>
        <v>BEE713</v>
      </c>
      <c r="C2" s="2" t="str">
        <f>IF(Registro!D10&lt;&gt;"",Registro!D10,"")</f>
        <v>Marzo</v>
      </c>
      <c r="D2" s="2" t="str">
        <f>IF(Registro!E10&lt;&gt;"",Registro!E10,"")</f>
        <v/>
      </c>
      <c r="E2" s="2" t="str">
        <f>IF(Registro!F10&lt;&gt;"",Registro!G10,"")</f>
        <v/>
      </c>
      <c r="F2" s="4" t="str">
        <f>IF(Registro!F10&lt;&gt;"",CONCATENATE("Servicio de consultoría BEE Consultoría &amp; Negocios"," ",","," ","Contrato"," ",Registro!C10," ","-"," ",Registro!F10," ","-"," ","Servicio de"," ",Registro!D10," ","-"," ",Registro!O10," ","-"," ",Registro!A10," ",Registro!Q10," ",Registro!R10),"")</f>
        <v/>
      </c>
      <c r="G2" s="2" t="str">
        <f>IF(Registro!H10&lt;&gt;"",Registro!H10,"")</f>
        <v/>
      </c>
      <c r="H2" s="2" t="str">
        <f>IF(Registro!I10&lt;&gt;"",Registro!I10,"")</f>
        <v/>
      </c>
      <c r="I2" s="2" t="str">
        <f>IF(Registro!J10&lt;&gt;"",Registro!J10,"")</f>
        <v/>
      </c>
      <c r="J2" s="2" t="str">
        <f>IF(Registro!K10&lt;&gt;"",Registro!K10,"")</f>
        <v/>
      </c>
      <c r="K2" s="2">
        <f>IF(Registro!M10&lt;&gt;"",Registro!M10,"")</f>
        <v>0</v>
      </c>
      <c r="L2" s="3" t="str">
        <f>IF(Registro!N10&lt;&gt;"",Registro!N10,"")</f>
        <v>DOLARES AMERICANOS CON 00/100 CENTAVOS</v>
      </c>
      <c r="M2" s="3" t="str">
        <f>IFERROR(VLOOKUP(E2,Tabla1[[#All],[Código del talento]:[Sec. Factura]],4,FALSE),"")</f>
        <v/>
      </c>
    </row>
    <row r="3" spans="1:13" ht="47.25" x14ac:dyDescent="0.25">
      <c r="A3" s="2" t="str">
        <f>IF(Registro!A21&lt;&gt;"",Registro!A21,"")</f>
        <v/>
      </c>
      <c r="B3" s="2" t="str">
        <f>IF(Registro!B21&lt;&gt;"",VLOOKUP(A3,Registro!$A$4:$R$53,2,FALSE),"")</f>
        <v>BEE713</v>
      </c>
      <c r="C3" s="2" t="str">
        <f>IF(Registro!D21&lt;&gt;"",Registro!D21,"")</f>
        <v>Marzo</v>
      </c>
      <c r="D3" s="2" t="str">
        <f>IF(Registro!E21&lt;&gt;"",Registro!E21,"")</f>
        <v/>
      </c>
      <c r="E3" s="2" t="str">
        <f>IF(Registro!F21&lt;&gt;"",Registro!G21,"")</f>
        <v/>
      </c>
      <c r="F3" s="4" t="str">
        <f>IF(Registro!F21&lt;&gt;"",CONCATENATE("Servicio de consultoría BEE Consultoría &amp; Negocios"," ",","," ","Contrato"," ",Registro!C21," ","-"," ",Registro!F21," ","-"," ","Servicio de"," ",Registro!D21," ","-"," ",Registro!O21," ","-"," ",Registro!A21," ",Registro!Q21," ",Registro!R21),"")</f>
        <v/>
      </c>
      <c r="G3" s="2" t="str">
        <f>IF(Registro!H21&lt;&gt;"",Registro!H21,"")</f>
        <v/>
      </c>
      <c r="H3" s="2" t="str">
        <f>IF(Registro!I21&lt;&gt;"",Registro!I21,"")</f>
        <v/>
      </c>
      <c r="I3" s="2" t="str">
        <f>IF(Registro!J21&lt;&gt;"",Registro!J21,"")</f>
        <v/>
      </c>
      <c r="J3" s="2" t="str">
        <f>IF(Registro!K21&lt;&gt;"",Registro!K21,"")</f>
        <v/>
      </c>
      <c r="K3" s="2">
        <f>IF(Registro!M21&lt;&gt;"",Registro!M21,"")</f>
        <v>0</v>
      </c>
      <c r="L3" s="3" t="str">
        <f>IF(Registro!N11&lt;&gt;"",Registro!N11,"")</f>
        <v>DOLARES AMERICANOS CON 00/100 CENTAVOS</v>
      </c>
      <c r="M3" s="3" t="str">
        <f>IFERROR(VLOOKUP(E3,Tabla1[[#All],[Código del talento]:[Sec. Factura]],4,FALSE),"")</f>
        <v/>
      </c>
    </row>
    <row r="4" spans="1:13" ht="47.25" x14ac:dyDescent="0.25">
      <c r="A4" s="2" t="str">
        <f>IF(Registro!A22&lt;&gt;"",Registro!A22,"")</f>
        <v/>
      </c>
      <c r="B4" s="2" t="str">
        <f>IF(Registro!B22&lt;&gt;"",VLOOKUP(A4,Registro!$A$4:$R$53,2,FALSE),"")</f>
        <v>BEE713</v>
      </c>
      <c r="C4" s="2" t="str">
        <f>IF(Registro!D22&lt;&gt;"",Registro!D22,"")</f>
        <v>Marzo</v>
      </c>
      <c r="D4" s="2" t="str">
        <f>IF(Registro!E22&lt;&gt;"",Registro!E22,"")</f>
        <v/>
      </c>
      <c r="E4" s="2" t="str">
        <f>IF(Registro!F22&lt;&gt;"",Registro!G22,"")</f>
        <v/>
      </c>
      <c r="F4" s="4" t="str">
        <f>IF(Registro!F22&lt;&gt;"",CONCATENATE("Servicio de consultoría BEE Consultoría &amp; Negocios"," ",","," ","Contrato"," ",Registro!C22," ","-"," ",Registro!F22," ","-"," ","Servicio de"," ",Registro!D22," ","-"," ",Registro!O22," ","-"," ",Registro!A22," ",Registro!Q22," ",Registro!R22),"")</f>
        <v/>
      </c>
      <c r="G4" s="2" t="str">
        <f>IF(Registro!H22&lt;&gt;"",Registro!H22,"")</f>
        <v/>
      </c>
      <c r="H4" s="2" t="str">
        <f>IF(Registro!I22&lt;&gt;"",Registro!I22,"")</f>
        <v/>
      </c>
      <c r="I4" s="2" t="str">
        <f>IF(Registro!J22&lt;&gt;"",Registro!J22,"")</f>
        <v/>
      </c>
      <c r="J4" s="2" t="str">
        <f>IF(Registro!K22&lt;&gt;"",Registro!K22,"")</f>
        <v/>
      </c>
      <c r="K4" s="2">
        <f>IF(Registro!M22&lt;&gt;"",Registro!M22,"")</f>
        <v>0</v>
      </c>
      <c r="L4" s="3" t="str">
        <f>IF(Registro!N12&lt;&gt;"",Registro!N12,"")</f>
        <v>DOLARES AMERICANOS CON 00/100 CENTAVOS</v>
      </c>
      <c r="M4" s="3" t="str">
        <f>IFERROR(VLOOKUP(E4,Tabla1[[#All],[Código del talento]:[Sec. Factura]],4,FALSE),"")</f>
        <v/>
      </c>
    </row>
    <row r="5" spans="1:13" ht="63" x14ac:dyDescent="0.25">
      <c r="A5" s="2" t="str">
        <f>IF(Registro!A28&lt;&gt;"",Registro!A28,"")</f>
        <v/>
      </c>
      <c r="B5" s="2" t="str">
        <f>IF(Registro!B28&lt;&gt;"",VLOOKUP(A5,Registro!$A$4:$R$53,2,FALSE),"")</f>
        <v>BEE713</v>
      </c>
      <c r="C5" s="2" t="str">
        <f>IF(Registro!D28&lt;&gt;"",Registro!D28,"")</f>
        <v>Marzo</v>
      </c>
      <c r="D5" s="2" t="str">
        <f>IF(Registro!E28&lt;&gt;"",Registro!E28,"")</f>
        <v/>
      </c>
      <c r="E5" s="2" t="str">
        <f>IF(Registro!F28&lt;&gt;"",Registro!G28,"")</f>
        <v/>
      </c>
      <c r="F5" s="4" t="str">
        <f>IF(Registro!F28&lt;&gt;"",CONCATENATE("Servicio de consultoría BEE Consultoría &amp; Negocios"," ",","," ","Contrato"," ",Registro!C28," ","-"," ",Registro!F28," ","-"," ","Servicio de"," ",Registro!D28," ","-"," ",Registro!O28," ","-"," ",Registro!A28," ",Registro!Q28," ",Registro!R28),"")</f>
        <v/>
      </c>
      <c r="G5" s="2" t="str">
        <f>IF(Registro!H28&lt;&gt;"",Registro!H28,"")</f>
        <v/>
      </c>
      <c r="H5" s="2" t="str">
        <f>IF(Registro!I28&lt;&gt;"",Registro!I28,"")</f>
        <v/>
      </c>
      <c r="I5" s="2" t="str">
        <f>IF(Registro!J28&lt;&gt;"",Registro!J28,"")</f>
        <v/>
      </c>
      <c r="J5" s="2" t="str">
        <f>IF(Registro!K28&lt;&gt;"",Registro!K28,"")</f>
        <v/>
      </c>
      <c r="K5" s="2">
        <f>IF(Registro!M28&lt;&gt;"",Registro!M28,"")</f>
        <v>0</v>
      </c>
      <c r="L5" s="3" t="str">
        <f>IF(Registro!N13&lt;&gt;"",Registro!N13,"")</f>
        <v>DOLARES AMERICANOS CON 00/100 CENTAVOS</v>
      </c>
      <c r="M5" s="3" t="str">
        <f>IFERROR(VLOOKUP(E5,Tabla1[[#All],[Código del talento]:[Sec. Factura]],4,FALSE),"")</f>
        <v/>
      </c>
    </row>
    <row r="6" spans="1:13" ht="63" x14ac:dyDescent="0.25">
      <c r="A6" s="2" t="str">
        <f>IF(Registro!A4&lt;&gt;"",Registro!A4,"")</f>
        <v/>
      </c>
      <c r="B6" s="2" t="str">
        <f>IF(Registro!B4&lt;&gt;"",VLOOKUP(A6,Registro!$A$4:$R$53,2,FALSE),"")</f>
        <v>BEE713</v>
      </c>
      <c r="C6" s="2" t="str">
        <f>IF(Registro!D4&lt;&gt;"",Registro!D4,"")</f>
        <v>Marzo</v>
      </c>
      <c r="D6" s="2" t="str">
        <f>IF(Registro!E4&lt;&gt;"",Registro!E4,"")</f>
        <v/>
      </c>
      <c r="E6" s="2" t="str">
        <f>IF(Registro!F4&lt;&gt;"",Registro!G4,"")</f>
        <v/>
      </c>
      <c r="F6" s="4" t="str">
        <f>IF(Registro!F4&lt;&gt;"",CONCATENATE("Servicio de consultoría BEE Consultoría &amp; Negocios"," ",","," ","Contrato"," ",Registro!C4," ","-"," ",Registro!F4," ","-"," ","Servicio de"," ",Registro!D4," ","-"," ",Registro!O4," ","-"," ",Registro!A4," ",Registro!Q4," ",Registro!R4),"")</f>
        <v/>
      </c>
      <c r="G6" s="2" t="str">
        <f>IF(Registro!H4&lt;&gt;"",Registro!H4,"")</f>
        <v/>
      </c>
      <c r="H6" s="2" t="str">
        <f>IF(Registro!I4&lt;&gt;"",Registro!I4,"")</f>
        <v/>
      </c>
      <c r="I6" s="2" t="str">
        <f>IF(Registro!J4&lt;&gt;"",Registro!J4,"")</f>
        <v/>
      </c>
      <c r="J6" s="2" t="str">
        <f>IF(Registro!K4&lt;&gt;"",Registro!K4,"")</f>
        <v/>
      </c>
      <c r="K6" s="2">
        <f>IF(Registro!M4&lt;&gt;"",Registro!M4,"")</f>
        <v>0</v>
      </c>
      <c r="L6" s="3" t="str">
        <f>IF(Registro!N14&lt;&gt;"",Registro!N14,"")</f>
        <v>DOLARES AMERICANOS CON 00/100 CENTAVOS</v>
      </c>
      <c r="M6" s="3" t="str">
        <f>IFERROR(VLOOKUP(E6,Tabla1[[#All],[Código del talento]:[Sec. Factura]],4,FALSE),"")</f>
        <v/>
      </c>
    </row>
    <row r="7" spans="1:13" ht="31.5" x14ac:dyDescent="0.25">
      <c r="A7" s="2" t="str">
        <f>IF(Registro!A13&lt;&gt;"",Registro!A13,"")</f>
        <v/>
      </c>
      <c r="B7" s="2" t="str">
        <f>IF(Registro!B13&lt;&gt;"",VLOOKUP(A7,Registro!$A$4:$R$53,2,FALSE),"")</f>
        <v>BEE713</v>
      </c>
      <c r="C7" s="2" t="str">
        <f>IF(Registro!D13&lt;&gt;"",Registro!D13,"")</f>
        <v>Marzo</v>
      </c>
      <c r="D7" s="2" t="str">
        <f>IF(Registro!E13&lt;&gt;"",Registro!E13,"")</f>
        <v/>
      </c>
      <c r="E7" s="2" t="str">
        <f>IF(Registro!F13&lt;&gt;"",Registro!G13,"")</f>
        <v/>
      </c>
      <c r="F7" s="4" t="str">
        <f>IF(Registro!F13&lt;&gt;"",CONCATENATE("Servicio de consultoría BEE Consultoría &amp; Negocios"," ",","," ","Contrato"," ",Registro!C13," ","-"," ",Registro!F13," ","-"," ","Servicio de"," ",Registro!D13," ","-"," ",Registro!O13," ","-"," ",Registro!A13," ",Registro!Q13," ",Registro!R13),"")</f>
        <v/>
      </c>
      <c r="G7" s="2" t="str">
        <f>IF(Registro!H13&lt;&gt;"",Registro!H13,"")</f>
        <v/>
      </c>
      <c r="H7" s="2" t="str">
        <f>IF(Registro!I13&lt;&gt;"",Registro!I13,"")</f>
        <v/>
      </c>
      <c r="I7" s="2" t="str">
        <f>IF(Registro!J13&lt;&gt;"",Registro!J13,"")</f>
        <v/>
      </c>
      <c r="J7" s="2" t="str">
        <f>IF(Registro!K13&lt;&gt;"",Registro!K13,"")</f>
        <v/>
      </c>
      <c r="K7" s="2">
        <f>IF(Registro!M13&lt;&gt;"",Registro!M13,"")</f>
        <v>0</v>
      </c>
      <c r="L7" s="3" t="str">
        <f>IF(Registro!N15&lt;&gt;"",Registro!N15,"")</f>
        <v>DOLARES AMERICANOS CON 00/100 CENTAVOS</v>
      </c>
      <c r="M7" s="3" t="str">
        <f>IFERROR(VLOOKUP(E7,Tabla1[[#All],[Código del talento]:[Sec. Factura]],4,FALSE),"")</f>
        <v/>
      </c>
    </row>
    <row r="8" spans="1:13" ht="31.5" x14ac:dyDescent="0.25">
      <c r="A8" s="2" t="str">
        <f>IF(Registro!A14&lt;&gt;"",Registro!A14,"")</f>
        <v/>
      </c>
      <c r="B8" s="2" t="str">
        <f>IF(Registro!B14&lt;&gt;"",VLOOKUP(A8,Registro!$A$4:$R$53,2,FALSE),"")</f>
        <v>BEE713</v>
      </c>
      <c r="C8" s="2" t="str">
        <f>IF(Registro!D14&lt;&gt;"",Registro!D14,"")</f>
        <v>Marzo</v>
      </c>
      <c r="D8" s="2" t="str">
        <f>IF(Registro!E14&lt;&gt;"",Registro!E14,"")</f>
        <v/>
      </c>
      <c r="E8" s="2" t="str">
        <f>IF(Registro!F14&lt;&gt;"",Registro!G14,"")</f>
        <v/>
      </c>
      <c r="F8" s="4" t="str">
        <f>IF(Registro!F14&lt;&gt;"",CONCATENATE("Servicio de consultoría BEE Consultoría &amp; Negocios"," ",","," ","Contrato"," ",Registro!C14," ","-"," ",Registro!F14," ","-"," ","Servicio de"," ",Registro!D14," ","-"," ",Registro!O14," ","-"," ",Registro!A14," ",Registro!Q14," ",Registro!R14),"")</f>
        <v/>
      </c>
      <c r="G8" s="2" t="str">
        <f>IF(Registro!H14&lt;&gt;"",Registro!H14,"")</f>
        <v/>
      </c>
      <c r="H8" s="2" t="str">
        <f>IF(Registro!I14&lt;&gt;"",Registro!I14,"")</f>
        <v/>
      </c>
      <c r="I8" s="2" t="str">
        <f>IF(Registro!J14&lt;&gt;"",Registro!J14,"")</f>
        <v/>
      </c>
      <c r="J8" s="2" t="str">
        <f>IF(Registro!K14&lt;&gt;"",Registro!K14,"")</f>
        <v/>
      </c>
      <c r="K8" s="2">
        <f>IF(Registro!M14&lt;&gt;"",Registro!M14,"")</f>
        <v>0</v>
      </c>
      <c r="L8" s="3" t="str">
        <f>IF(Registro!N16&lt;&gt;"",Registro!N16,"")</f>
        <v>DOLARES AMERICANOS CON 00/100 CENTAVOS</v>
      </c>
      <c r="M8" s="3" t="str">
        <f>IFERROR(VLOOKUP(E8,Tabla1[[#All],[Código del talento]:[Sec. Factura]],4,FALSE),"")</f>
        <v/>
      </c>
    </row>
    <row r="9" spans="1:13" ht="31.5" x14ac:dyDescent="0.25">
      <c r="A9" s="2" t="str">
        <f>IF(Registro!A18&lt;&gt;"",Registro!A18,"")</f>
        <v/>
      </c>
      <c r="B9" s="2" t="str">
        <f>IF(Registro!B18&lt;&gt;"",VLOOKUP(A9,Registro!$A$4:$R$53,2,FALSE),"")</f>
        <v>BEE713</v>
      </c>
      <c r="C9" s="2" t="str">
        <f>IF(Registro!D18&lt;&gt;"",Registro!D18,"")</f>
        <v>Marzo</v>
      </c>
      <c r="D9" s="2" t="str">
        <f>IF(Registro!E18&lt;&gt;"",Registro!E18,"")</f>
        <v/>
      </c>
      <c r="E9" s="2" t="str">
        <f>IF(Registro!F18&lt;&gt;"",Registro!G18,"")</f>
        <v/>
      </c>
      <c r="F9" s="4" t="str">
        <f>IF(Registro!F18&lt;&gt;"",CONCATENATE("Servicio de consultoría BEE Consultoría &amp; Negocios"," ",","," ","Contrato"," ",Registro!C18," ","-"," ",Registro!F18," ","-"," ","Servicio de"," ",Registro!D18," ","-"," ",Registro!O18," ","-"," ",Registro!A18," ",Registro!Q18," ",Registro!R18),"")</f>
        <v/>
      </c>
      <c r="G9" s="2" t="str">
        <f>IF(Registro!H18&lt;&gt;"",Registro!H18,"")</f>
        <v/>
      </c>
      <c r="H9" s="2" t="str">
        <f>IF(Registro!I18&lt;&gt;"",Registro!I18,"")</f>
        <v/>
      </c>
      <c r="I9" s="2" t="str">
        <f>IF(Registro!J18&lt;&gt;"",Registro!J18,"")</f>
        <v/>
      </c>
      <c r="J9" s="2" t="str">
        <f>IF(Registro!K18&lt;&gt;"",Registro!K18,"")</f>
        <v/>
      </c>
      <c r="K9" s="2">
        <f>IF(Registro!M18&lt;&gt;"",Registro!M18,"")</f>
        <v>0</v>
      </c>
      <c r="L9" s="3" t="str">
        <f>IF(Registro!N17&lt;&gt;"",Registro!N17,"")</f>
        <v>DOLARES AMERICANOS CON 00/100 CENTAVOS</v>
      </c>
      <c r="M9" s="3" t="str">
        <f>IFERROR(VLOOKUP(E9,Tabla1[[#All],[Código del talento]:[Sec. Factura]],4,FALSE),"")</f>
        <v/>
      </c>
    </row>
    <row r="10" spans="1:13" ht="31.5" x14ac:dyDescent="0.25">
      <c r="A10" s="2" t="str">
        <f>IF(Registro!A17&lt;&gt;"",Registro!A17,"")</f>
        <v/>
      </c>
      <c r="B10" s="2" t="str">
        <f>IF(Registro!B17&lt;&gt;"",VLOOKUP(A10,Registro!$A$4:$R$53,2,FALSE),"")</f>
        <v>BEE713</v>
      </c>
      <c r="C10" s="2" t="str">
        <f>IF(Registro!D17&lt;&gt;"",Registro!D17,"")</f>
        <v>Marzo</v>
      </c>
      <c r="D10" s="2" t="str">
        <f>IF(Registro!E17&lt;&gt;"",Registro!E17,"")</f>
        <v/>
      </c>
      <c r="E10" s="2" t="str">
        <f>IF(Registro!F17&lt;&gt;"",Registro!G17,"")</f>
        <v/>
      </c>
      <c r="F10" s="4" t="str">
        <f>IF(Registro!F17&lt;&gt;"",CONCATENATE("Servicio de consultoría BEE Consultoría &amp; Negocios"," ",","," ","Contrato"," ",Registro!C17," ","-"," ",Registro!F17," ","-"," ","Servicio de"," ",Registro!D17," ","-"," ",Registro!O17," ","-"," ",Registro!A17," ",Registro!Q17," ",Registro!R17),"")</f>
        <v/>
      </c>
      <c r="G10" s="2" t="str">
        <f>IF(Registro!H17&lt;&gt;"",Registro!H17,"")</f>
        <v/>
      </c>
      <c r="H10" s="2" t="str">
        <f>IF(Registro!I17&lt;&gt;"",Registro!I17,"")</f>
        <v/>
      </c>
      <c r="I10" s="2" t="str">
        <f>IF(Registro!J17&lt;&gt;"",Registro!J17,"")</f>
        <v/>
      </c>
      <c r="J10" s="2" t="str">
        <f>IF(Registro!K17&lt;&gt;"",Registro!K17,"")</f>
        <v/>
      </c>
      <c r="K10" s="2">
        <f>IF(Registro!M17&lt;&gt;"",Registro!M17,"")</f>
        <v>0</v>
      </c>
      <c r="L10" s="3" t="str">
        <f>IF(Registro!N18&lt;&gt;"",Registro!N18,"")</f>
        <v>DOLARES AMERICANOS CON 00/100 CENTAVOS</v>
      </c>
      <c r="M10" s="3" t="str">
        <f>IFERROR(VLOOKUP(E10,Tabla1[[#All],[Código del talento]:[Sec. Factura]],4,FALSE),"")</f>
        <v/>
      </c>
    </row>
    <row r="11" spans="1:13" ht="31.5" x14ac:dyDescent="0.25">
      <c r="A11" s="2" t="str">
        <f>IF(Registro!A23&lt;&gt;"",Registro!A23,"")</f>
        <v/>
      </c>
      <c r="B11" s="2" t="str">
        <f>IF(Registro!B23&lt;&gt;"",VLOOKUP(A11,Registro!$A$4:$R$53,2,FALSE),"")</f>
        <v>BEE713</v>
      </c>
      <c r="C11" s="2" t="str">
        <f>IF(Registro!D23&lt;&gt;"",Registro!D23,"")</f>
        <v>Marzo</v>
      </c>
      <c r="D11" s="2" t="str">
        <f>IF(Registro!E23&lt;&gt;"",Registro!E23,"")</f>
        <v/>
      </c>
      <c r="E11" s="2" t="str">
        <f>IF(Registro!F23&lt;&gt;"",Registro!G23,"")</f>
        <v/>
      </c>
      <c r="F11" s="4" t="str">
        <f>IF(Registro!F23&lt;&gt;"",CONCATENATE("Servicio de consultoría BEE Consultoría &amp; Negocios"," ",","," ","Contrato"," ",Registro!C23," ","-"," ",Registro!F23," ","-"," ","Servicio de"," ",Registro!D23," ","-"," ",Registro!O23," ","-"," ",Registro!A23," ",Registro!Q23," ",Registro!R23),"")</f>
        <v/>
      </c>
      <c r="G11" s="2" t="str">
        <f>IF(Registro!H23&lt;&gt;"",Registro!H23,"")</f>
        <v/>
      </c>
      <c r="H11" s="2" t="str">
        <f>IF(Registro!I23&lt;&gt;"",Registro!I23,"")</f>
        <v/>
      </c>
      <c r="I11" s="2" t="str">
        <f>IF(Registro!J23&lt;&gt;"",Registro!J23,"")</f>
        <v/>
      </c>
      <c r="J11" s="2" t="str">
        <f>IF(Registro!K23&lt;&gt;"",Registro!K23,"")</f>
        <v/>
      </c>
      <c r="K11" s="2">
        <f>IF(Registro!M23&lt;&gt;"",Registro!M23,"")</f>
        <v>0</v>
      </c>
      <c r="L11" s="3" t="str">
        <f>IF(Registro!N19&lt;&gt;"",Registro!N19,"")</f>
        <v>DOLARES AMERICANOS CON 00/100 CENTAVOS</v>
      </c>
      <c r="M11" s="3" t="str">
        <f>IFERROR(VLOOKUP(E11,Tabla1[[#All],[Código del talento]:[Sec. Factura]],4,FALSE),"")</f>
        <v/>
      </c>
    </row>
    <row r="12" spans="1:13" ht="31.5" x14ac:dyDescent="0.25">
      <c r="A12" s="2" t="str">
        <f>IF(Registro!A8&lt;&gt;"",Registro!A8,"")</f>
        <v/>
      </c>
      <c r="B12" s="2" t="str">
        <f>IF(Registro!B8&lt;&gt;"",VLOOKUP(A12,Registro!$A$4:$R$53,2,FALSE),"")</f>
        <v>BEE713</v>
      </c>
      <c r="C12" s="2" t="str">
        <f>IF(Registro!D8&lt;&gt;"",Registro!D8,"")</f>
        <v>Marzo</v>
      </c>
      <c r="D12" s="2" t="str">
        <f>IF(Registro!E8&lt;&gt;"",Registro!E8,"")</f>
        <v/>
      </c>
      <c r="E12" s="2" t="str">
        <f>IF(Registro!F8&lt;&gt;"",Registro!G8,"")</f>
        <v/>
      </c>
      <c r="F12" s="4" t="str">
        <f>IF(Registro!F8&lt;&gt;"",CONCATENATE("Servicio de consultoría BEE Consultoría &amp; Negocios"," ",","," ","Contrato"," ",Registro!C8," ","-"," ",Registro!F8," ","-"," ","Servicio de"," ",Registro!D8," ","-"," ",Registro!O8," ","-"," ",Registro!A8," ",Registro!Q8," ",Registro!R8),"")</f>
        <v/>
      </c>
      <c r="G12" s="2" t="str">
        <f>IF(Registro!H8&lt;&gt;"",Registro!H8,"")</f>
        <v/>
      </c>
      <c r="H12" s="2" t="str">
        <f>IF(Registro!I8&lt;&gt;"",Registro!I8,"")</f>
        <v/>
      </c>
      <c r="I12" s="2" t="str">
        <f>IF(Registro!J8&lt;&gt;"",Registro!J8,"")</f>
        <v/>
      </c>
      <c r="J12" s="2" t="str">
        <f>IF(Registro!K8&lt;&gt;"",Registro!K8,"")</f>
        <v/>
      </c>
      <c r="K12" s="2">
        <f>IF(Registro!M8&lt;&gt;"",Registro!M8,"")</f>
        <v>0</v>
      </c>
      <c r="L12" s="3" t="str">
        <f>IF(Registro!N20&lt;&gt;"",Registro!N20,"")</f>
        <v>DOLARES AMERICANOS CON 00/100 CENTAVOS</v>
      </c>
      <c r="M12" s="3" t="str">
        <f>IFERROR(VLOOKUP(E12,Tabla1[[#All],[Código del talento]:[Sec. Factura]],4,FALSE),"")</f>
        <v/>
      </c>
    </row>
    <row r="13" spans="1:13" ht="31.5" x14ac:dyDescent="0.25">
      <c r="A13" s="2" t="str">
        <f>IF(Registro!A7&lt;&gt;"",Registro!A7,"")</f>
        <v/>
      </c>
      <c r="B13" s="2" t="str">
        <f>IF(Registro!B7&lt;&gt;"",VLOOKUP(A13,Registro!$A$4:$R$53,2,FALSE),"")</f>
        <v>BEE713</v>
      </c>
      <c r="C13" s="2" t="str">
        <f>IF(Registro!D7&lt;&gt;"",Registro!D7,"")</f>
        <v>Marzo</v>
      </c>
      <c r="D13" s="2" t="str">
        <f>IF(Registro!E7&lt;&gt;"",Registro!E7,"")</f>
        <v/>
      </c>
      <c r="E13" s="2" t="str">
        <f>IF(Registro!F7&lt;&gt;"",Registro!G7,"")</f>
        <v/>
      </c>
      <c r="F13" s="4" t="str">
        <f>IF(Registro!F7&lt;&gt;"",CONCATENATE("Servicio de consultoría BEE Consultoría &amp; Negocios"," ",","," ","Contrato"," ",Registro!C7," ","-"," ",Registro!F7," ","-"," ","Servicio de"," ",Registro!D7," ","-"," ",Registro!O7," ","-"," ",Registro!A7," ",Registro!Q7," ",Registro!R7),"")</f>
        <v/>
      </c>
      <c r="G13" s="2" t="str">
        <f>IF(Registro!H7&lt;&gt;"",Registro!H7,"")</f>
        <v/>
      </c>
      <c r="H13" s="2" t="str">
        <f>IF(Registro!I7&lt;&gt;"",Registro!I7,"")</f>
        <v/>
      </c>
      <c r="I13" s="2" t="str">
        <f>IF(Registro!J7&lt;&gt;"",Registro!J7,"")</f>
        <v/>
      </c>
      <c r="J13" s="2" t="str">
        <f>IF(Registro!K7&lt;&gt;"",Registro!K7,"")</f>
        <v/>
      </c>
      <c r="K13" s="2">
        <f>IF(Registro!M7&lt;&gt;"",Registro!M7,"")</f>
        <v>0</v>
      </c>
      <c r="L13" s="3" t="str">
        <f>IF(Registro!N21&lt;&gt;"",Registro!N21,"")</f>
        <v>DOLARES AMERICANOS CON 00/100 CENTAVOS</v>
      </c>
      <c r="M13" s="3" t="str">
        <f>IFERROR(VLOOKUP(E13,Tabla1[[#All],[Código del talento]:[Sec. Factura]],4,FALSE),"")</f>
        <v/>
      </c>
    </row>
    <row r="14" spans="1:13" ht="31.5" x14ac:dyDescent="0.25">
      <c r="A14" s="2" t="str">
        <f>IF(Registro!A11&lt;&gt;"",Registro!A11,"")</f>
        <v/>
      </c>
      <c r="B14" s="2" t="str">
        <f>IF(Registro!B11&lt;&gt;"",VLOOKUP(A14,Registro!$A$4:$R$53,2,FALSE),"")</f>
        <v>BEE713</v>
      </c>
      <c r="C14" s="2" t="str">
        <f>IF(Registro!D11&lt;&gt;"",Registro!D11,"")</f>
        <v>Marzo</v>
      </c>
      <c r="D14" s="2" t="str">
        <f>IF(Registro!E11&lt;&gt;"",Registro!E11,"")</f>
        <v/>
      </c>
      <c r="E14" s="2" t="str">
        <f>IF(Registro!F11&lt;&gt;"",Registro!G11,"")</f>
        <v/>
      </c>
      <c r="F14" s="4" t="str">
        <f>IF(Registro!F11&lt;&gt;"",CONCATENATE("Servicio de consultoría BEE Consultoría &amp; Negocios"," ",","," ","Contrato"," ",Registro!C11," ","-"," ",Registro!F11," ","-"," ","Servicio de"," ",Registro!D11," ","-"," ",Registro!O11," ","-"," ",Registro!A11," ",Registro!Q11," ",Registro!R11),"")</f>
        <v/>
      </c>
      <c r="G14" s="2" t="str">
        <f>IF(Registro!H11&lt;&gt;"",Registro!H11,"")</f>
        <v/>
      </c>
      <c r="H14" s="2" t="str">
        <f>IF(Registro!I11&lt;&gt;"",Registro!I11,"")</f>
        <v/>
      </c>
      <c r="I14" s="2" t="str">
        <f>IF(Registro!J11&lt;&gt;"",Registro!J11,"")</f>
        <v/>
      </c>
      <c r="J14" s="2" t="str">
        <f>IF(Registro!K11&lt;&gt;"",Registro!K11,"")</f>
        <v/>
      </c>
      <c r="K14" s="2">
        <f>IF(Registro!M11&lt;&gt;"",Registro!M11,"")</f>
        <v>0</v>
      </c>
      <c r="L14" s="3" t="str">
        <f>IF(Registro!N22&lt;&gt;"",Registro!N22,"")</f>
        <v>DOLARES AMERICANOS CON 00/100 CENTAVOS</v>
      </c>
      <c r="M14" s="3" t="str">
        <f>IFERROR(VLOOKUP(E14,Tabla1[[#All],[Código del talento]:[Sec. Factura]],4,FALSE),"")</f>
        <v/>
      </c>
    </row>
    <row r="15" spans="1:13" ht="31.5" x14ac:dyDescent="0.25">
      <c r="A15" s="2" t="str">
        <f>IF(Registro!A16&lt;&gt;"",Registro!A16,"")</f>
        <v/>
      </c>
      <c r="B15" s="2" t="str">
        <f>IF(Registro!B16&lt;&gt;"",VLOOKUP(A15,Registro!$A$4:$R$53,2,FALSE),"")</f>
        <v>BEE713</v>
      </c>
      <c r="C15" s="2" t="str">
        <f>IF(Registro!D16&lt;&gt;"",Registro!D16,"")</f>
        <v>Marzo</v>
      </c>
      <c r="D15" s="2" t="str">
        <f>IF(Registro!E16&lt;&gt;"",Registro!E16,"")</f>
        <v/>
      </c>
      <c r="E15" s="2" t="str">
        <f>IF(Registro!F16&lt;&gt;"",Registro!G16,"")</f>
        <v/>
      </c>
      <c r="F15" s="4" t="str">
        <f>IF(Registro!F16&lt;&gt;"",CONCATENATE("Servicio de consultoría BEE Consultoría &amp; Negocios"," ",","," ","Contrato"," ",Registro!C16," ","-"," ",Registro!F16," ","-"," ","Servicio de"," ",Registro!D16," ","-"," ",Registro!O16," ","-"," ",Registro!A16," ",Registro!Q16," ",Registro!R16),"")</f>
        <v/>
      </c>
      <c r="G15" s="2" t="str">
        <f>IF(Registro!H16&lt;&gt;"",Registro!H16,"")</f>
        <v/>
      </c>
      <c r="H15" s="2" t="str">
        <f>IF(Registro!I16&lt;&gt;"",Registro!I16,"")</f>
        <v/>
      </c>
      <c r="I15" s="2" t="str">
        <f>IF(Registro!J16&lt;&gt;"",Registro!J16,"")</f>
        <v/>
      </c>
      <c r="J15" s="2" t="str">
        <f>IF(Registro!K16&lt;&gt;"",Registro!K16,"")</f>
        <v/>
      </c>
      <c r="K15" s="2">
        <f>IF(Registro!M16&lt;&gt;"",Registro!M16,"")</f>
        <v>0</v>
      </c>
      <c r="L15" s="3" t="str">
        <f>IF(Registro!N23&lt;&gt;"",Registro!N23,"")</f>
        <v>DOLARES AMERICANOS CON 00/100 CENTAVOS</v>
      </c>
      <c r="M15" s="3" t="str">
        <f>IFERROR(VLOOKUP(E15,Tabla1[[#All],[Código del talento]:[Sec. Factura]],4,FALSE),"")</f>
        <v/>
      </c>
    </row>
    <row r="16" spans="1:13" ht="31.5" x14ac:dyDescent="0.25">
      <c r="A16" s="2" t="str">
        <f>IF(Registro!A25&lt;&gt;"",Registro!A25,"")</f>
        <v/>
      </c>
      <c r="B16" s="2" t="str">
        <f>IF(Registro!B25&lt;&gt;"",VLOOKUP(A16,Registro!$A$4:$R$53,2,FALSE),"")</f>
        <v>BEE713</v>
      </c>
      <c r="C16" s="2" t="str">
        <f>IF(Registro!D25&lt;&gt;"",Registro!D25,"")</f>
        <v>Marzo</v>
      </c>
      <c r="D16" s="2" t="str">
        <f>IF(Registro!E25&lt;&gt;"",Registro!E25,"")</f>
        <v/>
      </c>
      <c r="E16" s="2" t="str">
        <f>IF(Registro!F25&lt;&gt;"",Registro!G25,"")</f>
        <v/>
      </c>
      <c r="F16" s="4" t="str">
        <f>IF(Registro!F25&lt;&gt;"",CONCATENATE("Servicio de consultoría BEE Consultoría &amp; Negocios"," ",","," ","Contrato"," ",Registro!C25," ","-"," ",Registro!F25," ","-"," ","Servicio de"," ",Registro!D25," ","-"," ",Registro!O25," ","-"," ",Registro!A25," ",Registro!Q25," ",Registro!R25),"")</f>
        <v/>
      </c>
      <c r="G16" s="2" t="str">
        <f>IF(Registro!H25&lt;&gt;"",Registro!H25,"")</f>
        <v/>
      </c>
      <c r="H16" s="2" t="str">
        <f>IF(Registro!I25&lt;&gt;"",Registro!I25,"")</f>
        <v/>
      </c>
      <c r="I16" s="2" t="str">
        <f>IF(Registro!J25&lt;&gt;"",Registro!J25,"")</f>
        <v/>
      </c>
      <c r="J16" s="2" t="str">
        <f>IF(Registro!K25&lt;&gt;"",Registro!K25,"")</f>
        <v/>
      </c>
      <c r="K16" s="2">
        <f>IF(Registro!M25&lt;&gt;"",Registro!M25,"")</f>
        <v>0</v>
      </c>
      <c r="L16" s="3" t="str">
        <f>IF(Registro!N24&lt;&gt;"",Registro!N24,"")</f>
        <v>DOLARES AMERICANOS CON 00/100 CENTAVOS</v>
      </c>
      <c r="M16" s="3" t="str">
        <f>IFERROR(VLOOKUP(E16,Tabla1[[#All],[Código del talento]:[Sec. Factura]],4,FALSE),"")</f>
        <v/>
      </c>
    </row>
    <row r="17" spans="1:13" ht="31.5" x14ac:dyDescent="0.25">
      <c r="A17" s="2" t="str">
        <f>IF(Registro!A6&lt;&gt;"",Registro!A6,"")</f>
        <v/>
      </c>
      <c r="B17" s="2" t="str">
        <f>IF(Registro!B6&lt;&gt;"",VLOOKUP(A17,Registro!$A$4:$R$53,2,FALSE),"")</f>
        <v>BEE713</v>
      </c>
      <c r="C17" s="2" t="str">
        <f>IF(Registro!D6&lt;&gt;"",Registro!D6,"")</f>
        <v>Marzo</v>
      </c>
      <c r="D17" s="2" t="str">
        <f>IF(Registro!E6&lt;&gt;"",Registro!E6,"")</f>
        <v/>
      </c>
      <c r="E17" s="2" t="str">
        <f>IF(Registro!F6&lt;&gt;"",Registro!G6,"")</f>
        <v/>
      </c>
      <c r="F17" s="4" t="str">
        <f>IF(Registro!F6&lt;&gt;"",CONCATENATE("Servicio de consultoría BEE Consultoría &amp; Negocios"," ",","," ","Contrato"," ",Registro!C6," ","-"," ",Registro!F6," ","-"," ","Servicio de"," ",Registro!D6," ","-"," ",Registro!O6," ","-"," ",Registro!A6," ",Registro!Q6," ",Registro!R6),"")</f>
        <v/>
      </c>
      <c r="G17" s="2" t="str">
        <f>IF(Registro!H6&lt;&gt;"",Registro!H6,"")</f>
        <v/>
      </c>
      <c r="H17" s="2" t="str">
        <f>IF(Registro!I6&lt;&gt;"",Registro!I6,"")</f>
        <v/>
      </c>
      <c r="I17" s="2" t="str">
        <f>IF(Registro!J6&lt;&gt;"",Registro!J6,"")</f>
        <v/>
      </c>
      <c r="J17" s="2" t="str">
        <f>IF(Registro!K6&lt;&gt;"",Registro!K6,"")</f>
        <v/>
      </c>
      <c r="K17" s="2">
        <f>IF(Registro!M6&lt;&gt;"",Registro!M6,"")</f>
        <v>0</v>
      </c>
      <c r="L17" s="3" t="str">
        <f>IF(Registro!N25&lt;&gt;"",Registro!N25,"")</f>
        <v>DOLARES AMERICANOS CON 00/100 CENTAVOS</v>
      </c>
      <c r="M17" s="3" t="str">
        <f>IFERROR(VLOOKUP(E17,Tabla1[[#All],[Código del talento]:[Sec. Factura]],4,FALSE),"")</f>
        <v/>
      </c>
    </row>
    <row r="18" spans="1:13" ht="31.5" x14ac:dyDescent="0.25">
      <c r="A18" s="2" t="str">
        <f>IF(Registro!A5&lt;&gt;"",Registro!A5,"")</f>
        <v/>
      </c>
      <c r="B18" s="2" t="str">
        <f>IF(Registro!B5&lt;&gt;"",VLOOKUP(A18,Registro!$A$4:$R$53,2,FALSE),"")</f>
        <v>BEE713</v>
      </c>
      <c r="C18" s="2" t="str">
        <f>IF(Registro!D5&lt;&gt;"",Registro!D5,"")</f>
        <v>Marzo</v>
      </c>
      <c r="D18" s="2" t="str">
        <f>IF(Registro!E5&lt;&gt;"",Registro!E5,"")</f>
        <v/>
      </c>
      <c r="E18" s="2" t="str">
        <f>IF(Registro!F5&lt;&gt;"",Registro!G5,"")</f>
        <v/>
      </c>
      <c r="F18" s="4" t="str">
        <f>IF(Registro!F5&lt;&gt;"",CONCATENATE("Servicio de consultoría BEE Consultoría &amp; Negocios"," ",","," ","Contrato"," ",Registro!C5," ","-"," ",Registro!F5," ","-"," ","Servicio de"," ",Registro!D5," ","-"," ",Registro!O5," ","-"," ",Registro!A5," ",Registro!Q5," ",Registro!R5),"")</f>
        <v/>
      </c>
      <c r="G18" s="2" t="str">
        <f>IF(Registro!H5&lt;&gt;"",Registro!H5,"")</f>
        <v/>
      </c>
      <c r="H18" s="2" t="str">
        <f>IF(Registro!I5&lt;&gt;"",Registro!I5,"")</f>
        <v/>
      </c>
      <c r="I18" s="2" t="str">
        <f>IF(Registro!J5&lt;&gt;"",Registro!J5,"")</f>
        <v/>
      </c>
      <c r="J18" s="2" t="str">
        <f>IF(Registro!K5&lt;&gt;"",Registro!K5,"")</f>
        <v/>
      </c>
      <c r="K18" s="2">
        <f>IF(Registro!M5&lt;&gt;"",Registro!M5,"")</f>
        <v>0</v>
      </c>
      <c r="L18" s="3" t="str">
        <f>IF(Registro!N26&lt;&gt;"",Registro!N26,"")</f>
        <v>DOLARES AMERICANOS CON 00/100 CENTAVOS</v>
      </c>
      <c r="M18" s="3" t="str">
        <f>IFERROR(VLOOKUP(E18,Tabla1[[#All],[Código del talento]:[Sec. Factura]],4,FALSE),"")</f>
        <v/>
      </c>
    </row>
    <row r="19" spans="1:13" ht="31.5" x14ac:dyDescent="0.25">
      <c r="A19" s="2" t="str">
        <f>IF(Registro!A26&lt;&gt;"",Registro!A26,"")</f>
        <v/>
      </c>
      <c r="B19" s="2" t="str">
        <f>IF(Registro!B26&lt;&gt;"",VLOOKUP(A19,Registro!$A$4:$R$53,2,FALSE),"")</f>
        <v>BEE713</v>
      </c>
      <c r="C19" s="2" t="str">
        <f>IF(Registro!D26&lt;&gt;"",Registro!D26,"")</f>
        <v>Marzo</v>
      </c>
      <c r="D19" s="2" t="str">
        <f>IF(Registro!E26&lt;&gt;"",Registro!E26,"")</f>
        <v/>
      </c>
      <c r="E19" s="2" t="str">
        <f>IF(Registro!F26&lt;&gt;"",Registro!G26,"")</f>
        <v/>
      </c>
      <c r="F19" s="4" t="str">
        <f>IF(Registro!F26&lt;&gt;"",CONCATENATE("Servicio de consultoría BEE Consultoría &amp; Negocios"," ",","," ","Contrato"," ",Registro!C26," ","-"," ",Registro!F26," ","-"," ","Servicio de"," ",Registro!D26," ","-"," ",Registro!O26," ","-"," ",Registro!A26," ",Registro!Q26," ",Registro!R26),"")</f>
        <v/>
      </c>
      <c r="G19" s="2" t="str">
        <f>IF(Registro!H26&lt;&gt;"",Registro!H26,"")</f>
        <v/>
      </c>
      <c r="H19" s="2" t="str">
        <f>IF(Registro!I26&lt;&gt;"",Registro!I26,"")</f>
        <v/>
      </c>
      <c r="I19" s="2" t="str">
        <f>IF(Registro!J26&lt;&gt;"",Registro!J26,"")</f>
        <v/>
      </c>
      <c r="J19" s="2" t="str">
        <f>IF(Registro!K26&lt;&gt;"",Registro!K26,"")</f>
        <v/>
      </c>
      <c r="K19" s="2">
        <f>IF(Registro!M26&lt;&gt;"",Registro!M26,"")</f>
        <v>0</v>
      </c>
      <c r="L19" s="3" t="str">
        <f>IF(Registro!N27&lt;&gt;"",Registro!N27,"")</f>
        <v>DOLARES AMERICANOS CON 00/100 CENTAVOS</v>
      </c>
      <c r="M19" s="3" t="str">
        <f>IFERROR(VLOOKUP(E19,Tabla1[[#All],[Código del talento]:[Sec. Factura]],4,FALSE),"")</f>
        <v/>
      </c>
    </row>
    <row r="20" spans="1:13" ht="31.5" x14ac:dyDescent="0.25">
      <c r="A20" s="2" t="str">
        <f>IF(Registro!A19&lt;&gt;"",Registro!A19,"")</f>
        <v/>
      </c>
      <c r="B20" s="2" t="str">
        <f>IF(Registro!B19&lt;&gt;"",VLOOKUP(A20,Registro!$A$4:$R$53,2,FALSE),"")</f>
        <v>BEE713</v>
      </c>
      <c r="C20" s="2" t="str">
        <f>IF(Registro!D19&lt;&gt;"",Registro!D19,"")</f>
        <v>Marzo</v>
      </c>
      <c r="D20" s="2" t="str">
        <f>IF(Registro!E19&lt;&gt;"",Registro!E19,"")</f>
        <v/>
      </c>
      <c r="E20" s="2" t="str">
        <f>IF(Registro!F19&lt;&gt;"",Registro!G19,"")</f>
        <v/>
      </c>
      <c r="F20" s="4" t="str">
        <f>IF(Registro!F19&lt;&gt;"",CONCATENATE("Servicio de consultoría BEE Consultoría &amp; Negocios"," ",","," ","Contrato"," ",Registro!C19," ","-"," ",Registro!F19," ","-"," ","Servicio de"," ",Registro!D19," ","-"," ",Registro!O19," ","-"," ",Registro!A19," ",Registro!Q19," ",Registro!R19),"")</f>
        <v/>
      </c>
      <c r="G20" s="2" t="str">
        <f>IF(Registro!H19&lt;&gt;"",Registro!H19,"")</f>
        <v/>
      </c>
      <c r="H20" s="2" t="str">
        <f>IF(Registro!I19&lt;&gt;"",Registro!I19,"")</f>
        <v/>
      </c>
      <c r="I20" s="2" t="str">
        <f>IF(Registro!J19&lt;&gt;"",Registro!J19,"")</f>
        <v/>
      </c>
      <c r="J20" s="2" t="str">
        <f>IF(Registro!K19&lt;&gt;"",Registro!K19,"")</f>
        <v/>
      </c>
      <c r="K20" s="2">
        <f>IF(Registro!M19&lt;&gt;"",Registro!M19,"")</f>
        <v>0</v>
      </c>
      <c r="L20" s="3" t="str">
        <f>IF(Registro!N28&lt;&gt;"",Registro!N28,"")</f>
        <v>DOLARES AMERICANOS CON 00/100 CENTAVOS</v>
      </c>
      <c r="M20" s="3" t="str">
        <f>IFERROR(VLOOKUP(E20,Tabla1[[#All],[Código del talento]:[Sec. Factura]],4,FALSE),"")</f>
        <v/>
      </c>
    </row>
    <row r="21" spans="1:13" ht="31.5" x14ac:dyDescent="0.25">
      <c r="A21" s="2" t="str">
        <f>IF(Registro!A20&lt;&gt;"",Registro!A20,"")</f>
        <v/>
      </c>
      <c r="B21" s="2" t="str">
        <f>IF(Registro!B20&lt;&gt;"",VLOOKUP(A21,Registro!$A$4:$R$53,2,FALSE),"")</f>
        <v>BEE713</v>
      </c>
      <c r="C21" s="2" t="str">
        <f>IF(Registro!D20&lt;&gt;"",Registro!D20,"")</f>
        <v>Marzo</v>
      </c>
      <c r="D21" s="2" t="str">
        <f>IF(Registro!E20&lt;&gt;"",Registro!E20,"")</f>
        <v/>
      </c>
      <c r="E21" s="2" t="str">
        <f>IF(Registro!F20&lt;&gt;"",Registro!G20,"")</f>
        <v/>
      </c>
      <c r="F21" s="4" t="str">
        <f>IF(Registro!F20&lt;&gt;"",CONCATENATE("Servicio de consultoría BEE Consultoría &amp; Negocios"," ",","," ","Contrato"," ",Registro!C20," ","-"," ",Registro!F20," ","-"," ","Servicio de"," ",Registro!D20," ","-"," ",Registro!O20," ","-"," ",Registro!A20," ",Registro!Q20," ",Registro!R20),"")</f>
        <v/>
      </c>
      <c r="G21" s="2" t="str">
        <f>IF(Registro!H20&lt;&gt;"",Registro!H20,"")</f>
        <v/>
      </c>
      <c r="H21" s="2" t="str">
        <f>IF(Registro!I20&lt;&gt;"",Registro!I20,"")</f>
        <v/>
      </c>
      <c r="I21" s="2" t="str">
        <f>IF(Registro!J20&lt;&gt;"",Registro!J20,"")</f>
        <v/>
      </c>
      <c r="J21" s="2" t="str">
        <f>IF(Registro!K20&lt;&gt;"",Registro!K20,"")</f>
        <v/>
      </c>
      <c r="K21" s="2">
        <f>IF(Registro!M20&lt;&gt;"",Registro!M20,"")</f>
        <v>0</v>
      </c>
      <c r="L21" s="3" t="str">
        <f>IF(Registro!N29&lt;&gt;"",Registro!N29,"")</f>
        <v>DOLARES AMERICANOS CON 00/100 CENTAVOS</v>
      </c>
      <c r="M21" s="3" t="str">
        <f>IFERROR(VLOOKUP(E21,Tabla1[[#All],[Código del talento]:[Sec. Factura]],4,FALSE),"")</f>
        <v/>
      </c>
    </row>
    <row r="22" spans="1:13" ht="31.5" x14ac:dyDescent="0.25">
      <c r="A22" s="2" t="str">
        <f>IF(Registro!A15&lt;&gt;"",Registro!A15,"")</f>
        <v/>
      </c>
      <c r="B22" s="2" t="str">
        <f>IF(Registro!B15&lt;&gt;"",VLOOKUP(A22,Registro!$A$4:$R$53,2,FALSE),"")</f>
        <v>BEE713</v>
      </c>
      <c r="C22" s="2" t="str">
        <f>IF(Registro!D15&lt;&gt;"",Registro!D15,"")</f>
        <v>Marzo</v>
      </c>
      <c r="D22" s="2" t="str">
        <f>IF(Registro!E15&lt;&gt;"",Registro!E15,"")</f>
        <v/>
      </c>
      <c r="E22" s="2" t="str">
        <f>IF(Registro!F15&lt;&gt;"",Registro!G15,"")</f>
        <v/>
      </c>
      <c r="F22" s="4" t="str">
        <f>IF(Registro!F15&lt;&gt;"",CONCATENATE("Servicio de consultoría BEE Consultoría &amp; Negocios"," ",","," ","Contrato"," ",Registro!C15," ","-"," ",Registro!F15," ","-"," ","Servicio de"," ",Registro!D15," ","-"," ",Registro!O15," ","-"," ",Registro!A15," ",Registro!Q15," ",Registro!R15),"")</f>
        <v/>
      </c>
      <c r="G22" s="2" t="str">
        <f>IF(Registro!H15&lt;&gt;"",Registro!H15,"")</f>
        <v/>
      </c>
      <c r="H22" s="2" t="str">
        <f>IF(Registro!I15&lt;&gt;"",Registro!I15,"")</f>
        <v/>
      </c>
      <c r="I22" s="2" t="str">
        <f>IF(Registro!J15&lt;&gt;"",Registro!J15,"")</f>
        <v/>
      </c>
      <c r="J22" s="2" t="str">
        <f>IF(Registro!K15&lt;&gt;"",Registro!K15,"")</f>
        <v/>
      </c>
      <c r="K22" s="2">
        <f>IF(Registro!M15&lt;&gt;"",Registro!M15,"")</f>
        <v>0</v>
      </c>
      <c r="L22" s="3" t="str">
        <f>IF(Registro!N30&lt;&gt;"",Registro!N30,"")</f>
        <v>DOLARES AMERICANOS CON 00/100 CENTAVOS</v>
      </c>
      <c r="M22" s="3" t="str">
        <f>IFERROR(VLOOKUP(E22,Tabla1[[#All],[Código del talento]:[Sec. Factura]],4,FALSE),"")</f>
        <v/>
      </c>
    </row>
    <row r="23" spans="1:13" ht="31.5" x14ac:dyDescent="0.25">
      <c r="A23" s="2" t="str">
        <f>IF(Registro!A24&lt;&gt;"",Registro!A24,"")</f>
        <v/>
      </c>
      <c r="B23" s="2" t="str">
        <f>IF(Registro!B24&lt;&gt;"",VLOOKUP(A23,Registro!$A$4:$R$53,2,FALSE),"")</f>
        <v>BEE713</v>
      </c>
      <c r="C23" s="2" t="str">
        <f>IF(Registro!D24&lt;&gt;"",Registro!D24,"")</f>
        <v>Marzo</v>
      </c>
      <c r="D23" s="2" t="str">
        <f>IF(Registro!E24&lt;&gt;"",Registro!E24,"")</f>
        <v/>
      </c>
      <c r="E23" s="2" t="str">
        <f>IF(Registro!F24&lt;&gt;"",Registro!G24,"")</f>
        <v/>
      </c>
      <c r="F23" s="4" t="str">
        <f>IF(Registro!F24&lt;&gt;"",CONCATENATE("Servicio de consultoría BEE Consultoría &amp; Negocios"," ",","," ","Contrato"," ",Registro!C24," ","-"," ",Registro!F24," ","-"," ","Servicio de"," ",Registro!D24," ","-"," ",Registro!O24," ","-"," ",Registro!A24," ",Registro!Q24," ",Registro!R24),"")</f>
        <v/>
      </c>
      <c r="G23" s="2" t="str">
        <f>IF(Registro!H24&lt;&gt;"",Registro!H24,"")</f>
        <v/>
      </c>
      <c r="H23" s="2" t="str">
        <f>IF(Registro!I24&lt;&gt;"",Registro!I24,"")</f>
        <v/>
      </c>
      <c r="I23" s="2" t="str">
        <f>IF(Registro!J24&lt;&gt;"",Registro!J24,"")</f>
        <v/>
      </c>
      <c r="J23" s="2" t="str">
        <f>IF(Registro!K24&lt;&gt;"",Registro!K24,"")</f>
        <v/>
      </c>
      <c r="K23" s="2">
        <f>IF(Registro!M24&lt;&gt;"",Registro!M24,"")</f>
        <v>0</v>
      </c>
      <c r="L23" s="3" t="str">
        <f>IF(Registro!N31&lt;&gt;"",Registro!N31,"")</f>
        <v>DOLARES AMERICANOS CON 00/100 CENTAVOS</v>
      </c>
      <c r="M23" s="3" t="str">
        <f>IFERROR(VLOOKUP(E23,Tabla1[[#All],[Código del talento]:[Sec. Factura]],4,FALSE),"")</f>
        <v/>
      </c>
    </row>
    <row r="24" spans="1:13" ht="31.5" x14ac:dyDescent="0.25">
      <c r="A24" s="2" t="str">
        <f>IF(Registro!A27&lt;&gt;"",Registro!A27,"")</f>
        <v/>
      </c>
      <c r="B24" s="2" t="str">
        <f>IF(Registro!B27&lt;&gt;"",VLOOKUP(A24,Registro!$A$4:$R$53,2,FALSE),"")</f>
        <v>BEE713</v>
      </c>
      <c r="C24" s="2" t="str">
        <f>IF(Registro!D27&lt;&gt;"",Registro!D27,"")</f>
        <v>Marzo</v>
      </c>
      <c r="D24" s="2" t="str">
        <f>IF(Registro!E27&lt;&gt;"",Registro!E27,"")</f>
        <v/>
      </c>
      <c r="E24" s="2" t="str">
        <f>IF(Registro!F27&lt;&gt;"",Registro!G27,"")</f>
        <v/>
      </c>
      <c r="F24" s="4" t="str">
        <f>IF(Registro!F27&lt;&gt;"",CONCATENATE("Servicio de consultoría BEE Consultoría &amp; Negocios"," ",","," ","Contrato"," ",Registro!C27," ","-"," ",Registro!F27," ","-"," ","Servicio de"," ",Registro!D27," ","-"," ",Registro!O27," ","-"," ",Registro!A27," ",Registro!Q27," ",Registro!R27),"")</f>
        <v/>
      </c>
      <c r="G24" s="2" t="str">
        <f>IF(Registro!H27&lt;&gt;"",Registro!H27,"")</f>
        <v/>
      </c>
      <c r="H24" s="2" t="str">
        <f>IF(Registro!I27&lt;&gt;"",Registro!I27,"")</f>
        <v/>
      </c>
      <c r="I24" s="2" t="str">
        <f>IF(Registro!J27&lt;&gt;"",Registro!J27,"")</f>
        <v/>
      </c>
      <c r="J24" s="2" t="str">
        <f>IF(Registro!K27&lt;&gt;"",Registro!K27,"")</f>
        <v/>
      </c>
      <c r="K24" s="2">
        <f>IF(Registro!M27&lt;&gt;"",Registro!M27,"")</f>
        <v>0</v>
      </c>
      <c r="L24" s="3" t="str">
        <f>IF(Registro!N32&lt;&gt;"",Registro!N32,"")</f>
        <v>DOLARES AMERICANOS CON 00/100 CENTAVOS</v>
      </c>
      <c r="M24" s="3" t="str">
        <f>IFERROR(VLOOKUP(E24,Tabla1[[#All],[Código del talento]:[Sec. Factura]],4,FALSE),"")</f>
        <v/>
      </c>
    </row>
    <row r="25" spans="1:13" ht="31.5" x14ac:dyDescent="0.25">
      <c r="A25" s="2" t="str">
        <f>IF(Registro!A9&lt;&gt;"",Registro!A9,"")</f>
        <v/>
      </c>
      <c r="B25" s="2" t="str">
        <f>IF(Registro!B9&lt;&gt;"",VLOOKUP(A25,Registro!$A$4:$R$53,2,FALSE),"")</f>
        <v>BEE713</v>
      </c>
      <c r="C25" s="2" t="str">
        <f>IF(Registro!D9&lt;&gt;"",Registro!D9,"")</f>
        <v>Marzo</v>
      </c>
      <c r="D25" s="2" t="str">
        <f>IF(Registro!E9&lt;&gt;"",Registro!E9,"")</f>
        <v/>
      </c>
      <c r="E25" s="2" t="str">
        <f>IF(Registro!F9&lt;&gt;"",Registro!G9,"")</f>
        <v/>
      </c>
      <c r="F25" s="4" t="str">
        <f>IF(Registro!F9&lt;&gt;"",CONCATENATE("Servicio de consultoría BEE Consultoría &amp; Negocios"," ",","," ","Contrato"," ",Registro!C9," ","-"," ",Registro!F9," ","-"," ","Servicio de"," ",Registro!D9," ","-"," ",Registro!O9," ","-"," ",Registro!A9," ",Registro!Q9," ",Registro!R9),"")</f>
        <v/>
      </c>
      <c r="G25" s="2" t="str">
        <f>IF(Registro!H9&lt;&gt;"",Registro!H9,"")</f>
        <v/>
      </c>
      <c r="H25" s="2" t="str">
        <f>IF(Registro!I9&lt;&gt;"",Registro!I9,"")</f>
        <v/>
      </c>
      <c r="I25" s="2" t="str">
        <f>IF(Registro!J9&lt;&gt;"",Registro!J9,"")</f>
        <v/>
      </c>
      <c r="J25" s="2" t="str">
        <f>IF(Registro!K9&lt;&gt;"",Registro!K9,"")</f>
        <v/>
      </c>
      <c r="K25" s="2">
        <f>IF(Registro!M9&lt;&gt;"",Registro!M9,"")</f>
        <v>0</v>
      </c>
      <c r="L25" s="3" t="str">
        <f>IF(Registro!N33&lt;&gt;"",Registro!N33,"")</f>
        <v>DOLARES AMERICANOS CON 00/100 CENTAVOS</v>
      </c>
      <c r="M25" s="3" t="str">
        <f>IFERROR(VLOOKUP(E25,Tabla1[[#All],[Código del talento]:[Sec. Factura]],4,FALSE),"")</f>
        <v/>
      </c>
    </row>
    <row r="26" spans="1:13" ht="31.5" x14ac:dyDescent="0.25">
      <c r="A26" s="2" t="str">
        <f>IF(Registro!A12&lt;&gt;"",Registro!A12,"")</f>
        <v/>
      </c>
      <c r="B26" s="2" t="str">
        <f>IF(Registro!B12&lt;&gt;"",VLOOKUP(A26,Registro!$A$4:$R$53,2,FALSE),"")</f>
        <v>BEE713</v>
      </c>
      <c r="C26" s="2" t="str">
        <f>IF(Registro!D12&lt;&gt;"",Registro!D12,"")</f>
        <v>Marzo</v>
      </c>
      <c r="D26" s="2" t="str">
        <f>IF(Registro!E12&lt;&gt;"",Registro!E12,"")</f>
        <v/>
      </c>
      <c r="E26" s="2" t="str">
        <f>IF(Registro!F12&lt;&gt;"",Registro!G12,"")</f>
        <v/>
      </c>
      <c r="F26" s="4" t="str">
        <f>IF(Registro!F12&lt;&gt;"",CONCATENATE("Servicio de consultoría BEE Consultoría &amp; Negocios"," ",","," ","Contrato"," ",Registro!C12," ","-"," ",Registro!F12," ","-"," ","Servicio de"," ",Registro!D12," ","-"," ",Registro!O12," ","-"," ",Registro!A12," ",Registro!Q12," ",Registro!R12),"")</f>
        <v/>
      </c>
      <c r="G26" s="2" t="str">
        <f>IF(Registro!H12&lt;&gt;"",Registro!H12,"")</f>
        <v/>
      </c>
      <c r="H26" s="2" t="str">
        <f>IF(Registro!I12&lt;&gt;"",Registro!I12,"")</f>
        <v/>
      </c>
      <c r="I26" s="2" t="str">
        <f>IF(Registro!J12&lt;&gt;"",Registro!J12,"")</f>
        <v/>
      </c>
      <c r="J26" s="2" t="str">
        <f>IF(Registro!K12&lt;&gt;"",Registro!K12,"")</f>
        <v/>
      </c>
      <c r="K26" s="2">
        <f>IF(Registro!M12&lt;&gt;"",Registro!M12,"")</f>
        <v>0</v>
      </c>
      <c r="L26" s="3" t="str">
        <f>IF(Registro!N34&lt;&gt;"",Registro!N34,"")</f>
        <v>DOLARES AMERICANOS CON 00/100 CENTAVOS</v>
      </c>
      <c r="M26" s="3" t="str">
        <f>IFERROR(VLOOKUP(E26,Tabla1[[#All],[Código del talento]:[Sec. Factura]],4,FALSE),"")</f>
        <v/>
      </c>
    </row>
    <row r="27" spans="1:13" ht="31.5" x14ac:dyDescent="0.25">
      <c r="A27" s="2" t="str">
        <f>IF(Registro!A29&lt;&gt;"",Registro!A29,"")</f>
        <v/>
      </c>
      <c r="B27" s="2" t="str">
        <f>IF(Registro!B29&lt;&gt;"",VLOOKUP(A27,Registro!$A$4:$R$53,2,FALSE),"")</f>
        <v>BEE713</v>
      </c>
      <c r="C27" s="2" t="str">
        <f>IF(Registro!D29&lt;&gt;"",Registro!D29,"")</f>
        <v>Marzo</v>
      </c>
      <c r="D27" s="2" t="str">
        <f>IF(Registro!E29&lt;&gt;"",Registro!E29,"")</f>
        <v/>
      </c>
      <c r="E27" s="2" t="str">
        <f>IF(Registro!F29&lt;&gt;"",Registro!G29,"")</f>
        <v/>
      </c>
      <c r="F27" s="4" t="str">
        <f>IF(Registro!F29&lt;&gt;"",CONCATENATE("Servicio de consultoría BEE Consultoría &amp; Negocios"," ",","," ","Contrato"," ",Registro!C29," ","-"," ",Registro!F29," ","-"," ","Servicio de"," ",Registro!D29," ","-"," ",Registro!O29," ","-"," ",Registro!A29," ",Registro!Q29," ",Registro!R29),"")</f>
        <v/>
      </c>
      <c r="G27" s="2" t="str">
        <f>IF(Registro!H29&lt;&gt;"",Registro!H29,"")</f>
        <v/>
      </c>
      <c r="H27" s="2" t="str">
        <f>IF(Registro!I29&lt;&gt;"",Registro!I29,"")</f>
        <v/>
      </c>
      <c r="I27" s="2" t="str">
        <f>IF(Registro!J29&lt;&gt;"",Registro!J29,"")</f>
        <v/>
      </c>
      <c r="J27" s="2" t="str">
        <f>IF(Registro!K29&lt;&gt;"",Registro!K29,"")</f>
        <v/>
      </c>
      <c r="K27" s="2">
        <f>IF(Registro!M29&lt;&gt;"",Registro!M29,"")</f>
        <v>0</v>
      </c>
      <c r="L27" s="3" t="str">
        <f>IF(Registro!N35&lt;&gt;"",Registro!N35,"")</f>
        <v>DOLARES AMERICANOS CON 00/100 CENTAVOS</v>
      </c>
      <c r="M27" s="3" t="str">
        <f>IFERROR(VLOOKUP(E27,Tabla1[[#All],[Código del talento]:[Sec. Factura]],4,FALSE),"")</f>
        <v/>
      </c>
    </row>
    <row r="28" spans="1:13" ht="31.5" x14ac:dyDescent="0.25">
      <c r="A28" s="2" t="str">
        <f>IF(Registro!A30&lt;&gt;"",Registro!A30,"")</f>
        <v/>
      </c>
      <c r="B28" s="2" t="str">
        <f>IF(Registro!B30&lt;&gt;"",VLOOKUP(A28,Registro!$A$4:$R$53,2,FALSE),"")</f>
        <v>BEE713</v>
      </c>
      <c r="C28" s="2" t="str">
        <f>IF(Registro!D30&lt;&gt;"",Registro!D30,"")</f>
        <v>Marzo</v>
      </c>
      <c r="D28" s="2" t="str">
        <f>IF(Registro!E30&lt;&gt;"",Registro!E30,"")</f>
        <v/>
      </c>
      <c r="E28" s="2" t="str">
        <f>IF(Registro!F30&lt;&gt;"",Registro!G30,"")</f>
        <v/>
      </c>
      <c r="F28" s="4" t="str">
        <f>IF(Registro!F30&lt;&gt;"",CONCATENATE("Servicio de consultoría BEE Consultoría &amp; Negocios"," ",","," ","Contrato"," ",Registro!C30," ","-"," ",Registro!F30," ","-"," ","Servicio de"," ",Registro!D30," ","-"," ",Registro!O30," ","-"," ",Registro!A30," ",Registro!Q30," ",Registro!R30),"")</f>
        <v/>
      </c>
      <c r="G28" s="2" t="str">
        <f>IF(Registro!H30&lt;&gt;"",Registro!H30,"")</f>
        <v/>
      </c>
      <c r="H28" s="2" t="str">
        <f>IF(Registro!I30&lt;&gt;"",Registro!I30,"")</f>
        <v/>
      </c>
      <c r="I28" s="2" t="str">
        <f>IF(Registro!J30&lt;&gt;"",Registro!J30,"")</f>
        <v/>
      </c>
      <c r="J28" s="2" t="str">
        <f>IF(Registro!K30&lt;&gt;"",Registro!K30,"")</f>
        <v/>
      </c>
      <c r="K28" s="2">
        <f>IF(Registro!M30&lt;&gt;"",Registro!M30,"")</f>
        <v>0</v>
      </c>
      <c r="L28" s="3" t="str">
        <f>IF(Registro!N36&lt;&gt;"",Registro!N36,"")</f>
        <v>DOLARES AMERICANOS CON 00/100 CENTAVOS</v>
      </c>
      <c r="M28" s="3" t="str">
        <f>IFERROR(VLOOKUP(E28,Tabla1[[#All],[Código del talento]:[Sec. Factura]],4,FALSE),"")</f>
        <v/>
      </c>
    </row>
    <row r="29" spans="1:13" ht="31.5" x14ac:dyDescent="0.25">
      <c r="A29" s="2" t="str">
        <f>IF(Registro!A31&lt;&gt;"",Registro!A31,"")</f>
        <v/>
      </c>
      <c r="B29" s="2" t="str">
        <f>IF(Registro!B31&lt;&gt;"",VLOOKUP(A29,Registro!$A$4:$R$53,2,FALSE),"")</f>
        <v>BEE713</v>
      </c>
      <c r="C29" s="2" t="str">
        <f>IF(Registro!D31&lt;&gt;"",Registro!D31,"")</f>
        <v>Marzo</v>
      </c>
      <c r="D29" s="2" t="str">
        <f>IF(Registro!E31&lt;&gt;"",Registro!E31,"")</f>
        <v/>
      </c>
      <c r="E29" s="2" t="str">
        <f>IF(Registro!F31&lt;&gt;"",Registro!G31,"")</f>
        <v/>
      </c>
      <c r="F29" s="4" t="str">
        <f>IF(Registro!F31&lt;&gt;"",CONCATENATE("Servicio de consultoría BEE Consultoría &amp; Negocios"," ",","," ","Contrato"," ",Registro!C31," ","-"," ",Registro!F31," ","-"," ","Servicio de"," ",Registro!D31," ","-"," ",Registro!O31," ","-"," ",Registro!A31," ",Registro!Q31," ",Registro!R31),"")</f>
        <v/>
      </c>
      <c r="G29" s="2" t="str">
        <f>IF(Registro!H31&lt;&gt;"",Registro!H31,"")</f>
        <v/>
      </c>
      <c r="H29" s="2" t="str">
        <f>IF(Registro!I31&lt;&gt;"",Registro!I31,"")</f>
        <v/>
      </c>
      <c r="I29" s="2" t="str">
        <f>IF(Registro!J31&lt;&gt;"",Registro!J31,"")</f>
        <v/>
      </c>
      <c r="J29" s="2" t="str">
        <f>IF(Registro!K31&lt;&gt;"",Registro!K31,"")</f>
        <v/>
      </c>
      <c r="K29" s="2">
        <f>IF(Registro!M31&lt;&gt;"",Registro!M31,"")</f>
        <v>0</v>
      </c>
      <c r="L29" s="3" t="str">
        <f>IF(Registro!N37&lt;&gt;"",Registro!N37,"")</f>
        <v>DOLARES AMERICANOS CON 00/100 CENTAVOS</v>
      </c>
      <c r="M29" s="3" t="str">
        <f>IFERROR(VLOOKUP(E29,Tabla1[[#All],[Código del talento]:[Sec. Factura]],4,FALSE),"")</f>
        <v/>
      </c>
    </row>
    <row r="30" spans="1:13" ht="31.5" x14ac:dyDescent="0.25">
      <c r="A30" s="2" t="str">
        <f>IF(Registro!A32&lt;&gt;"",Registro!A32,"")</f>
        <v/>
      </c>
      <c r="B30" s="2" t="str">
        <f>IF(Registro!B32&lt;&gt;"",VLOOKUP(A30,Registro!$A$4:$R$53,2,FALSE),"")</f>
        <v>BEE713</v>
      </c>
      <c r="C30" s="2" t="str">
        <f>IF(Registro!D32&lt;&gt;"",Registro!D32,"")</f>
        <v>Marzo</v>
      </c>
      <c r="D30" s="2" t="str">
        <f>IF(Registro!E32&lt;&gt;"",Registro!E32,"")</f>
        <v/>
      </c>
      <c r="E30" s="2" t="str">
        <f>IF(Registro!F32&lt;&gt;"",Registro!G32,"")</f>
        <v/>
      </c>
      <c r="F30" s="4" t="str">
        <f>IF(Registro!F32&lt;&gt;"",CONCATENATE("Servicio de consultoría BEE Consultoría &amp; Negocios"," ",","," ","Contrato"," ",Registro!C32," ","-"," ",Registro!F32," ","-"," ","Servicio de"," ",Registro!D32," ","-"," ",Registro!O32," ","-"," ",Registro!A32," ",Registro!Q32," ",Registro!R32),"")</f>
        <v/>
      </c>
      <c r="G30" s="2" t="str">
        <f>IF(Registro!H32&lt;&gt;"",Registro!H32,"")</f>
        <v/>
      </c>
      <c r="H30" s="2" t="str">
        <f>IF(Registro!I32&lt;&gt;"",Registro!I32,"")</f>
        <v/>
      </c>
      <c r="I30" s="2" t="str">
        <f>IF(Registro!J32&lt;&gt;"",Registro!J32,"")</f>
        <v/>
      </c>
      <c r="J30" s="2" t="str">
        <f>IF(Registro!K32&lt;&gt;"",Registro!K32,"")</f>
        <v/>
      </c>
      <c r="K30" s="2">
        <f>IF(Registro!M32&lt;&gt;"",Registro!M32,"")</f>
        <v>0</v>
      </c>
      <c r="L30" s="3" t="str">
        <f>IF(Registro!N38&lt;&gt;"",Registro!N38,"")</f>
        <v>DOLARES AMERICANOS CON 00/100 CENTAVOS</v>
      </c>
      <c r="M30" s="3" t="str">
        <f>IFERROR(VLOOKUP(E30,Tabla1[[#All],[Código del talento]:[Sec. Factura]],4,FALSE),"")</f>
        <v/>
      </c>
    </row>
    <row r="31" spans="1:13" ht="31.5" x14ac:dyDescent="0.25">
      <c r="A31" s="2" t="str">
        <f>IF(Registro!A33&lt;&gt;"",Registro!A33,"")</f>
        <v/>
      </c>
      <c r="B31" s="2" t="str">
        <f>IF(Registro!B33&lt;&gt;"",VLOOKUP(A31,Registro!$A$4:$R$53,2,FALSE),"")</f>
        <v>BEE713</v>
      </c>
      <c r="C31" s="2" t="str">
        <f>IF(Registro!D33&lt;&gt;"",Registro!D33,"")</f>
        <v>Marzo</v>
      </c>
      <c r="D31" s="2" t="str">
        <f>IF(Registro!E33&lt;&gt;"",Registro!E33,"")</f>
        <v/>
      </c>
      <c r="E31" s="2" t="str">
        <f>IF(Registro!F33&lt;&gt;"",Registro!G33,"")</f>
        <v/>
      </c>
      <c r="F31" s="4" t="str">
        <f>IF(Registro!F33&lt;&gt;"",CONCATENATE("Servicio de consultoría BEE Consultoría &amp; Negocios"," ",","," ","Contrato"," ",Registro!C33," ","-"," ",Registro!F33," ","-"," ","Servicio de"," ",Registro!D33," ","-"," ",Registro!O33," ","-"," ",Registro!A33," ",Registro!Q33," ",Registro!R33),"")</f>
        <v/>
      </c>
      <c r="G31" s="2" t="str">
        <f>IF(Registro!H33&lt;&gt;"",Registro!H33,"")</f>
        <v/>
      </c>
      <c r="H31" s="2" t="str">
        <f>IF(Registro!I33&lt;&gt;"",Registro!I33,"")</f>
        <v/>
      </c>
      <c r="I31" s="2" t="str">
        <f>IF(Registro!J33&lt;&gt;"",Registro!J33,"")</f>
        <v/>
      </c>
      <c r="J31" s="2" t="str">
        <f>IF(Registro!K33&lt;&gt;"",Registro!K33,"")</f>
        <v/>
      </c>
      <c r="K31" s="2">
        <f>IF(Registro!M33&lt;&gt;"",Registro!M33,"")</f>
        <v>0</v>
      </c>
      <c r="L31" s="3" t="str">
        <f>IF(Registro!N39&lt;&gt;"",Registro!N39,"")</f>
        <v>DOLARES AMERICANOS CON 00/100 CENTAVOS</v>
      </c>
      <c r="M31" s="3" t="str">
        <f>IFERROR(VLOOKUP(E31,Tabla1[[#All],[Código del talento]:[Sec. Factura]],4,FALSE),"")</f>
        <v/>
      </c>
    </row>
    <row r="32" spans="1:13" ht="31.5" x14ac:dyDescent="0.25">
      <c r="A32" s="2" t="str">
        <f>IF(Registro!A34&lt;&gt;"",Registro!A34,"")</f>
        <v/>
      </c>
      <c r="B32" s="2" t="str">
        <f>IF(Registro!B34&lt;&gt;"",VLOOKUP(A32,Registro!$A$4:$R$53,2,FALSE),"")</f>
        <v>BEE713</v>
      </c>
      <c r="C32" s="2" t="str">
        <f>IF(Registro!D34&lt;&gt;"",Registro!D34,"")</f>
        <v>Marzo</v>
      </c>
      <c r="D32" s="2" t="str">
        <f>IF(Registro!E34&lt;&gt;"",Registro!E34,"")</f>
        <v/>
      </c>
      <c r="E32" s="2" t="str">
        <f>IF(Registro!F34&lt;&gt;"",Registro!G34,"")</f>
        <v/>
      </c>
      <c r="F32" s="4" t="str">
        <f>IF(Registro!F34&lt;&gt;"",CONCATENATE("Servicio de consultoría BEE Consultoría &amp; Negocios"," ",","," ","Contrato"," ",Registro!C34," ","-"," ",Registro!F34," ","-"," ","Servicio de"," ",Registro!D34," ","-"," ",Registro!O34," ","-"," ",Registro!A34," ",Registro!Q34," ",Registro!R34),"")</f>
        <v/>
      </c>
      <c r="G32" s="2" t="str">
        <f>IF(Registro!H34&lt;&gt;"",Registro!H34,"")</f>
        <v/>
      </c>
      <c r="H32" s="2" t="str">
        <f>IF(Registro!I34&lt;&gt;"",Registro!I34,"")</f>
        <v/>
      </c>
      <c r="I32" s="2" t="str">
        <f>IF(Registro!J34&lt;&gt;"",Registro!J34,"")</f>
        <v/>
      </c>
      <c r="J32" s="2" t="str">
        <f>IF(Registro!K34&lt;&gt;"",Registro!K34,"")</f>
        <v/>
      </c>
      <c r="K32" s="2">
        <f>IF(Registro!M34&lt;&gt;"",Registro!M34,"")</f>
        <v>0</v>
      </c>
      <c r="L32" s="3" t="str">
        <f>IF(Registro!N40&lt;&gt;"",Registro!N40,"")</f>
        <v>DOLARES AMERICANOS CON 00/100 CENTAVOS</v>
      </c>
      <c r="M32" s="3" t="str">
        <f>IFERROR(VLOOKUP(E32,Tabla1[[#All],[Código del talento]:[Sec. Factura]],4,FALSE),"")</f>
        <v/>
      </c>
    </row>
    <row r="33" spans="1:13" ht="31.5" x14ac:dyDescent="0.25">
      <c r="A33" s="2" t="str">
        <f>IF(Registro!A35&lt;&gt;"",Registro!A35,"")</f>
        <v/>
      </c>
      <c r="B33" s="2" t="str">
        <f>IF(Registro!B35&lt;&gt;"",VLOOKUP(A33,Registro!$A$4:$R$53,2,FALSE),"")</f>
        <v>BEE713</v>
      </c>
      <c r="C33" s="2" t="str">
        <f>IF(Registro!D35&lt;&gt;"",Registro!D35,"")</f>
        <v>Marzo</v>
      </c>
      <c r="D33" s="2" t="str">
        <f>IF(Registro!E35&lt;&gt;"",Registro!E35,"")</f>
        <v/>
      </c>
      <c r="E33" s="2" t="str">
        <f>IF(Registro!F35&lt;&gt;"",Registro!G35,"")</f>
        <v/>
      </c>
      <c r="F33" s="4" t="str">
        <f>IF(Registro!F35&lt;&gt;"",CONCATENATE("Servicio de consultoría BEE Consultoría &amp; Negocios"," ",","," ","Contrato"," ",Registro!C35," ","-"," ",Registro!F35," ","-"," ","Servicio de"," ",Registro!D35," ","-"," ",Registro!O35," ","-"," ",Registro!A35," ",Registro!Q35," ",Registro!R35),"")</f>
        <v/>
      </c>
      <c r="G33" s="2" t="str">
        <f>IF(Registro!H35&lt;&gt;"",Registro!H35,"")</f>
        <v/>
      </c>
      <c r="H33" s="2" t="str">
        <f>IF(Registro!I35&lt;&gt;"",Registro!I35,"")</f>
        <v/>
      </c>
      <c r="I33" s="2" t="str">
        <f>IF(Registro!J35&lt;&gt;"",Registro!J35,"")</f>
        <v/>
      </c>
      <c r="J33" s="2" t="str">
        <f>IF(Registro!K35&lt;&gt;"",Registro!K35,"")</f>
        <v/>
      </c>
      <c r="K33" s="2">
        <f>IF(Registro!M35&lt;&gt;"",Registro!M35,"")</f>
        <v>0</v>
      </c>
      <c r="L33" s="3" t="str">
        <f>IF(Registro!N41&lt;&gt;"",Registro!N41,"")</f>
        <v>DOLARES AMERICANOS CON 00/100 CENTAVOS</v>
      </c>
      <c r="M33" s="3" t="str">
        <f>IFERROR(VLOOKUP(E33,Tabla1[[#All],[Código del talento]:[Sec. Factura]],4,FALSE),"")</f>
        <v/>
      </c>
    </row>
    <row r="34" spans="1:13" ht="31.5" x14ac:dyDescent="0.25">
      <c r="A34" s="2" t="str">
        <f>IF(Registro!A36&lt;&gt;"",Registro!A36,"")</f>
        <v/>
      </c>
      <c r="B34" s="2" t="str">
        <f>IF(Registro!B36&lt;&gt;"",VLOOKUP(A34,Registro!$A$4:$R$53,2,FALSE),"")</f>
        <v>BEE713</v>
      </c>
      <c r="C34" s="2" t="str">
        <f>IF(Registro!D36&lt;&gt;"",Registro!D36,"")</f>
        <v>Marzo</v>
      </c>
      <c r="D34" s="2" t="str">
        <f>IF(Registro!E36&lt;&gt;"",Registro!E36,"")</f>
        <v/>
      </c>
      <c r="E34" s="2" t="str">
        <f>IF(Registro!F36&lt;&gt;"",Registro!G36,"")</f>
        <v/>
      </c>
      <c r="F34" s="4" t="str">
        <f>IF(Registro!F36&lt;&gt;"",CONCATENATE("Servicio de consultoría BEE Consultoría &amp; Negocios"," ",","," ","Contrato"," ",Registro!C36," ","-"," ",Registro!F36," ","-"," ","Servicio de"," ",Registro!D36," ","-"," ",Registro!O36," ","-"," ",Registro!A36," ",Registro!Q36," ",Registro!R36),"")</f>
        <v/>
      </c>
      <c r="G34" s="2" t="str">
        <f>IF(Registro!H36&lt;&gt;"",Registro!H36,"")</f>
        <v/>
      </c>
      <c r="H34" s="2" t="str">
        <f>IF(Registro!I36&lt;&gt;"",Registro!I36,"")</f>
        <v/>
      </c>
      <c r="I34" s="2" t="str">
        <f>IF(Registro!J36&lt;&gt;"",Registro!J36,"")</f>
        <v/>
      </c>
      <c r="J34" s="2" t="str">
        <f>IF(Registro!K36&lt;&gt;"",Registro!K36,"")</f>
        <v/>
      </c>
      <c r="K34" s="2">
        <f>IF(Registro!M36&lt;&gt;"",Registro!M36,"")</f>
        <v>0</v>
      </c>
      <c r="L34" s="3" t="str">
        <f>IF(Registro!N42&lt;&gt;"",Registro!N42,"")</f>
        <v>DOLARES AMERICANOS CON 00/100 CENTAVOS</v>
      </c>
      <c r="M34" s="3" t="str">
        <f>IFERROR(VLOOKUP(E34,Tabla1[[#All],[Código del talento]:[Sec. Factura]],4,FALSE),"")</f>
        <v/>
      </c>
    </row>
    <row r="35" spans="1:13" ht="31.5" x14ac:dyDescent="0.25">
      <c r="A35" s="2" t="str">
        <f>IF(Registro!A37&lt;&gt;"",Registro!A37,"")</f>
        <v/>
      </c>
      <c r="B35" s="2" t="str">
        <f>IF(Registro!B37&lt;&gt;"",VLOOKUP(A35,Registro!$A$4:$R$53,2,FALSE),"")</f>
        <v>BEE713</v>
      </c>
      <c r="C35" s="2" t="str">
        <f>IF(Registro!D37&lt;&gt;"",Registro!D37,"")</f>
        <v>Marzo</v>
      </c>
      <c r="D35" s="2" t="str">
        <f>IF(Registro!E37&lt;&gt;"",Registro!E37,"")</f>
        <v/>
      </c>
      <c r="E35" s="2" t="str">
        <f>IF(Registro!F37&lt;&gt;"",Registro!G37,"")</f>
        <v/>
      </c>
      <c r="F35" s="4" t="str">
        <f>IF(Registro!F37&lt;&gt;"",CONCATENATE("Servicio de consultoría BEE Consultoría &amp; Negocios"," ",","," ","Contrato"," ",Registro!C37," ","-"," ",Registro!F37," ","-"," ","Servicio de"," ",Registro!D37," ","-"," ",Registro!O37," ","-"," ",Registro!A37," ",Registro!Q37," ",Registro!R37),"")</f>
        <v/>
      </c>
      <c r="G35" s="2" t="str">
        <f>IF(Registro!H37&lt;&gt;"",Registro!H37,"")</f>
        <v/>
      </c>
      <c r="H35" s="2" t="str">
        <f>IF(Registro!I37&lt;&gt;"",Registro!I37,"")</f>
        <v/>
      </c>
      <c r="I35" s="2" t="str">
        <f>IF(Registro!J37&lt;&gt;"",Registro!J37,"")</f>
        <v/>
      </c>
      <c r="J35" s="2" t="str">
        <f>IF(Registro!K37&lt;&gt;"",Registro!K37,"")</f>
        <v/>
      </c>
      <c r="K35" s="2">
        <f>IF(Registro!M37&lt;&gt;"",Registro!M37,"")</f>
        <v>0</v>
      </c>
      <c r="L35" s="3" t="str">
        <f>IF(Registro!N43&lt;&gt;"",Registro!N43,"")</f>
        <v>DOLARES AMERICANOS CON 00/100 CENTAVOS</v>
      </c>
      <c r="M35" s="3" t="str">
        <f>IFERROR(VLOOKUP(E35,Tabla1[[#All],[Código del talento]:[Sec. Factura]],4,FALSE),"")</f>
        <v/>
      </c>
    </row>
    <row r="36" spans="1:13" ht="31.5" x14ac:dyDescent="0.25">
      <c r="A36" s="2" t="str">
        <f>IF(Registro!A38&lt;&gt;"",Registro!A38,"")</f>
        <v/>
      </c>
      <c r="B36" s="2" t="str">
        <f>IF(Registro!B38&lt;&gt;"",VLOOKUP(A36,Registro!$A$4:$R$53,2,FALSE),"")</f>
        <v>BEE713</v>
      </c>
      <c r="C36" s="2" t="str">
        <f>IF(Registro!D38&lt;&gt;"",Registro!D38,"")</f>
        <v>Marzo</v>
      </c>
      <c r="D36" s="2" t="str">
        <f>IF(Registro!E38&lt;&gt;"",Registro!E38,"")</f>
        <v/>
      </c>
      <c r="E36" s="2" t="str">
        <f>IF(Registro!F38&lt;&gt;"",Registro!G38,"")</f>
        <v/>
      </c>
      <c r="F36" s="4" t="str">
        <f>IF(Registro!F38&lt;&gt;"",CONCATENATE("Servicio de consultoría BEE Consultoría &amp; Negocios"," ",","," ","Contrato"," ",Registro!C38," ","-"," ",Registro!F38," ","-"," ","Servicio de"," ",Registro!D38," ","-"," ",Registro!O38," ","-"," ",Registro!A38," ",Registro!Q38," ",Registro!R38),"")</f>
        <v/>
      </c>
      <c r="G36" s="2" t="str">
        <f>IF(Registro!H38&lt;&gt;"",Registro!H38,"")</f>
        <v/>
      </c>
      <c r="H36" s="2" t="str">
        <f>IF(Registro!I38&lt;&gt;"",Registro!I38,"")</f>
        <v/>
      </c>
      <c r="I36" s="2" t="str">
        <f>IF(Registro!J38&lt;&gt;"",Registro!J38,"")</f>
        <v/>
      </c>
      <c r="J36" s="2" t="str">
        <f>IF(Registro!K38&lt;&gt;"",Registro!K38,"")</f>
        <v/>
      </c>
      <c r="K36" s="2">
        <f>IF(Registro!M38&lt;&gt;"",Registro!M38,"")</f>
        <v>0</v>
      </c>
      <c r="L36" s="3" t="str">
        <f>IF(Registro!N44&lt;&gt;"",Registro!N44,"")</f>
        <v>DOLARES AMERICANOS CON 00/100 CENTAVOS</v>
      </c>
      <c r="M36" s="3" t="str">
        <f>IFERROR(VLOOKUP(E36,Tabla1[[#All],[Código del talento]:[Sec. Factura]],4,FALSE),"")</f>
        <v/>
      </c>
    </row>
    <row r="37" spans="1:13" ht="31.5" x14ac:dyDescent="0.25">
      <c r="A37" s="2" t="str">
        <f>IF(Registro!A39&lt;&gt;"",Registro!A39,"")</f>
        <v/>
      </c>
      <c r="B37" s="2" t="str">
        <f>IF(Registro!B39&lt;&gt;"",VLOOKUP(A37,Registro!$A$4:$R$53,2,FALSE),"")</f>
        <v>BEE713</v>
      </c>
      <c r="C37" s="2" t="str">
        <f>IF(Registro!D39&lt;&gt;"",Registro!D39,"")</f>
        <v>Marzo</v>
      </c>
      <c r="D37" s="2" t="str">
        <f>IF(Registro!E39&lt;&gt;"",Registro!E39,"")</f>
        <v/>
      </c>
      <c r="E37" s="2" t="str">
        <f>IF(Registro!F39&lt;&gt;"",Registro!G39,"")</f>
        <v/>
      </c>
      <c r="F37" s="4" t="str">
        <f>IF(Registro!F39&lt;&gt;"",CONCATENATE("Servicio de consultoría BEE Consultoría &amp; Negocios"," ",","," ","Contrato"," ",Registro!C39," ","-"," ",Registro!F39," ","-"," ","Servicio de"," ",Registro!D39," ","-"," ",Registro!O39," ","-"," ",Registro!A39," ",Registro!Q39," ",Registro!R39),"")</f>
        <v/>
      </c>
      <c r="G37" s="2" t="str">
        <f>IF(Registro!H39&lt;&gt;"",Registro!H39,"")</f>
        <v/>
      </c>
      <c r="H37" s="2" t="str">
        <f>IF(Registro!I39&lt;&gt;"",Registro!I39,"")</f>
        <v/>
      </c>
      <c r="I37" s="2" t="str">
        <f>IF(Registro!J39&lt;&gt;"",Registro!J39,"")</f>
        <v/>
      </c>
      <c r="J37" s="2" t="str">
        <f>IF(Registro!K39&lt;&gt;"",Registro!K39,"")</f>
        <v/>
      </c>
      <c r="K37" s="2">
        <f>IF(Registro!M39&lt;&gt;"",Registro!M39,"")</f>
        <v>0</v>
      </c>
      <c r="L37" s="3" t="str">
        <f>IF(Registro!N45&lt;&gt;"",Registro!N45,"")</f>
        <v>DOLARES AMERICANOS CON 00/100 CENTAVOS</v>
      </c>
      <c r="M37" s="3" t="str">
        <f>IFERROR(VLOOKUP(E37,Tabla1[[#All],[Código del talento]:[Sec. Factura]],4,FALSE),"")</f>
        <v/>
      </c>
    </row>
    <row r="38" spans="1:13" ht="31.5" x14ac:dyDescent="0.25">
      <c r="A38" s="2" t="str">
        <f>IF(Registro!A40&lt;&gt;"",Registro!A40,"")</f>
        <v/>
      </c>
      <c r="B38" s="2" t="str">
        <f>IF(Registro!B40&lt;&gt;"",VLOOKUP(A38,Registro!$A$4:$R$53,2,FALSE),"")</f>
        <v>BEE713</v>
      </c>
      <c r="C38" s="2" t="str">
        <f>IF(Registro!D40&lt;&gt;"",Registro!D40,"")</f>
        <v>Marzo</v>
      </c>
      <c r="D38" s="2" t="str">
        <f>IF(Registro!E40&lt;&gt;"",Registro!E40,"")</f>
        <v/>
      </c>
      <c r="E38" s="2" t="str">
        <f>IF(Registro!F40&lt;&gt;"",Registro!G40,"")</f>
        <v/>
      </c>
      <c r="F38" s="4" t="str">
        <f>IF(Registro!F40&lt;&gt;"",CONCATENATE("Servicio de consultoría BEE Consultoría &amp; Negocios"," ",","," ","Contrato"," ",Registro!C40," ","-"," ",Registro!F40," ","-"," ","Servicio de"," ",Registro!D40," ","-"," ",Registro!O40," ","-"," ",Registro!A40," ",Registro!Q40," ",Registro!R40),"")</f>
        <v/>
      </c>
      <c r="G38" s="2" t="str">
        <f>IF(Registro!H40&lt;&gt;"",Registro!H40,"")</f>
        <v/>
      </c>
      <c r="H38" s="2" t="str">
        <f>IF(Registro!I40&lt;&gt;"",Registro!I40,"")</f>
        <v/>
      </c>
      <c r="I38" s="2" t="str">
        <f>IF(Registro!J40&lt;&gt;"",Registro!J40,"")</f>
        <v/>
      </c>
      <c r="J38" s="2" t="str">
        <f>IF(Registro!K40&lt;&gt;"",Registro!K40,"")</f>
        <v/>
      </c>
      <c r="K38" s="2">
        <f>IF(Registro!M40&lt;&gt;"",Registro!M40,"")</f>
        <v>0</v>
      </c>
      <c r="L38" s="3" t="str">
        <f>IF(Registro!N46&lt;&gt;"",Registro!N46,"")</f>
        <v>DOLARES AMERICANOS CON 00/100 CENTAVOS</v>
      </c>
      <c r="M38" s="3" t="str">
        <f>IFERROR(VLOOKUP(E38,Tabla1[[#All],[Código del talento]:[Sec. Factura]],4,FALSE),"")</f>
        <v/>
      </c>
    </row>
    <row r="39" spans="1:13" ht="31.5" x14ac:dyDescent="0.25">
      <c r="A39" s="2" t="str">
        <f>IF(Registro!A41&lt;&gt;"",Registro!A41,"")</f>
        <v/>
      </c>
      <c r="B39" s="2" t="str">
        <f>IF(Registro!B41&lt;&gt;"",VLOOKUP(A39,Registro!$A$4:$R$53,2,FALSE),"")</f>
        <v>BEE713</v>
      </c>
      <c r="C39" s="2" t="str">
        <f>IF(Registro!D41&lt;&gt;"",Registro!D41,"")</f>
        <v>Marzo</v>
      </c>
      <c r="D39" s="2" t="str">
        <f>IF(Registro!E41&lt;&gt;"",Registro!E41,"")</f>
        <v/>
      </c>
      <c r="E39" s="2" t="str">
        <f>IF(Registro!F41&lt;&gt;"",Registro!G41,"")</f>
        <v/>
      </c>
      <c r="F39" s="4" t="str">
        <f>IF(Registro!F41&lt;&gt;"",CONCATENATE("Servicio de consultoría BEE Consultoría &amp; Negocios"," ",","," ","Contrato"," ",Registro!C41," ","-"," ",Registro!F41," ","-"," ","Servicio de"," ",Registro!D41," ","-"," ",Registro!O41," ","-"," ",Registro!A41," ",Registro!Q41," ",Registro!R41),"")</f>
        <v/>
      </c>
      <c r="G39" s="2" t="str">
        <f>IF(Registro!H41&lt;&gt;"",Registro!H41,"")</f>
        <v/>
      </c>
      <c r="H39" s="2" t="str">
        <f>IF(Registro!I41&lt;&gt;"",Registro!I41,"")</f>
        <v/>
      </c>
      <c r="I39" s="2" t="str">
        <f>IF(Registro!J41&lt;&gt;"",Registro!J41,"")</f>
        <v/>
      </c>
      <c r="J39" s="2" t="str">
        <f>IF(Registro!K41&lt;&gt;"",Registro!K41,"")</f>
        <v/>
      </c>
      <c r="K39" s="2">
        <f>IF(Registro!M41&lt;&gt;"",Registro!M41,"")</f>
        <v>0</v>
      </c>
      <c r="L39" s="3" t="str">
        <f>IF(Registro!N47&lt;&gt;"",Registro!N47,"")</f>
        <v>DOLARES AMERICANOS CON 00/100 CENTAVOS</v>
      </c>
      <c r="M39" s="3" t="str">
        <f>IFERROR(VLOOKUP(E39,Tabla1[[#All],[Código del talento]:[Sec. Factura]],4,FALSE),"")</f>
        <v/>
      </c>
    </row>
    <row r="40" spans="1:13" ht="31.5" x14ac:dyDescent="0.25">
      <c r="A40" s="2" t="str">
        <f>IF(Registro!A42&lt;&gt;"",Registro!A42,"")</f>
        <v/>
      </c>
      <c r="B40" s="2" t="str">
        <f>IF(Registro!B42&lt;&gt;"",VLOOKUP(A40,Registro!$A$4:$R$53,2,FALSE),"")</f>
        <v>BEE713</v>
      </c>
      <c r="C40" s="2" t="str">
        <f>IF(Registro!D42&lt;&gt;"",Registro!D42,"")</f>
        <v>Marzo</v>
      </c>
      <c r="D40" s="2" t="str">
        <f>IF(Registro!E42&lt;&gt;"",Registro!E42,"")</f>
        <v/>
      </c>
      <c r="E40" s="2" t="str">
        <f>IF(Registro!F42&lt;&gt;"",Registro!G42,"")</f>
        <v/>
      </c>
      <c r="F40" s="4" t="str">
        <f>IF(Registro!F42&lt;&gt;"",CONCATENATE("Servicio de consultoría BEE Consultoría &amp; Negocios"," ",","," ","Contrato"," ",Registro!C42," ","-"," ",Registro!F42," ","-"," ","Servicio de"," ",Registro!D42," ","-"," ",Registro!O42," ","-"," ",Registro!A42," ",Registro!Q42," ",Registro!R42),"")</f>
        <v/>
      </c>
      <c r="G40" s="2" t="str">
        <f>IF(Registro!H42&lt;&gt;"",Registro!H42,"")</f>
        <v/>
      </c>
      <c r="H40" s="2" t="str">
        <f>IF(Registro!I42&lt;&gt;"",Registro!I42,"")</f>
        <v/>
      </c>
      <c r="I40" s="2" t="str">
        <f>IF(Registro!J42&lt;&gt;"",Registro!J42,"")</f>
        <v/>
      </c>
      <c r="J40" s="2" t="str">
        <f>IF(Registro!K42&lt;&gt;"",Registro!K42,"")</f>
        <v/>
      </c>
      <c r="K40" s="2">
        <f>IF(Registro!M42&lt;&gt;"",Registro!M42,"")</f>
        <v>0</v>
      </c>
      <c r="L40" s="3" t="str">
        <f>IF(Registro!N48&lt;&gt;"",Registro!N48,"")</f>
        <v>DOLARES AMERICANOS CON 00/100 CENTAVOS</v>
      </c>
      <c r="M40" s="3" t="str">
        <f>IFERROR(VLOOKUP(E40,Tabla1[[#All],[Código del talento]:[Sec. Factura]],4,FALSE),"")</f>
        <v/>
      </c>
    </row>
    <row r="41" spans="1:13" ht="31.5" x14ac:dyDescent="0.25">
      <c r="A41" s="2" t="str">
        <f>IF(Registro!A43&lt;&gt;"",Registro!A43,"")</f>
        <v/>
      </c>
      <c r="B41" s="2" t="str">
        <f>IF(Registro!B43&lt;&gt;"",VLOOKUP(A41,Registro!$A$4:$R$53,2,FALSE),"")</f>
        <v>BEE713</v>
      </c>
      <c r="C41" s="2" t="str">
        <f>IF(Registro!D43&lt;&gt;"",Registro!D43,"")</f>
        <v>Marzo</v>
      </c>
      <c r="D41" s="2" t="str">
        <f>IF(Registro!E43&lt;&gt;"",Registro!E43,"")</f>
        <v/>
      </c>
      <c r="E41" s="2" t="str">
        <f>IF(Registro!F43&lt;&gt;"",Registro!G43,"")</f>
        <v/>
      </c>
      <c r="F41" s="4" t="str">
        <f>IF(Registro!F43&lt;&gt;"",CONCATENATE("Servicio de consultoría BEE Consultoría &amp; Negocios"," ",","," ","Contrato"," ",Registro!C43," ","-"," ",Registro!F43," ","-"," ","Servicio de"," ",Registro!D43," ","-"," ",Registro!O43," ","-"," ",Registro!A43," ",Registro!Q43," ",Registro!R43),"")</f>
        <v/>
      </c>
      <c r="G41" s="2" t="str">
        <f>IF(Registro!H43&lt;&gt;"",Registro!H43,"")</f>
        <v/>
      </c>
      <c r="H41" s="2" t="str">
        <f>IF(Registro!I43&lt;&gt;"",Registro!I43,"")</f>
        <v/>
      </c>
      <c r="I41" s="2" t="str">
        <f>IF(Registro!J43&lt;&gt;"",Registro!J43,"")</f>
        <v/>
      </c>
      <c r="J41" s="2" t="str">
        <f>IF(Registro!K43&lt;&gt;"",Registro!K43,"")</f>
        <v/>
      </c>
      <c r="K41" s="2">
        <f>IF(Registro!M43&lt;&gt;"",Registro!M43,"")</f>
        <v>0</v>
      </c>
      <c r="L41" s="3" t="str">
        <f>IF(Registro!N49&lt;&gt;"",Registro!N49,"")</f>
        <v>DOLARES AMERICANOS CON 00/100 CENTAVOS</v>
      </c>
      <c r="M41" s="3" t="str">
        <f>IFERROR(VLOOKUP(E41,Tabla1[[#All],[Código del talento]:[Sec. Factura]],4,FALSE),"")</f>
        <v/>
      </c>
    </row>
    <row r="42" spans="1:13" ht="31.5" x14ac:dyDescent="0.25">
      <c r="A42" s="2" t="str">
        <f>IF(Registro!A44&lt;&gt;"",Registro!A44,"")</f>
        <v/>
      </c>
      <c r="B42" s="2" t="str">
        <f>IF(Registro!B44&lt;&gt;"",VLOOKUP(A42,Registro!$A$4:$R$53,2,FALSE),"")</f>
        <v>BEE713</v>
      </c>
      <c r="C42" s="2" t="str">
        <f>IF(Registro!D44&lt;&gt;"",Registro!D44,"")</f>
        <v>Marzo</v>
      </c>
      <c r="D42" s="2" t="str">
        <f>IF(Registro!E44&lt;&gt;"",Registro!E44,"")</f>
        <v/>
      </c>
      <c r="E42" s="2" t="str">
        <f>IF(Registro!F44&lt;&gt;"",Registro!G44,"")</f>
        <v/>
      </c>
      <c r="F42" s="4" t="str">
        <f>IF(Registro!F44&lt;&gt;"",CONCATENATE("Servicio de consultoría BEE Consultoría &amp; Negocios"," ",","," ","Contrato"," ",Registro!C44," ","-"," ",Registro!F44," ","-"," ","Servicio de"," ",Registro!D44," ","-"," ",Registro!O44," ","-"," ",Registro!A44," ",Registro!Q44," ",Registro!R44),"")</f>
        <v/>
      </c>
      <c r="G42" s="2" t="str">
        <f>IF(Registro!H44&lt;&gt;"",Registro!H44,"")</f>
        <v/>
      </c>
      <c r="H42" s="2" t="str">
        <f>IF(Registro!I44&lt;&gt;"",Registro!I44,"")</f>
        <v/>
      </c>
      <c r="I42" s="2" t="str">
        <f>IF(Registro!J44&lt;&gt;"",Registro!J44,"")</f>
        <v/>
      </c>
      <c r="J42" s="2" t="str">
        <f>IF(Registro!K44&lt;&gt;"",Registro!K44,"")</f>
        <v/>
      </c>
      <c r="K42" s="2">
        <f>IF(Registro!M44&lt;&gt;"",Registro!M44,"")</f>
        <v>0</v>
      </c>
      <c r="L42" s="3" t="str">
        <f>IF(Registro!N50&lt;&gt;"",Registro!N50,"")</f>
        <v>DOLARES AMERICANOS CON 00/100 CENTAVOS</v>
      </c>
      <c r="M42" s="3" t="str">
        <f>IFERROR(VLOOKUP(E42,Tabla1[[#All],[Código del talento]:[Sec. Factura]],4,FALSE),"")</f>
        <v/>
      </c>
    </row>
    <row r="43" spans="1:13" ht="31.5" x14ac:dyDescent="0.25">
      <c r="A43" s="2" t="str">
        <f>IF(Registro!A45&lt;&gt;"",Registro!A45,"")</f>
        <v/>
      </c>
      <c r="B43" s="2" t="str">
        <f>IF(Registro!B45&lt;&gt;"",VLOOKUP(A43,Registro!$A$4:$R$53,2,FALSE),"")</f>
        <v>BEE713</v>
      </c>
      <c r="C43" s="2" t="str">
        <f>IF(Registro!D45&lt;&gt;"",Registro!D45,"")</f>
        <v>Marzo</v>
      </c>
      <c r="D43" s="2" t="str">
        <f>IF(Registro!E45&lt;&gt;"",Registro!E45,"")</f>
        <v/>
      </c>
      <c r="E43" s="2" t="str">
        <f>IF(Registro!F45&lt;&gt;"",Registro!G45,"")</f>
        <v/>
      </c>
      <c r="F43" s="4" t="str">
        <f>IF(Registro!F45&lt;&gt;"",CONCATENATE("Servicio de consultoría BEE Consultoría &amp; Negocios"," ",","," ","Contrato"," ",Registro!C45," ","-"," ",Registro!F45," ","-"," ","Servicio de"," ",Registro!D45," ","-"," ",Registro!O45," ","-"," ",Registro!A45," ",Registro!Q45," ",Registro!R45),"")</f>
        <v/>
      </c>
      <c r="G43" s="2" t="str">
        <f>IF(Registro!H45&lt;&gt;"",Registro!H45,"")</f>
        <v/>
      </c>
      <c r="H43" s="2" t="str">
        <f>IF(Registro!I45&lt;&gt;"",Registro!I45,"")</f>
        <v/>
      </c>
      <c r="I43" s="2" t="str">
        <f>IF(Registro!J45&lt;&gt;"",Registro!J45,"")</f>
        <v/>
      </c>
      <c r="J43" s="2" t="str">
        <f>IF(Registro!K45&lt;&gt;"",Registro!K45,"")</f>
        <v/>
      </c>
      <c r="K43" s="2">
        <f>IF(Registro!M45&lt;&gt;"",Registro!M45,"")</f>
        <v>0</v>
      </c>
      <c r="L43" s="3" t="str">
        <f>IF(Registro!N51&lt;&gt;"",Registro!N51,"")</f>
        <v>DOLARES AMERICANOS CON 00/100 CENTAVOS</v>
      </c>
      <c r="M43" s="3" t="str">
        <f>IFERROR(VLOOKUP(E43,Tabla1[[#All],[Código del talento]:[Sec. Factura]],4,FALSE),"")</f>
        <v/>
      </c>
    </row>
    <row r="44" spans="1:13" ht="31.5" x14ac:dyDescent="0.25">
      <c r="A44" s="2" t="str">
        <f>IF(Registro!A46&lt;&gt;"",Registro!A46,"")</f>
        <v/>
      </c>
      <c r="B44" s="2" t="str">
        <f>IF(Registro!B46&lt;&gt;"",VLOOKUP(A44,Registro!$A$4:$R$53,2,FALSE),"")</f>
        <v>BEE713</v>
      </c>
      <c r="C44" s="2" t="str">
        <f>IF(Registro!D46&lt;&gt;"",Registro!D46,"")</f>
        <v>Marzo</v>
      </c>
      <c r="D44" s="2" t="str">
        <f>IF(Registro!E46&lt;&gt;"",Registro!E46,"")</f>
        <v/>
      </c>
      <c r="E44" s="2" t="str">
        <f>IF(Registro!F46&lt;&gt;"",Registro!G46,"")</f>
        <v/>
      </c>
      <c r="F44" s="4" t="str">
        <f>IF(Registro!F46&lt;&gt;"",CONCATENATE("Servicio de consultoría BEE Consultoría &amp; Negocios"," ",","," ","Contrato"," ",Registro!C46," ","-"," ",Registro!F46," ","-"," ","Servicio de"," ",Registro!D46," ","-"," ",Registro!O46," ","-"," ",Registro!A46," ",Registro!Q46," ",Registro!R46),"")</f>
        <v/>
      </c>
      <c r="G44" s="2" t="str">
        <f>IF(Registro!H46&lt;&gt;"",Registro!H46,"")</f>
        <v/>
      </c>
      <c r="H44" s="2" t="str">
        <f>IF(Registro!I46&lt;&gt;"",Registro!I46,"")</f>
        <v/>
      </c>
      <c r="I44" s="2" t="str">
        <f>IF(Registro!J46&lt;&gt;"",Registro!J46,"")</f>
        <v/>
      </c>
      <c r="J44" s="2" t="str">
        <f>IF(Registro!K46&lt;&gt;"",Registro!K46,"")</f>
        <v/>
      </c>
      <c r="K44" s="2">
        <f>IF(Registro!M46&lt;&gt;"",Registro!M46,"")</f>
        <v>0</v>
      </c>
      <c r="L44" s="3" t="str">
        <f>IF(Registro!N52&lt;&gt;"",Registro!N52,"")</f>
        <v>DOLARES AMERICANOS CON 00/100 CENTAVOS</v>
      </c>
      <c r="M44" s="3" t="str">
        <f>IFERROR(VLOOKUP(E44,Tabla1[[#All],[Código del talento]:[Sec. Factura]],4,FALSE),"")</f>
        <v/>
      </c>
    </row>
    <row r="45" spans="1:13" ht="31.5" x14ac:dyDescent="0.25">
      <c r="A45" s="2" t="str">
        <f>IF(Registro!A47&lt;&gt;"",Registro!A47,"")</f>
        <v/>
      </c>
      <c r="B45" s="2" t="str">
        <f>IF(Registro!B47&lt;&gt;"",VLOOKUP(A45,Registro!$A$4:$R$53,2,FALSE),"")</f>
        <v>BEE713</v>
      </c>
      <c r="C45" s="2" t="str">
        <f>IF(Registro!D47&lt;&gt;"",Registro!D47,"")</f>
        <v>Marzo</v>
      </c>
      <c r="D45" s="2" t="str">
        <f>IF(Registro!E47&lt;&gt;"",Registro!E47,"")</f>
        <v/>
      </c>
      <c r="E45" s="2" t="str">
        <f>IF(Registro!F47&lt;&gt;"",Registro!G47,"")</f>
        <v/>
      </c>
      <c r="F45" s="4" t="str">
        <f>IF(Registro!F47&lt;&gt;"",CONCATENATE("Servicio de consultoría BEE Consultoría &amp; Negocios"," ",","," ","Contrato"," ",Registro!C47," ","-"," ",Registro!F47," ","-"," ","Servicio de"," ",Registro!D47," ","-"," ",Registro!O47," ","-"," ",Registro!A47," ",Registro!Q47," ",Registro!R47),"")</f>
        <v/>
      </c>
      <c r="G45" s="2" t="str">
        <f>IF(Registro!H47&lt;&gt;"",Registro!H47,"")</f>
        <v/>
      </c>
      <c r="H45" s="2" t="str">
        <f>IF(Registro!I47&lt;&gt;"",Registro!I47,"")</f>
        <v/>
      </c>
      <c r="I45" s="2" t="str">
        <f>IF(Registro!J47&lt;&gt;"",Registro!J47,"")</f>
        <v/>
      </c>
      <c r="J45" s="2" t="str">
        <f>IF(Registro!K47&lt;&gt;"",Registro!K47,"")</f>
        <v/>
      </c>
      <c r="K45" s="2">
        <f>IF(Registro!M47&lt;&gt;"",Registro!M47,"")</f>
        <v>0</v>
      </c>
      <c r="L45" s="3" t="str">
        <f>IF(Registro!N53&lt;&gt;"",Registro!N53,"")</f>
        <v>DOLARES AMERICANOS CON 00/100 CENTAVOS</v>
      </c>
      <c r="M45" s="3" t="str">
        <f>IFERROR(VLOOKUP(E45,Tabla1[[#All],[Código del talento]:[Sec. Factura]],4,FALSE),"")</f>
        <v/>
      </c>
    </row>
    <row r="46" spans="1:13" x14ac:dyDescent="0.25">
      <c r="A46" s="2" t="str">
        <f>IF(Registro!A48&lt;&gt;"",Registro!A48,"")</f>
        <v/>
      </c>
      <c r="B46" s="2" t="str">
        <f>IF(Registro!B48&lt;&gt;"",VLOOKUP(A46,Registro!$A$4:$R$53,2,FALSE),"")</f>
        <v>BEE713</v>
      </c>
      <c r="C46" s="2" t="str">
        <f>IF(Registro!D48&lt;&gt;"",Registro!D48,"")</f>
        <v>Marzo</v>
      </c>
      <c r="D46" s="2" t="str">
        <f>IF(Registro!E48&lt;&gt;"",Registro!E48,"")</f>
        <v/>
      </c>
      <c r="E46" s="2" t="str">
        <f>IF(Registro!F48&lt;&gt;"",Registro!G48,"")</f>
        <v/>
      </c>
      <c r="F46" s="4" t="str">
        <f>IF(Registro!F48&lt;&gt;"",CONCATENATE("Servicio de consultoría BEE Consultoría &amp; Negocios"," ",","," ","Contrato"," ",Registro!C48," ","-"," ",Registro!F48," ","-"," ","Servicio de"," ",Registro!D48," ","-"," ",Registro!O48," ","-"," ",Registro!A48," ",Registro!Q48," ",Registro!R48),"")</f>
        <v/>
      </c>
      <c r="G46" s="2" t="str">
        <f>IF(Registro!H48&lt;&gt;"",Registro!H48,"")</f>
        <v/>
      </c>
      <c r="H46" s="2" t="str">
        <f>IF(Registro!I48&lt;&gt;"",Registro!I48,"")</f>
        <v/>
      </c>
      <c r="I46" s="2" t="str">
        <f>IF(Registro!J48&lt;&gt;"",Registro!J48,"")</f>
        <v/>
      </c>
      <c r="J46" s="2" t="str">
        <f>IF(Registro!K48&lt;&gt;"",Registro!K48,"")</f>
        <v/>
      </c>
      <c r="K46" s="2">
        <f>IF(Registro!M48&lt;&gt;"",Registro!M48,"")</f>
        <v>0</v>
      </c>
      <c r="L46" s="3" t="str">
        <f>IF(Registro!N54&lt;&gt;"",Registro!N54,"")</f>
        <v/>
      </c>
      <c r="M46" s="3" t="str">
        <f>IFERROR(VLOOKUP(E46,Tabla1[[#All],[Código del talento]:[Sec. Factura]],4,FALSE),"")</f>
        <v/>
      </c>
    </row>
    <row r="47" spans="1:13" x14ac:dyDescent="0.25">
      <c r="A47" s="2" t="str">
        <f>IF(Registro!A49&lt;&gt;"",Registro!A49,"")</f>
        <v/>
      </c>
      <c r="B47" s="2" t="str">
        <f>IF(Registro!B49&lt;&gt;"",VLOOKUP(A47,Registro!$A$4:$R$53,2,FALSE),"")</f>
        <v>BEE713</v>
      </c>
      <c r="C47" s="2" t="str">
        <f>IF(Registro!D49&lt;&gt;"",Registro!D49,"")</f>
        <v>Marzo</v>
      </c>
      <c r="D47" s="2" t="str">
        <f>IF(Registro!E49&lt;&gt;"",Registro!E49,"")</f>
        <v/>
      </c>
      <c r="E47" s="2" t="str">
        <f>IF(Registro!F49&lt;&gt;"",Registro!G49,"")</f>
        <v/>
      </c>
      <c r="F47" s="4" t="str">
        <f>IF(Registro!F49&lt;&gt;"",CONCATENATE("Servicio de consultoría BEE Consultoría &amp; Negocios"," ",","," ","Contrato"," ",Registro!C49," ","-"," ",Registro!F49," ","-"," ","Servicio de"," ",Registro!D49," ","-"," ",Registro!O49," ","-"," ",Registro!A49," ",Registro!Q49," ",Registro!R49),"")</f>
        <v/>
      </c>
      <c r="G47" s="2" t="str">
        <f>IF(Registro!H49&lt;&gt;"",Registro!H49,"")</f>
        <v/>
      </c>
      <c r="H47" s="2" t="str">
        <f>IF(Registro!I49&lt;&gt;"",Registro!I49,"")</f>
        <v/>
      </c>
      <c r="I47" s="2" t="str">
        <f>IF(Registro!J49&lt;&gt;"",Registro!J49,"")</f>
        <v/>
      </c>
      <c r="J47" s="2" t="str">
        <f>IF(Registro!K49&lt;&gt;"",Registro!K49,"")</f>
        <v/>
      </c>
      <c r="K47" s="2">
        <f>IF(Registro!M49&lt;&gt;"",Registro!M49,"")</f>
        <v>0</v>
      </c>
      <c r="L47" s="3" t="str">
        <f>IF(Registro!N55&lt;&gt;"",Registro!N55,"")</f>
        <v/>
      </c>
      <c r="M47" s="3" t="str">
        <f>IFERROR(VLOOKUP(E47,Tabla1[[#All],[Código del talento]:[Sec. Factura]],4,FALSE),"")</f>
        <v/>
      </c>
    </row>
    <row r="48" spans="1:13" x14ac:dyDescent="0.25">
      <c r="A48" s="2" t="str">
        <f>IF(Registro!A50&lt;&gt;"",Registro!A50,"")</f>
        <v/>
      </c>
      <c r="B48" s="2" t="str">
        <f>IF(Registro!B50&lt;&gt;"",VLOOKUP(A48,Registro!$A$4:$R$53,2,FALSE),"")</f>
        <v>BEE713</v>
      </c>
      <c r="C48" s="2" t="str">
        <f>IF(Registro!D50&lt;&gt;"",Registro!D50,"")</f>
        <v>Marzo</v>
      </c>
      <c r="D48" s="2" t="str">
        <f>IF(Registro!E50&lt;&gt;"",Registro!E50,"")</f>
        <v/>
      </c>
      <c r="E48" s="2" t="str">
        <f>IF(Registro!F50&lt;&gt;"",Registro!G50,"")</f>
        <v/>
      </c>
      <c r="F48" s="4" t="str">
        <f>IF(Registro!F50&lt;&gt;"",CONCATENATE("Servicio de consultoría BEE Consultoría &amp; Negocios"," ",","," ","Contrato"," ",Registro!C50," ","-"," ",Registro!F50," ","-"," ","Servicio de"," ",Registro!D50," ","-"," ",Registro!O50," ","-"," ",Registro!A50," ",Registro!Q50," ",Registro!R50),"")</f>
        <v/>
      </c>
      <c r="G48" s="2" t="str">
        <f>IF(Registro!H50&lt;&gt;"",Registro!H50,"")</f>
        <v/>
      </c>
      <c r="H48" s="2" t="str">
        <f>IF(Registro!I50&lt;&gt;"",Registro!I50,"")</f>
        <v/>
      </c>
      <c r="I48" s="2" t="str">
        <f>IF(Registro!J50&lt;&gt;"",Registro!J50,"")</f>
        <v/>
      </c>
      <c r="J48" s="2" t="str">
        <f>IF(Registro!K50&lt;&gt;"",Registro!K50,"")</f>
        <v/>
      </c>
      <c r="K48" s="2">
        <f>IF(Registro!M50&lt;&gt;"",Registro!M50,"")</f>
        <v>0</v>
      </c>
      <c r="L48" s="3" t="str">
        <f>IF(Registro!N56&lt;&gt;"",Registro!N56,"")</f>
        <v/>
      </c>
      <c r="M48" s="3" t="str">
        <f>IFERROR(VLOOKUP(E48,Tabla1[[#All],[Código del talento]:[Sec. Factura]],4,FALSE),"")</f>
        <v/>
      </c>
    </row>
    <row r="49" spans="1:13" x14ac:dyDescent="0.25">
      <c r="A49" s="2" t="str">
        <f>IF(Registro!A51&lt;&gt;"",Registro!A51,"")</f>
        <v/>
      </c>
      <c r="B49" s="2" t="str">
        <f>IF(Registro!B51&lt;&gt;"",VLOOKUP(A49,Registro!$A$4:$R$53,2,FALSE),"")</f>
        <v>BEE713</v>
      </c>
      <c r="C49" s="2" t="str">
        <f>IF(Registro!D51&lt;&gt;"",Registro!D51,"")</f>
        <v>Marzo</v>
      </c>
      <c r="D49" s="2" t="str">
        <f>IF(Registro!E51&lt;&gt;"",Registro!E51,"")</f>
        <v/>
      </c>
      <c r="E49" s="2" t="str">
        <f>IF(Registro!F51&lt;&gt;"",Registro!G51,"")</f>
        <v/>
      </c>
      <c r="F49" s="4" t="str">
        <f>IF(Registro!F51&lt;&gt;"",CONCATENATE("Servicio de consultoría BEE Consultoría &amp; Negocios"," ",","," ","Contrato"," ",Registro!C51," ","-"," ",Registro!F51," ","-"," ","Servicio de"," ",Registro!D51," ","-"," ",Registro!O51," ","-"," ",Registro!A51," ",Registro!Q51," ",Registro!R51),"")</f>
        <v/>
      </c>
      <c r="G49" s="2" t="str">
        <f>IF(Registro!H51&lt;&gt;"",Registro!H51,"")</f>
        <v/>
      </c>
      <c r="H49" s="2" t="str">
        <f>IF(Registro!I51&lt;&gt;"",Registro!I51,"")</f>
        <v/>
      </c>
      <c r="I49" s="2" t="str">
        <f>IF(Registro!J51&lt;&gt;"",Registro!J51,"")</f>
        <v/>
      </c>
      <c r="J49" s="2" t="str">
        <f>IF(Registro!K51&lt;&gt;"",Registro!K51,"")</f>
        <v/>
      </c>
      <c r="K49" s="2">
        <f>IF(Registro!M51&lt;&gt;"",Registro!M51,"")</f>
        <v>0</v>
      </c>
      <c r="L49" s="3" t="str">
        <f>IF(Registro!N57&lt;&gt;"",Registro!N57,"")</f>
        <v/>
      </c>
      <c r="M49" s="3" t="str">
        <f>IFERROR(VLOOKUP(E49,Tabla1[[#All],[Código del talento]:[Sec. Factura]],4,FALSE),"")</f>
        <v/>
      </c>
    </row>
    <row r="50" spans="1:13" x14ac:dyDescent="0.25">
      <c r="A50" s="2" t="str">
        <f>IF(Registro!A52&lt;&gt;"",Registro!A52,"")</f>
        <v/>
      </c>
      <c r="B50" s="2" t="str">
        <f>IF(Registro!B52&lt;&gt;"",VLOOKUP(A50,Registro!$A$4:$R$53,2,FALSE),"")</f>
        <v>BEE713</v>
      </c>
      <c r="C50" s="2" t="str">
        <f>IF(Registro!D52&lt;&gt;"",Registro!D52,"")</f>
        <v>Marzo</v>
      </c>
      <c r="D50" s="2" t="str">
        <f>IF(Registro!E52&lt;&gt;"",Registro!E52,"")</f>
        <v/>
      </c>
      <c r="E50" s="2" t="str">
        <f>IF(Registro!F52&lt;&gt;"",Registro!G52,"")</f>
        <v/>
      </c>
      <c r="F50" s="4" t="str">
        <f>IF(Registro!F52&lt;&gt;"",CONCATENATE("Servicio de consultoría BEE Consultoría &amp; Negocios"," ",","," ","Contrato"," ",Registro!C52," ","-"," ",Registro!F52," ","-"," ","Servicio de"," ",Registro!D52," ","-"," ",Registro!O52," ","-"," ",Registro!A52," ",Registro!Q52," ",Registro!R52),"")</f>
        <v/>
      </c>
      <c r="G50" s="2" t="str">
        <f>IF(Registro!H52&lt;&gt;"",Registro!H52,"")</f>
        <v/>
      </c>
      <c r="H50" s="2" t="str">
        <f>IF(Registro!I52&lt;&gt;"",Registro!I52,"")</f>
        <v/>
      </c>
      <c r="I50" s="2" t="str">
        <f>IF(Registro!J52&lt;&gt;"",Registro!J52,"")</f>
        <v/>
      </c>
      <c r="J50" s="2" t="str">
        <f>IF(Registro!K52&lt;&gt;"",Registro!K52,"")</f>
        <v/>
      </c>
      <c r="K50" s="2">
        <f>IF(Registro!M52&lt;&gt;"",Registro!M52,"")</f>
        <v>0</v>
      </c>
      <c r="L50" s="3" t="str">
        <f>IF(Registro!N58&lt;&gt;"",Registro!N58,"")</f>
        <v/>
      </c>
      <c r="M50" s="3" t="str">
        <f>IFERROR(VLOOKUP(E50,Tabla1[[#All],[Código del talento]:[Sec. Factura]],4,FALSE),"")</f>
        <v/>
      </c>
    </row>
    <row r="51" spans="1:13" x14ac:dyDescent="0.25">
      <c r="A51" s="2" t="str">
        <f>IF(Registro!A53&lt;&gt;"",Registro!A53,"")</f>
        <v/>
      </c>
      <c r="B51" s="2" t="str">
        <f>IF(Registro!B53&lt;&gt;"",VLOOKUP(A51,Registro!$A$4:$R$53,2,FALSE),"")</f>
        <v>BEE713</v>
      </c>
      <c r="C51" s="2" t="str">
        <f>IF(Registro!D53&lt;&gt;"",Registro!D53,"")</f>
        <v>Marzo</v>
      </c>
      <c r="D51" s="2" t="str">
        <f>IF(Registro!E53&lt;&gt;"",Registro!E53,"")</f>
        <v/>
      </c>
      <c r="E51" s="2" t="str">
        <f>IF(Registro!F53&lt;&gt;"",Registro!G53,"")</f>
        <v/>
      </c>
      <c r="F51" s="4" t="str">
        <f>IF(Registro!F53&lt;&gt;"",CONCATENATE("Servicio de consultoría BEE Consultoría &amp; Negocios"," ",","," ","Contrato"," ",Registro!C53," ","-"," ",Registro!F53," ","-"," ","Servicio de"," ",Registro!D53," ","-"," ",Registro!O53," ","-"," ",Registro!A53," ",Registro!Q53," ",Registro!R53),"")</f>
        <v/>
      </c>
      <c r="G51" s="2" t="str">
        <f>IF(Registro!H53&lt;&gt;"",Registro!H53,"")</f>
        <v/>
      </c>
      <c r="H51" s="2" t="str">
        <f>IF(Registro!I53&lt;&gt;"",Registro!I53,"")</f>
        <v/>
      </c>
      <c r="I51" s="2" t="str">
        <f>IF(Registro!J53&lt;&gt;"",Registro!J53,"")</f>
        <v/>
      </c>
      <c r="J51" s="2" t="str">
        <f>IF(Registro!K53&lt;&gt;"",Registro!K53,"")</f>
        <v/>
      </c>
      <c r="K51" s="2">
        <f>IF(Registro!M53&lt;&gt;"",Registro!M53,"")</f>
        <v>0</v>
      </c>
      <c r="L51" s="3" t="str">
        <f>IF(Registro!N59&lt;&gt;"",Registro!N59,"")</f>
        <v/>
      </c>
      <c r="M51" s="3" t="str">
        <f>IFERROR(VLOOKUP(E51,Tabla1[[#All],[Código del talento]:[Sec. Factura]],4,FALSE),"")</f>
        <v/>
      </c>
    </row>
  </sheetData>
  <sortState xmlns:xlrd2="http://schemas.microsoft.com/office/spreadsheetml/2017/richdata2" ref="A2:M51">
    <sortCondition descending="1" ref="A2:A5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AE5F7-088B-42E4-988D-05FB3DE7E967}">
  <sheetPr codeName="Hoja3"/>
  <dimension ref="A1:I500"/>
  <sheetViews>
    <sheetView workbookViewId="0">
      <selection activeCell="E5" sqref="E5"/>
    </sheetView>
  </sheetViews>
  <sheetFormatPr baseColWidth="10" defaultRowHeight="15" x14ac:dyDescent="0.25"/>
  <cols>
    <col min="1" max="1" width="34.85546875" bestFit="1" customWidth="1"/>
    <col min="2" max="2" width="11" customWidth="1"/>
    <col min="3" max="3" width="21" bestFit="1" customWidth="1"/>
    <col min="4" max="4" width="19.28515625" customWidth="1"/>
    <col min="5" max="5" width="24.7109375" bestFit="1" customWidth="1"/>
    <col min="6" max="6" width="17.28515625" customWidth="1"/>
    <col min="9" max="9" width="16.28515625" bestFit="1" customWidth="1"/>
  </cols>
  <sheetData>
    <row r="1" spans="1:9" x14ac:dyDescent="0.25">
      <c r="A1" s="19" t="s">
        <v>16</v>
      </c>
      <c r="B1" s="19" t="s">
        <v>30</v>
      </c>
      <c r="C1" s="19" t="s">
        <v>25</v>
      </c>
      <c r="D1" s="20" t="s">
        <v>21</v>
      </c>
      <c r="E1" s="20" t="s">
        <v>26</v>
      </c>
      <c r="F1" s="20" t="s">
        <v>27</v>
      </c>
      <c r="H1" s="8" t="s">
        <v>18</v>
      </c>
      <c r="I1" s="8" t="s">
        <v>19</v>
      </c>
    </row>
    <row r="2" spans="1:9" x14ac:dyDescent="0.25">
      <c r="A2" s="22"/>
      <c r="B2" s="29"/>
      <c r="C2" s="9"/>
      <c r="D2" s="11"/>
      <c r="E2" s="21"/>
      <c r="F2" s="30" t="str">
        <f>IFERROR(VLOOKUP(Tabla1[[#This Row],[N° pedido compra]],InfoFactura!$A$1:$M$51,2,FALSE),"")</f>
        <v/>
      </c>
      <c r="H2" s="11" t="s">
        <v>23</v>
      </c>
      <c r="I2" s="11" t="s">
        <v>20</v>
      </c>
    </row>
    <row r="3" spans="1:9" x14ac:dyDescent="0.25">
      <c r="A3" s="23"/>
      <c r="B3" s="29"/>
      <c r="C3" s="15"/>
      <c r="D3" s="11"/>
      <c r="E3" s="11"/>
      <c r="F3" s="30" t="str">
        <f>IFERROR(VLOOKUP(Tabla1[[#This Row],[N° pedido compra]],InfoFactura!$A$1:$M$51,2,FALSE),"")</f>
        <v/>
      </c>
      <c r="H3" s="11" t="s">
        <v>24</v>
      </c>
      <c r="I3" s="14" t="str" cm="1">
        <f t="array" ref="I3">CONCATENATE("BEE",MAX(IF(ISNUMBER(VALUE(MID(InfoFactura!$B$2:$B$51,4,3))),VALUE(MID(InfoFactura!$B$2:$B$51,4,3)))))</f>
        <v>BEE713</v>
      </c>
    </row>
    <row r="4" spans="1:9" x14ac:dyDescent="0.25">
      <c r="A4" s="24"/>
      <c r="B4" s="29"/>
      <c r="C4" s="15"/>
      <c r="D4" s="11"/>
      <c r="E4" s="11"/>
      <c r="F4" s="30" t="str">
        <f>IFERROR(VLOOKUP(Tabla1[[#This Row],[N° pedido compra]],InfoFactura!$A$1:$M$51,2,FALSE),"")</f>
        <v/>
      </c>
    </row>
    <row r="5" spans="1:9" x14ac:dyDescent="0.25">
      <c r="A5" s="24"/>
      <c r="B5" s="29"/>
      <c r="C5" s="15"/>
      <c r="D5" s="11"/>
      <c r="E5" s="11"/>
      <c r="F5" s="30" t="str">
        <f>IFERROR(VLOOKUP(Tabla1[[#This Row],[N° pedido compra]],InfoFactura!$A$1:$M$51,2,FALSE),"")</f>
        <v/>
      </c>
    </row>
    <row r="6" spans="1:9" x14ac:dyDescent="0.25">
      <c r="A6" s="24"/>
      <c r="B6" s="29"/>
      <c r="C6" s="15"/>
      <c r="D6" s="11"/>
      <c r="E6" s="11"/>
      <c r="F6" s="30" t="str">
        <f>IFERROR(VLOOKUP(Tabla1[[#This Row],[N° pedido compra]],InfoFactura!$A$1:$M$51,2,FALSE),"")</f>
        <v/>
      </c>
    </row>
    <row r="7" spans="1:9" x14ac:dyDescent="0.25">
      <c r="A7" s="24"/>
      <c r="B7" s="29"/>
      <c r="C7" s="15"/>
      <c r="D7" s="11"/>
      <c r="E7" s="11"/>
      <c r="F7" s="30" t="str">
        <f>IFERROR(VLOOKUP(Tabla1[[#This Row],[N° pedido compra]],InfoFactura!$A$1:$M$51,2,FALSE),"")</f>
        <v/>
      </c>
    </row>
    <row r="8" spans="1:9" x14ac:dyDescent="0.25">
      <c r="A8" s="24"/>
      <c r="B8" s="29"/>
      <c r="C8" s="15"/>
      <c r="D8" s="11"/>
      <c r="E8" s="11"/>
      <c r="F8" s="30" t="str">
        <f>IFERROR(VLOOKUP(Tabla1[[#This Row],[N° pedido compra]],InfoFactura!$A$1:$M$51,2,FALSE),"")</f>
        <v/>
      </c>
    </row>
    <row r="9" spans="1:9" x14ac:dyDescent="0.25">
      <c r="A9" s="24"/>
      <c r="B9" s="29"/>
      <c r="C9" s="15"/>
      <c r="D9" s="11"/>
      <c r="E9" s="11"/>
      <c r="F9" s="30" t="str">
        <f>IFERROR(VLOOKUP(Tabla1[[#This Row],[N° pedido compra]],InfoFactura!$A$1:$M$51,2,FALSE),"")</f>
        <v/>
      </c>
    </row>
    <row r="10" spans="1:9" x14ac:dyDescent="0.25">
      <c r="A10" s="24"/>
      <c r="B10" s="29"/>
      <c r="C10" s="15"/>
      <c r="D10" s="11"/>
      <c r="E10" s="11"/>
      <c r="F10" s="30" t="str">
        <f>IFERROR(VLOOKUP(Tabla1[[#This Row],[N° pedido compra]],InfoFactura!$A$1:$M$51,2,FALSE),"")</f>
        <v/>
      </c>
    </row>
    <row r="11" spans="1:9" x14ac:dyDescent="0.25">
      <c r="A11" s="25"/>
      <c r="B11" s="29"/>
      <c r="C11" s="15"/>
      <c r="D11" s="11"/>
      <c r="E11" s="11"/>
      <c r="F11" s="30" t="str">
        <f>IFERROR(VLOOKUP(Tabla1[[#This Row],[N° pedido compra]],InfoFactura!$A$1:$M$51,2,FALSE),"")</f>
        <v/>
      </c>
    </row>
    <row r="12" spans="1:9" x14ac:dyDescent="0.25">
      <c r="A12" s="24"/>
      <c r="B12" s="29"/>
      <c r="C12" s="15"/>
      <c r="D12" s="11"/>
      <c r="E12" s="11"/>
      <c r="F12" s="30" t="str">
        <f>IFERROR(VLOOKUP(Tabla1[[#This Row],[N° pedido compra]],InfoFactura!$A$1:$M$51,2,FALSE),"")</f>
        <v/>
      </c>
    </row>
    <row r="13" spans="1:9" x14ac:dyDescent="0.25">
      <c r="A13" s="24"/>
      <c r="B13" s="29"/>
      <c r="C13" s="15"/>
      <c r="D13" s="11"/>
      <c r="E13" s="11"/>
      <c r="F13" s="30" t="str">
        <f>IFERROR(VLOOKUP(Tabla1[[#This Row],[N° pedido compra]],InfoFactura!$A$1:$M$51,2,FALSE),"")</f>
        <v/>
      </c>
    </row>
    <row r="14" spans="1:9" x14ac:dyDescent="0.25">
      <c r="A14" s="24"/>
      <c r="B14" s="29"/>
      <c r="C14" s="15"/>
      <c r="D14" s="11"/>
      <c r="E14" s="11"/>
      <c r="F14" s="30" t="str">
        <f>IFERROR(VLOOKUP(Tabla1[[#This Row],[N° pedido compra]],InfoFactura!$A$1:$M$51,2,FALSE),"")</f>
        <v/>
      </c>
    </row>
    <row r="15" spans="1:9" x14ac:dyDescent="0.25">
      <c r="A15" s="25"/>
      <c r="B15" s="29"/>
      <c r="C15" s="15"/>
      <c r="D15" s="11"/>
      <c r="E15" s="11"/>
      <c r="F15" s="30" t="str">
        <f>IFERROR(VLOOKUP(Tabla1[[#This Row],[N° pedido compra]],InfoFactura!$A$1:$M$51,2,FALSE),"")</f>
        <v/>
      </c>
    </row>
    <row r="16" spans="1:9" x14ac:dyDescent="0.25">
      <c r="A16" s="24"/>
      <c r="B16" s="29"/>
      <c r="C16" s="15"/>
      <c r="D16" s="11"/>
      <c r="E16" s="11"/>
      <c r="F16" s="30" t="str">
        <f>IFERROR(VLOOKUP(Tabla1[[#This Row],[N° pedido compra]],InfoFactura!$A$1:$M$51,2,FALSE),"")</f>
        <v/>
      </c>
    </row>
    <row r="17" spans="1:6" x14ac:dyDescent="0.25">
      <c r="A17" s="24"/>
      <c r="B17" s="29"/>
      <c r="C17" s="15"/>
      <c r="D17" s="11"/>
      <c r="E17" s="11"/>
      <c r="F17" s="30" t="str">
        <f>IFERROR(VLOOKUP(Tabla1[[#This Row],[N° pedido compra]],InfoFactura!$A$1:$M$51,2,FALSE),"")</f>
        <v/>
      </c>
    </row>
    <row r="18" spans="1:6" x14ac:dyDescent="0.25">
      <c r="A18" s="24"/>
      <c r="B18" s="29"/>
      <c r="C18" s="15"/>
      <c r="D18" s="11"/>
      <c r="E18" s="11"/>
      <c r="F18" s="30" t="str">
        <f>IFERROR(VLOOKUP(Tabla1[[#This Row],[N° pedido compra]],InfoFactura!$A$1:$M$51,2,FALSE),"")</f>
        <v/>
      </c>
    </row>
    <row r="19" spans="1:6" x14ac:dyDescent="0.25">
      <c r="A19" s="24"/>
      <c r="B19" s="29"/>
      <c r="C19" s="15"/>
      <c r="D19" s="11"/>
      <c r="E19" s="11"/>
      <c r="F19" s="30" t="str">
        <f>IFERROR(VLOOKUP(Tabla1[[#This Row],[N° pedido compra]],InfoFactura!$A$1:$M$51,2,FALSE),"")</f>
        <v/>
      </c>
    </row>
    <row r="20" spans="1:6" x14ac:dyDescent="0.25">
      <c r="A20" s="25"/>
      <c r="B20" s="29"/>
      <c r="C20" s="15"/>
      <c r="D20" s="11"/>
      <c r="E20" s="11"/>
      <c r="F20" s="30" t="str">
        <f>IFERROR(VLOOKUP(Tabla1[[#This Row],[N° pedido compra]],InfoFactura!$A$1:$M$51,2,FALSE),"")</f>
        <v/>
      </c>
    </row>
    <row r="21" spans="1:6" x14ac:dyDescent="0.25">
      <c r="A21" s="24"/>
      <c r="B21" s="29"/>
      <c r="C21" s="15"/>
      <c r="D21" s="11"/>
      <c r="E21" s="11"/>
      <c r="F21" s="30" t="str">
        <f>IFERROR(VLOOKUP(Tabla1[[#This Row],[N° pedido compra]],InfoFactura!$A$1:$M$51,2,FALSE),"")</f>
        <v/>
      </c>
    </row>
    <row r="22" spans="1:6" x14ac:dyDescent="0.25">
      <c r="A22" s="24"/>
      <c r="B22" s="29"/>
      <c r="C22" s="15"/>
      <c r="D22" s="11"/>
      <c r="E22" s="11"/>
      <c r="F22" s="30" t="str">
        <f>IFERROR(VLOOKUP(Tabla1[[#This Row],[N° pedido compra]],InfoFactura!$A$1:$M$51,2,FALSE),"")</f>
        <v/>
      </c>
    </row>
    <row r="23" spans="1:6" x14ac:dyDescent="0.25">
      <c r="A23" s="24"/>
      <c r="B23" s="29"/>
      <c r="C23" s="15"/>
      <c r="D23" s="11"/>
      <c r="E23" s="11"/>
      <c r="F23" s="30" t="str">
        <f>IFERROR(VLOOKUP(Tabla1[[#This Row],[N° pedido compra]],InfoFactura!$A$1:$M$51,2,FALSE),"")</f>
        <v/>
      </c>
    </row>
    <row r="24" spans="1:6" x14ac:dyDescent="0.25">
      <c r="A24" s="26"/>
      <c r="B24" s="29"/>
      <c r="C24" s="10"/>
      <c r="D24" s="11"/>
      <c r="E24" s="11"/>
      <c r="F24" s="30" t="str">
        <f>IFERROR(VLOOKUP(Tabla1[[#This Row],[N° pedido compra]],InfoFactura!$A$1:$M$51,2,FALSE),"")</f>
        <v/>
      </c>
    </row>
    <row r="25" spans="1:6" x14ac:dyDescent="0.25">
      <c r="A25" s="27"/>
      <c r="B25" s="29"/>
      <c r="C25" s="10"/>
      <c r="D25" s="11"/>
      <c r="E25" s="11"/>
      <c r="F25" s="30" t="str">
        <f>IFERROR(VLOOKUP(Tabla1[[#This Row],[N° pedido compra]],InfoFactura!$A$1:$M$51,2,FALSE),"")</f>
        <v/>
      </c>
    </row>
    <row r="26" spans="1:6" x14ac:dyDescent="0.25">
      <c r="A26" s="27"/>
      <c r="B26" s="29"/>
      <c r="C26" s="10"/>
      <c r="D26" s="11"/>
      <c r="E26" s="11"/>
      <c r="F26" s="30" t="str">
        <f>IFERROR(VLOOKUP(Tabla1[[#This Row],[N° pedido compra]],InfoFactura!$A$1:$M$51,2,FALSE),"")</f>
        <v/>
      </c>
    </row>
    <row r="27" spans="1:6" x14ac:dyDescent="0.25">
      <c r="A27" s="27"/>
      <c r="B27" s="29"/>
      <c r="C27" s="10"/>
      <c r="D27" s="11"/>
      <c r="E27" s="11"/>
      <c r="F27" s="30" t="str">
        <f>IFERROR(VLOOKUP(Tabla1[[#This Row],[N° pedido compra]],InfoFactura!$A$1:$M$51,2,FALSE),"")</f>
        <v/>
      </c>
    </row>
    <row r="28" spans="1:6" x14ac:dyDescent="0.25">
      <c r="A28" s="27"/>
      <c r="B28" s="29"/>
      <c r="C28" s="10"/>
      <c r="D28" s="11"/>
      <c r="E28" s="11"/>
      <c r="F28" s="30" t="str">
        <f>IFERROR(VLOOKUP(Tabla1[[#This Row],[N° pedido compra]],InfoFactura!$A$1:$M$51,2,FALSE),"")</f>
        <v/>
      </c>
    </row>
    <row r="29" spans="1:6" x14ac:dyDescent="0.25">
      <c r="A29" s="27"/>
      <c r="B29" s="29"/>
      <c r="C29" s="10"/>
      <c r="D29" s="11"/>
      <c r="E29" s="11"/>
      <c r="F29" s="30" t="str">
        <f>IFERROR(VLOOKUP(Tabla1[[#This Row],[N° pedido compra]],InfoFactura!$A$1:$M$51,2,FALSE),"")</f>
        <v/>
      </c>
    </row>
    <row r="30" spans="1:6" x14ac:dyDescent="0.25">
      <c r="A30" s="27"/>
      <c r="B30" s="29"/>
      <c r="C30" s="10"/>
      <c r="D30" s="11"/>
      <c r="E30" s="11"/>
      <c r="F30" s="30" t="str">
        <f>IFERROR(VLOOKUP(Tabla1[[#This Row],[N° pedido compra]],InfoFactura!$A$1:$M$51,2,FALSE),"")</f>
        <v/>
      </c>
    </row>
    <row r="31" spans="1:6" x14ac:dyDescent="0.25">
      <c r="A31" s="27"/>
      <c r="B31" s="29"/>
      <c r="C31" s="10"/>
      <c r="D31" s="11"/>
      <c r="E31" s="11"/>
      <c r="F31" s="30" t="str">
        <f>IFERROR(VLOOKUP(Tabla1[[#This Row],[N° pedido compra]],InfoFactura!$A$1:$M$51,2,FALSE),"")</f>
        <v/>
      </c>
    </row>
    <row r="32" spans="1:6" x14ac:dyDescent="0.25">
      <c r="A32" s="28"/>
      <c r="B32" s="29" t="s">
        <v>31</v>
      </c>
      <c r="C32" s="10"/>
      <c r="D32" s="11"/>
      <c r="E32" s="10"/>
      <c r="F32" s="31" t="str">
        <f>IFERROR(VLOOKUP(Tabla1[[#This Row],[N° pedido compra]],InfoFactura!$A$1:$M$51,2,FALSE),"")</f>
        <v/>
      </c>
    </row>
    <row r="33" spans="1:6" x14ac:dyDescent="0.25">
      <c r="A33" s="28"/>
      <c r="B33" s="29" t="s">
        <v>32</v>
      </c>
      <c r="C33" s="10"/>
      <c r="D33" s="10"/>
      <c r="E33" s="10"/>
      <c r="F33" s="31" t="str">
        <f>IFERROR(VLOOKUP(Tabla1[[#This Row],[N° pedido compra]],InfoFactura!$A$1:$M$51,2,FALSE),"")</f>
        <v/>
      </c>
    </row>
    <row r="34" spans="1:6" x14ac:dyDescent="0.25">
      <c r="A34" s="28"/>
      <c r="B34" s="29" t="s">
        <v>33</v>
      </c>
      <c r="C34" s="10"/>
      <c r="D34" s="10"/>
      <c r="E34" s="10"/>
      <c r="F34" s="31" t="str">
        <f>IFERROR(VLOOKUP(Tabla1[[#This Row],[N° pedido compra]],InfoFactura!$A$1:$M$51,2,FALSE),"")</f>
        <v/>
      </c>
    </row>
    <row r="35" spans="1:6" x14ac:dyDescent="0.25">
      <c r="A35" s="28"/>
      <c r="B35" s="29" t="s">
        <v>34</v>
      </c>
      <c r="C35" s="10"/>
      <c r="D35" s="10"/>
      <c r="E35" s="10"/>
      <c r="F35" s="31" t="str">
        <f>IFERROR(VLOOKUP(Tabla1[[#This Row],[N° pedido compra]],InfoFactura!$A$1:$M$51,2,FALSE),"")</f>
        <v/>
      </c>
    </row>
    <row r="36" spans="1:6" x14ac:dyDescent="0.25">
      <c r="A36" s="28"/>
      <c r="B36" s="29" t="s">
        <v>35</v>
      </c>
      <c r="C36" s="10"/>
      <c r="D36" s="10"/>
      <c r="E36" s="10"/>
      <c r="F36" s="31" t="str">
        <f>IFERROR(VLOOKUP(Tabla1[[#This Row],[N° pedido compra]],InfoFactura!$A$1:$M$51,2,FALSE),"")</f>
        <v/>
      </c>
    </row>
    <row r="37" spans="1:6" x14ac:dyDescent="0.25">
      <c r="A37" s="28"/>
      <c r="B37" s="29" t="s">
        <v>36</v>
      </c>
      <c r="C37" s="10"/>
      <c r="D37" s="10"/>
      <c r="E37" s="10"/>
      <c r="F37" s="31" t="str">
        <f>IFERROR(VLOOKUP(Tabla1[[#This Row],[N° pedido compra]],InfoFactura!$A$1:$M$51,2,FALSE),"")</f>
        <v/>
      </c>
    </row>
    <row r="38" spans="1:6" x14ac:dyDescent="0.25">
      <c r="A38" s="28"/>
      <c r="B38" s="29" t="s">
        <v>37</v>
      </c>
      <c r="C38" s="10"/>
      <c r="D38" s="10"/>
      <c r="E38" s="10"/>
      <c r="F38" s="31" t="str">
        <f>IFERROR(VLOOKUP(Tabla1[[#This Row],[N° pedido compra]],InfoFactura!$A$1:$M$51,2,FALSE),"")</f>
        <v/>
      </c>
    </row>
    <row r="39" spans="1:6" x14ac:dyDescent="0.25">
      <c r="A39" s="28"/>
      <c r="B39" s="29" t="s">
        <v>38</v>
      </c>
      <c r="C39" s="10"/>
      <c r="D39" s="10"/>
      <c r="E39" s="10"/>
      <c r="F39" s="31" t="str">
        <f>IFERROR(VLOOKUP(Tabla1[[#This Row],[N° pedido compra]],InfoFactura!$A$1:$M$51,2,FALSE),"")</f>
        <v/>
      </c>
    </row>
    <row r="40" spans="1:6" x14ac:dyDescent="0.25">
      <c r="A40" s="28"/>
      <c r="B40" s="29" t="s">
        <v>39</v>
      </c>
      <c r="C40" s="10"/>
      <c r="D40" s="10"/>
      <c r="E40" s="10"/>
      <c r="F40" s="31" t="str">
        <f>IFERROR(VLOOKUP(Tabla1[[#This Row],[N° pedido compra]],InfoFactura!$A$1:$M$51,2,FALSE),"")</f>
        <v/>
      </c>
    </row>
    <row r="41" spans="1:6" x14ac:dyDescent="0.25">
      <c r="A41" s="28"/>
      <c r="B41" s="29" t="s">
        <v>40</v>
      </c>
      <c r="C41" s="10"/>
      <c r="D41" s="10"/>
      <c r="E41" s="10"/>
      <c r="F41" s="31" t="str">
        <f>IFERROR(VLOOKUP(Tabla1[[#This Row],[N° pedido compra]],InfoFactura!$A$1:$M$51,2,FALSE),"")</f>
        <v/>
      </c>
    </row>
    <row r="42" spans="1:6" x14ac:dyDescent="0.25">
      <c r="A42" s="28"/>
      <c r="B42" s="29" t="s">
        <v>41</v>
      </c>
      <c r="C42" s="10"/>
      <c r="D42" s="10"/>
      <c r="E42" s="10"/>
      <c r="F42" s="31" t="str">
        <f>IFERROR(VLOOKUP(Tabla1[[#This Row],[N° pedido compra]],InfoFactura!$A$1:$M$51,2,FALSE),"")</f>
        <v/>
      </c>
    </row>
    <row r="43" spans="1:6" x14ac:dyDescent="0.25">
      <c r="A43" s="28"/>
      <c r="B43" s="29" t="s">
        <v>42</v>
      </c>
      <c r="C43" s="10"/>
      <c r="D43" s="10"/>
      <c r="E43" s="10"/>
      <c r="F43" s="31" t="str">
        <f>IFERROR(VLOOKUP(Tabla1[[#This Row],[N° pedido compra]],InfoFactura!$A$1:$M$51,2,FALSE),"")</f>
        <v/>
      </c>
    </row>
    <row r="44" spans="1:6" x14ac:dyDescent="0.25">
      <c r="A44" s="28"/>
      <c r="B44" s="29" t="s">
        <v>43</v>
      </c>
      <c r="C44" s="10"/>
      <c r="D44" s="10"/>
      <c r="E44" s="10"/>
      <c r="F44" s="31" t="str">
        <f>IFERROR(VLOOKUP(Tabla1[[#This Row],[N° pedido compra]],InfoFactura!$A$1:$M$51,2,FALSE),"")</f>
        <v/>
      </c>
    </row>
    <row r="45" spans="1:6" x14ac:dyDescent="0.25">
      <c r="A45" s="28"/>
      <c r="B45" s="29" t="s">
        <v>44</v>
      </c>
      <c r="C45" s="10"/>
      <c r="D45" s="10"/>
      <c r="E45" s="10"/>
      <c r="F45" s="31" t="str">
        <f>IFERROR(VLOOKUP(Tabla1[[#This Row],[N° pedido compra]],InfoFactura!$A$1:$M$51,2,FALSE),"")</f>
        <v/>
      </c>
    </row>
    <row r="46" spans="1:6" x14ac:dyDescent="0.25">
      <c r="A46" s="28"/>
      <c r="B46" s="29" t="s">
        <v>45</v>
      </c>
      <c r="C46" s="10"/>
      <c r="D46" s="10"/>
      <c r="E46" s="10"/>
      <c r="F46" s="31" t="str">
        <f>IFERROR(VLOOKUP(Tabla1[[#This Row],[N° pedido compra]],InfoFactura!$A$1:$M$51,2,FALSE),"")</f>
        <v/>
      </c>
    </row>
    <row r="47" spans="1:6" x14ac:dyDescent="0.25">
      <c r="A47" s="28"/>
      <c r="B47" s="29" t="s">
        <v>46</v>
      </c>
      <c r="C47" s="10"/>
      <c r="D47" s="10"/>
      <c r="E47" s="10"/>
      <c r="F47" s="31" t="str">
        <f>IFERROR(VLOOKUP(Tabla1[[#This Row],[N° pedido compra]],InfoFactura!$A$1:$M$51,2,FALSE),"")</f>
        <v/>
      </c>
    </row>
    <row r="48" spans="1:6" x14ac:dyDescent="0.25">
      <c r="A48" s="28"/>
      <c r="B48" s="29" t="s">
        <v>47</v>
      </c>
      <c r="C48" s="10"/>
      <c r="D48" s="10"/>
      <c r="E48" s="10"/>
      <c r="F48" s="31" t="str">
        <f>IFERROR(VLOOKUP(Tabla1[[#This Row],[N° pedido compra]],InfoFactura!$A$1:$M$51,2,FALSE),"")</f>
        <v/>
      </c>
    </row>
    <row r="49" spans="1:6" x14ac:dyDescent="0.25">
      <c r="A49" s="28"/>
      <c r="B49" s="29" t="s">
        <v>48</v>
      </c>
      <c r="C49" s="10"/>
      <c r="D49" s="10"/>
      <c r="E49" s="10"/>
      <c r="F49" s="31" t="str">
        <f>IFERROR(VLOOKUP(Tabla1[[#This Row],[N° pedido compra]],InfoFactura!$A$1:$M$51,2,FALSE),"")</f>
        <v/>
      </c>
    </row>
    <row r="50" spans="1:6" x14ac:dyDescent="0.25">
      <c r="A50" s="28"/>
      <c r="B50" s="29" t="s">
        <v>49</v>
      </c>
      <c r="C50" s="10"/>
      <c r="D50" s="10"/>
      <c r="E50" s="10"/>
      <c r="F50" s="31" t="str">
        <f>IFERROR(VLOOKUP(Tabla1[[#This Row],[N° pedido compra]],InfoFactura!$A$1:$M$51,2,FALSE),"")</f>
        <v/>
      </c>
    </row>
    <row r="51" spans="1:6" x14ac:dyDescent="0.25">
      <c r="A51" s="28"/>
      <c r="B51" s="29" t="s">
        <v>50</v>
      </c>
      <c r="C51" s="10"/>
      <c r="D51" s="10"/>
      <c r="E51" s="10"/>
      <c r="F51" s="31" t="str">
        <f>IFERROR(VLOOKUP(Tabla1[[#This Row],[N° pedido compra]],InfoFactura!$A$1:$M$51,2,FALSE),"")</f>
        <v/>
      </c>
    </row>
    <row r="52" spans="1:6" x14ac:dyDescent="0.25">
      <c r="A52" s="28"/>
      <c r="B52" s="29" t="s">
        <v>51</v>
      </c>
      <c r="C52" s="10"/>
      <c r="D52" s="10"/>
      <c r="E52" s="10"/>
      <c r="F52" s="31" t="str">
        <f>IFERROR(VLOOKUP(Tabla1[[#This Row],[N° pedido compra]],InfoFactura!$A$1:$M$51,2,FALSE),"")</f>
        <v/>
      </c>
    </row>
    <row r="53" spans="1:6" x14ac:dyDescent="0.25">
      <c r="A53" s="28"/>
      <c r="B53" s="29" t="s">
        <v>52</v>
      </c>
      <c r="C53" s="10"/>
      <c r="D53" s="10"/>
      <c r="E53" s="10"/>
      <c r="F53" s="31" t="str">
        <f>IFERROR(VLOOKUP(Tabla1[[#This Row],[N° pedido compra]],InfoFactura!$A$1:$M$51,2,FALSE),"")</f>
        <v/>
      </c>
    </row>
    <row r="54" spans="1:6" x14ac:dyDescent="0.25">
      <c r="A54" s="28"/>
      <c r="B54" s="29" t="s">
        <v>53</v>
      </c>
      <c r="C54" s="10"/>
      <c r="D54" s="10"/>
      <c r="E54" s="10"/>
      <c r="F54" s="31" t="str">
        <f>IFERROR(VLOOKUP(Tabla1[[#This Row],[N° pedido compra]],InfoFactura!$A$1:$M$51,2,FALSE),"")</f>
        <v/>
      </c>
    </row>
    <row r="55" spans="1:6" x14ac:dyDescent="0.25">
      <c r="A55" s="28"/>
      <c r="B55" s="29" t="s">
        <v>54</v>
      </c>
      <c r="C55" s="10"/>
      <c r="D55" s="10"/>
      <c r="E55" s="10"/>
      <c r="F55" s="31" t="str">
        <f>IFERROR(VLOOKUP(Tabla1[[#This Row],[N° pedido compra]],InfoFactura!$A$1:$M$51,2,FALSE),"")</f>
        <v/>
      </c>
    </row>
    <row r="56" spans="1:6" x14ac:dyDescent="0.25">
      <c r="A56" s="28"/>
      <c r="B56" s="29" t="s">
        <v>55</v>
      </c>
      <c r="C56" s="10"/>
      <c r="D56" s="10"/>
      <c r="E56" s="10"/>
      <c r="F56" s="31" t="str">
        <f>IFERROR(VLOOKUP(Tabla1[[#This Row],[N° pedido compra]],InfoFactura!$A$1:$M$51,2,FALSE),"")</f>
        <v/>
      </c>
    </row>
    <row r="57" spans="1:6" x14ac:dyDescent="0.25">
      <c r="A57" s="28"/>
      <c r="B57" s="29" t="s">
        <v>56</v>
      </c>
      <c r="C57" s="10"/>
      <c r="D57" s="10"/>
      <c r="E57" s="10"/>
      <c r="F57" s="31" t="str">
        <f>IFERROR(VLOOKUP(Tabla1[[#This Row],[N° pedido compra]],InfoFactura!$A$1:$M$51,2,FALSE),"")</f>
        <v/>
      </c>
    </row>
    <row r="58" spans="1:6" x14ac:dyDescent="0.25">
      <c r="A58" s="28"/>
      <c r="B58" s="29" t="s">
        <v>57</v>
      </c>
      <c r="C58" s="10"/>
      <c r="D58" s="10"/>
      <c r="E58" s="10"/>
      <c r="F58" s="31" t="str">
        <f>IFERROR(VLOOKUP(Tabla1[[#This Row],[N° pedido compra]],InfoFactura!$A$1:$M$51,2,FALSE),"")</f>
        <v/>
      </c>
    </row>
    <row r="59" spans="1:6" x14ac:dyDescent="0.25">
      <c r="A59" s="28"/>
      <c r="B59" s="29" t="s">
        <v>58</v>
      </c>
      <c r="C59" s="10"/>
      <c r="D59" s="10"/>
      <c r="E59" s="10"/>
      <c r="F59" s="31" t="str">
        <f>IFERROR(VLOOKUP(Tabla1[[#This Row],[N° pedido compra]],InfoFactura!$A$1:$M$51,2,FALSE),"")</f>
        <v/>
      </c>
    </row>
    <row r="60" spans="1:6" x14ac:dyDescent="0.25">
      <c r="A60" s="28"/>
      <c r="B60" s="29" t="s">
        <v>59</v>
      </c>
      <c r="C60" s="10"/>
      <c r="D60" s="10"/>
      <c r="E60" s="10"/>
      <c r="F60" s="31" t="str">
        <f>IFERROR(VLOOKUP(Tabla1[[#This Row],[N° pedido compra]],InfoFactura!$A$1:$M$51,2,FALSE),"")</f>
        <v/>
      </c>
    </row>
    <row r="61" spans="1:6" x14ac:dyDescent="0.25">
      <c r="A61" s="28"/>
      <c r="B61" s="29" t="s">
        <v>60</v>
      </c>
      <c r="C61" s="10"/>
      <c r="D61" s="10"/>
      <c r="E61" s="10"/>
      <c r="F61" s="31" t="str">
        <f>IFERROR(VLOOKUP(Tabla1[[#This Row],[N° pedido compra]],InfoFactura!$A$1:$M$51,2,FALSE),"")</f>
        <v/>
      </c>
    </row>
    <row r="62" spans="1:6" x14ac:dyDescent="0.25">
      <c r="A62" s="28"/>
      <c r="B62" s="29" t="s">
        <v>61</v>
      </c>
      <c r="C62" s="10"/>
      <c r="D62" s="10"/>
      <c r="E62" s="10"/>
      <c r="F62" s="31" t="str">
        <f>IFERROR(VLOOKUP(Tabla1[[#This Row],[N° pedido compra]],InfoFactura!$A$1:$M$51,2,FALSE),"")</f>
        <v/>
      </c>
    </row>
    <row r="63" spans="1:6" x14ac:dyDescent="0.25">
      <c r="A63" s="28"/>
      <c r="B63" s="29" t="s">
        <v>62</v>
      </c>
      <c r="C63" s="10"/>
      <c r="D63" s="10"/>
      <c r="E63" s="10"/>
      <c r="F63" s="31" t="str">
        <f>IFERROR(VLOOKUP(Tabla1[[#This Row],[N° pedido compra]],InfoFactura!$A$1:$M$51,2,FALSE),"")</f>
        <v/>
      </c>
    </row>
    <row r="64" spans="1:6" x14ac:dyDescent="0.25">
      <c r="A64" s="28"/>
      <c r="B64" s="29" t="s">
        <v>63</v>
      </c>
      <c r="C64" s="10"/>
      <c r="D64" s="10"/>
      <c r="E64" s="10"/>
      <c r="F64" s="31" t="str">
        <f>IFERROR(VLOOKUP(Tabla1[[#This Row],[N° pedido compra]],InfoFactura!$A$1:$M$51,2,FALSE),"")</f>
        <v/>
      </c>
    </row>
    <row r="65" spans="1:6" x14ac:dyDescent="0.25">
      <c r="A65" s="28"/>
      <c r="B65" s="29" t="s">
        <v>64</v>
      </c>
      <c r="C65" s="10"/>
      <c r="D65" s="10"/>
      <c r="E65" s="10"/>
      <c r="F65" s="31" t="str">
        <f>IFERROR(VLOOKUP(Tabla1[[#This Row],[N° pedido compra]],InfoFactura!$A$1:$M$51,2,FALSE),"")</f>
        <v/>
      </c>
    </row>
    <row r="66" spans="1:6" x14ac:dyDescent="0.25">
      <c r="A66" s="28"/>
      <c r="B66" s="29" t="s">
        <v>65</v>
      </c>
      <c r="C66" s="10"/>
      <c r="D66" s="10"/>
      <c r="E66" s="10"/>
      <c r="F66" s="31" t="str">
        <f>IFERROR(VLOOKUP(Tabla1[[#This Row],[N° pedido compra]],InfoFactura!$A$1:$M$51,2,FALSE),"")</f>
        <v/>
      </c>
    </row>
    <row r="67" spans="1:6" x14ac:dyDescent="0.25">
      <c r="A67" s="28"/>
      <c r="B67" s="29" t="s">
        <v>66</v>
      </c>
      <c r="C67" s="10"/>
      <c r="D67" s="10"/>
      <c r="E67" s="10"/>
      <c r="F67" s="31" t="str">
        <f>IFERROR(VLOOKUP(Tabla1[[#This Row],[N° pedido compra]],InfoFactura!$A$1:$M$51,2,FALSE),"")</f>
        <v/>
      </c>
    </row>
    <row r="68" spans="1:6" x14ac:dyDescent="0.25">
      <c r="A68" s="28"/>
      <c r="B68" s="29" t="s">
        <v>67</v>
      </c>
      <c r="C68" s="10"/>
      <c r="D68" s="10"/>
      <c r="E68" s="10"/>
      <c r="F68" s="31" t="str">
        <f>IFERROR(VLOOKUP(Tabla1[[#This Row],[N° pedido compra]],InfoFactura!$A$1:$M$51,2,FALSE),"")</f>
        <v/>
      </c>
    </row>
    <row r="69" spans="1:6" x14ac:dyDescent="0.25">
      <c r="A69" s="28"/>
      <c r="B69" s="29" t="s">
        <v>68</v>
      </c>
      <c r="C69" s="10"/>
      <c r="D69" s="10"/>
      <c r="E69" s="10"/>
      <c r="F69" s="31" t="str">
        <f>IFERROR(VLOOKUP(Tabla1[[#This Row],[N° pedido compra]],InfoFactura!$A$1:$M$51,2,FALSE),"")</f>
        <v/>
      </c>
    </row>
    <row r="70" spans="1:6" x14ac:dyDescent="0.25">
      <c r="A70" s="28"/>
      <c r="B70" s="29" t="s">
        <v>69</v>
      </c>
      <c r="C70" s="10"/>
      <c r="D70" s="10"/>
      <c r="E70" s="10"/>
      <c r="F70" s="31" t="str">
        <f>IFERROR(VLOOKUP(Tabla1[[#This Row],[N° pedido compra]],InfoFactura!$A$1:$M$51,2,FALSE),"")</f>
        <v/>
      </c>
    </row>
    <row r="71" spans="1:6" x14ac:dyDescent="0.25">
      <c r="A71" s="28"/>
      <c r="B71" s="29" t="s">
        <v>70</v>
      </c>
      <c r="C71" s="10"/>
      <c r="D71" s="10"/>
      <c r="E71" s="10"/>
      <c r="F71" s="31" t="str">
        <f>IFERROR(VLOOKUP(Tabla1[[#This Row],[N° pedido compra]],InfoFactura!$A$1:$M$51,2,FALSE),"")</f>
        <v/>
      </c>
    </row>
    <row r="72" spans="1:6" x14ac:dyDescent="0.25">
      <c r="A72" s="28"/>
      <c r="B72" s="29" t="s">
        <v>71</v>
      </c>
      <c r="C72" s="10"/>
      <c r="D72" s="10"/>
      <c r="E72" s="10"/>
      <c r="F72" s="31" t="str">
        <f>IFERROR(VLOOKUP(Tabla1[[#This Row],[N° pedido compra]],InfoFactura!$A$1:$M$51,2,FALSE),"")</f>
        <v/>
      </c>
    </row>
    <row r="73" spans="1:6" x14ac:dyDescent="0.25">
      <c r="A73" s="28"/>
      <c r="B73" s="29" t="s">
        <v>72</v>
      </c>
      <c r="C73" s="10"/>
      <c r="D73" s="10"/>
      <c r="E73" s="10"/>
      <c r="F73" s="31" t="str">
        <f>IFERROR(VLOOKUP(Tabla1[[#This Row],[N° pedido compra]],InfoFactura!$A$1:$M$51,2,FALSE),"")</f>
        <v/>
      </c>
    </row>
    <row r="74" spans="1:6" x14ac:dyDescent="0.25">
      <c r="A74" s="28"/>
      <c r="B74" s="29" t="s">
        <v>73</v>
      </c>
      <c r="C74" s="10"/>
      <c r="D74" s="10"/>
      <c r="E74" s="10"/>
      <c r="F74" s="31" t="str">
        <f>IFERROR(VLOOKUP(Tabla1[[#This Row],[N° pedido compra]],InfoFactura!$A$1:$M$51,2,FALSE),"")</f>
        <v/>
      </c>
    </row>
    <row r="75" spans="1:6" x14ac:dyDescent="0.25">
      <c r="A75" s="28"/>
      <c r="B75" s="29" t="s">
        <v>74</v>
      </c>
      <c r="C75" s="10"/>
      <c r="D75" s="10"/>
      <c r="E75" s="10"/>
      <c r="F75" s="31" t="str">
        <f>IFERROR(VLOOKUP(Tabla1[[#This Row],[N° pedido compra]],InfoFactura!$A$1:$M$51,2,FALSE),"")</f>
        <v/>
      </c>
    </row>
    <row r="76" spans="1:6" x14ac:dyDescent="0.25">
      <c r="A76" s="28"/>
      <c r="B76" s="29" t="s">
        <v>75</v>
      </c>
      <c r="C76" s="10"/>
      <c r="D76" s="10"/>
      <c r="E76" s="10"/>
      <c r="F76" s="31" t="str">
        <f>IFERROR(VLOOKUP(Tabla1[[#This Row],[N° pedido compra]],InfoFactura!$A$1:$M$51,2,FALSE),"")</f>
        <v/>
      </c>
    </row>
    <row r="77" spans="1:6" x14ac:dyDescent="0.25">
      <c r="A77" s="28"/>
      <c r="B77" s="29" t="s">
        <v>76</v>
      </c>
      <c r="C77" s="10"/>
      <c r="D77" s="10"/>
      <c r="E77" s="10"/>
      <c r="F77" s="31" t="str">
        <f>IFERROR(VLOOKUP(Tabla1[[#This Row],[N° pedido compra]],InfoFactura!$A$1:$M$51,2,FALSE),"")</f>
        <v/>
      </c>
    </row>
    <row r="78" spans="1:6" x14ac:dyDescent="0.25">
      <c r="A78" s="28"/>
      <c r="B78" s="29" t="s">
        <v>77</v>
      </c>
      <c r="C78" s="10"/>
      <c r="D78" s="10"/>
      <c r="E78" s="10"/>
      <c r="F78" s="31" t="str">
        <f>IFERROR(VLOOKUP(Tabla1[[#This Row],[N° pedido compra]],InfoFactura!$A$1:$M$51,2,FALSE),"")</f>
        <v/>
      </c>
    </row>
    <row r="79" spans="1:6" x14ac:dyDescent="0.25">
      <c r="A79" s="28"/>
      <c r="B79" s="29" t="s">
        <v>78</v>
      </c>
      <c r="C79" s="10"/>
      <c r="D79" s="10"/>
      <c r="E79" s="10"/>
      <c r="F79" s="31" t="str">
        <f>IFERROR(VLOOKUP(Tabla1[[#This Row],[N° pedido compra]],InfoFactura!$A$1:$M$51,2,FALSE),"")</f>
        <v/>
      </c>
    </row>
    <row r="80" spans="1:6" x14ac:dyDescent="0.25">
      <c r="A80" s="28"/>
      <c r="B80" s="29" t="s">
        <v>79</v>
      </c>
      <c r="C80" s="10"/>
      <c r="D80" s="10"/>
      <c r="E80" s="10"/>
      <c r="F80" s="31" t="str">
        <f>IFERROR(VLOOKUP(Tabla1[[#This Row],[N° pedido compra]],InfoFactura!$A$1:$M$51,2,FALSE),"")</f>
        <v/>
      </c>
    </row>
    <row r="81" spans="1:6" x14ac:dyDescent="0.25">
      <c r="A81" s="28"/>
      <c r="B81" s="29" t="s">
        <v>80</v>
      </c>
      <c r="C81" s="10"/>
      <c r="D81" s="10"/>
      <c r="E81" s="10"/>
      <c r="F81" s="31" t="str">
        <f>IFERROR(VLOOKUP(Tabla1[[#This Row],[N° pedido compra]],InfoFactura!$A$1:$M$51,2,FALSE),"")</f>
        <v/>
      </c>
    </row>
    <row r="82" spans="1:6" x14ac:dyDescent="0.25">
      <c r="A82" s="28"/>
      <c r="B82" s="29" t="s">
        <v>81</v>
      </c>
      <c r="C82" s="10"/>
      <c r="D82" s="10"/>
      <c r="E82" s="10"/>
      <c r="F82" s="31" t="str">
        <f>IFERROR(VLOOKUP(Tabla1[[#This Row],[N° pedido compra]],InfoFactura!$A$1:$M$51,2,FALSE),"")</f>
        <v/>
      </c>
    </row>
    <row r="83" spans="1:6" x14ac:dyDescent="0.25">
      <c r="A83" s="28"/>
      <c r="B83" s="29" t="s">
        <v>82</v>
      </c>
      <c r="C83" s="10"/>
      <c r="D83" s="10"/>
      <c r="E83" s="10"/>
      <c r="F83" s="31" t="str">
        <f>IFERROR(VLOOKUP(Tabla1[[#This Row],[N° pedido compra]],InfoFactura!$A$1:$M$51,2,FALSE),"")</f>
        <v/>
      </c>
    </row>
    <row r="84" spans="1:6" x14ac:dyDescent="0.25">
      <c r="A84" s="28"/>
      <c r="B84" s="29" t="s">
        <v>83</v>
      </c>
      <c r="C84" s="10"/>
      <c r="D84" s="10"/>
      <c r="E84" s="10"/>
      <c r="F84" s="31" t="str">
        <f>IFERROR(VLOOKUP(Tabla1[[#This Row],[N° pedido compra]],InfoFactura!$A$1:$M$51,2,FALSE),"")</f>
        <v/>
      </c>
    </row>
    <row r="85" spans="1:6" x14ac:dyDescent="0.25">
      <c r="A85" s="28"/>
      <c r="B85" s="29" t="s">
        <v>84</v>
      </c>
      <c r="C85" s="10"/>
      <c r="D85" s="10"/>
      <c r="E85" s="10"/>
      <c r="F85" s="31" t="str">
        <f>IFERROR(VLOOKUP(Tabla1[[#This Row],[N° pedido compra]],InfoFactura!$A$1:$M$51,2,FALSE),"")</f>
        <v/>
      </c>
    </row>
    <row r="86" spans="1:6" x14ac:dyDescent="0.25">
      <c r="A86" s="28"/>
      <c r="B86" s="29" t="s">
        <v>85</v>
      </c>
      <c r="C86" s="10"/>
      <c r="D86" s="10"/>
      <c r="E86" s="10"/>
      <c r="F86" s="31" t="str">
        <f>IFERROR(VLOOKUP(Tabla1[[#This Row],[N° pedido compra]],InfoFactura!$A$1:$M$51,2,FALSE),"")</f>
        <v/>
      </c>
    </row>
    <row r="87" spans="1:6" x14ac:dyDescent="0.25">
      <c r="A87" s="28"/>
      <c r="B87" s="29" t="s">
        <v>86</v>
      </c>
      <c r="C87" s="10"/>
      <c r="D87" s="10"/>
      <c r="E87" s="10"/>
      <c r="F87" s="31" t="str">
        <f>IFERROR(VLOOKUP(Tabla1[[#This Row],[N° pedido compra]],InfoFactura!$A$1:$M$51,2,FALSE),"")</f>
        <v/>
      </c>
    </row>
    <row r="88" spans="1:6" x14ac:dyDescent="0.25">
      <c r="A88" s="28"/>
      <c r="B88" s="29" t="s">
        <v>87</v>
      </c>
      <c r="C88" s="10"/>
      <c r="D88" s="10"/>
      <c r="E88" s="10"/>
      <c r="F88" s="31" t="str">
        <f>IFERROR(VLOOKUP(Tabla1[[#This Row],[N° pedido compra]],InfoFactura!$A$1:$M$51,2,FALSE),"")</f>
        <v/>
      </c>
    </row>
    <row r="89" spans="1:6" x14ac:dyDescent="0.25">
      <c r="A89" s="28"/>
      <c r="B89" s="29" t="s">
        <v>88</v>
      </c>
      <c r="C89" s="10"/>
      <c r="D89" s="10"/>
      <c r="E89" s="10"/>
      <c r="F89" s="31" t="str">
        <f>IFERROR(VLOOKUP(Tabla1[[#This Row],[N° pedido compra]],InfoFactura!$A$1:$M$51,2,FALSE),"")</f>
        <v/>
      </c>
    </row>
    <row r="90" spans="1:6" x14ac:dyDescent="0.25">
      <c r="A90" s="28"/>
      <c r="B90" s="29" t="s">
        <v>89</v>
      </c>
      <c r="C90" s="10"/>
      <c r="D90" s="10"/>
      <c r="E90" s="10"/>
      <c r="F90" s="31" t="str">
        <f>IFERROR(VLOOKUP(Tabla1[[#This Row],[N° pedido compra]],InfoFactura!$A$1:$M$51,2,FALSE),"")</f>
        <v/>
      </c>
    </row>
    <row r="91" spans="1:6" x14ac:dyDescent="0.25">
      <c r="A91" s="28"/>
      <c r="B91" s="29" t="s">
        <v>90</v>
      </c>
      <c r="C91" s="10"/>
      <c r="D91" s="10"/>
      <c r="E91" s="10"/>
      <c r="F91" s="31" t="str">
        <f>IFERROR(VLOOKUP(Tabla1[[#This Row],[N° pedido compra]],InfoFactura!$A$1:$M$51,2,FALSE),"")</f>
        <v/>
      </c>
    </row>
    <row r="92" spans="1:6" x14ac:dyDescent="0.25">
      <c r="A92" s="28"/>
      <c r="B92" s="29" t="s">
        <v>91</v>
      </c>
      <c r="C92" s="10"/>
      <c r="D92" s="10"/>
      <c r="E92" s="10"/>
      <c r="F92" s="31" t="str">
        <f>IFERROR(VLOOKUP(Tabla1[[#This Row],[N° pedido compra]],InfoFactura!$A$1:$M$51,2,FALSE),"")</f>
        <v/>
      </c>
    </row>
    <row r="93" spans="1:6" x14ac:dyDescent="0.25">
      <c r="A93" s="28"/>
      <c r="B93" s="29" t="s">
        <v>92</v>
      </c>
      <c r="C93" s="10"/>
      <c r="D93" s="10"/>
      <c r="E93" s="10"/>
      <c r="F93" s="31" t="str">
        <f>IFERROR(VLOOKUP(Tabla1[[#This Row],[N° pedido compra]],InfoFactura!$A$1:$M$51,2,FALSE),"")</f>
        <v/>
      </c>
    </row>
    <row r="94" spans="1:6" x14ac:dyDescent="0.25">
      <c r="A94" s="28"/>
      <c r="B94" s="29" t="s">
        <v>93</v>
      </c>
      <c r="C94" s="10"/>
      <c r="D94" s="10"/>
      <c r="E94" s="10"/>
      <c r="F94" s="31" t="str">
        <f>IFERROR(VLOOKUP(Tabla1[[#This Row],[N° pedido compra]],InfoFactura!$A$1:$M$51,2,FALSE),"")</f>
        <v/>
      </c>
    </row>
    <row r="95" spans="1:6" x14ac:dyDescent="0.25">
      <c r="A95" s="28"/>
      <c r="B95" s="29" t="s">
        <v>94</v>
      </c>
      <c r="C95" s="10"/>
      <c r="D95" s="10"/>
      <c r="E95" s="10"/>
      <c r="F95" s="31" t="str">
        <f>IFERROR(VLOOKUP(Tabla1[[#This Row],[N° pedido compra]],InfoFactura!$A$1:$M$51,2,FALSE),"")</f>
        <v/>
      </c>
    </row>
    <row r="96" spans="1:6" x14ac:dyDescent="0.25">
      <c r="A96" s="28"/>
      <c r="B96" s="29" t="s">
        <v>95</v>
      </c>
      <c r="C96" s="10"/>
      <c r="D96" s="10"/>
      <c r="E96" s="10"/>
      <c r="F96" s="31" t="str">
        <f>IFERROR(VLOOKUP(Tabla1[[#This Row],[N° pedido compra]],InfoFactura!$A$1:$M$51,2,FALSE),"")</f>
        <v/>
      </c>
    </row>
    <row r="97" spans="1:6" x14ac:dyDescent="0.25">
      <c r="A97" s="28"/>
      <c r="B97" s="29" t="s">
        <v>96</v>
      </c>
      <c r="C97" s="10"/>
      <c r="D97" s="10"/>
      <c r="E97" s="10"/>
      <c r="F97" s="31" t="str">
        <f>IFERROR(VLOOKUP(Tabla1[[#This Row],[N° pedido compra]],InfoFactura!$A$1:$M$51,2,FALSE),"")</f>
        <v/>
      </c>
    </row>
    <row r="98" spans="1:6" x14ac:dyDescent="0.25">
      <c r="A98" s="28"/>
      <c r="B98" s="29" t="s">
        <v>97</v>
      </c>
      <c r="C98" s="10"/>
      <c r="D98" s="10"/>
      <c r="E98" s="10"/>
      <c r="F98" s="31" t="str">
        <f>IFERROR(VLOOKUP(Tabla1[[#This Row],[N° pedido compra]],InfoFactura!$A$1:$M$51,2,FALSE),"")</f>
        <v/>
      </c>
    </row>
    <row r="99" spans="1:6" x14ac:dyDescent="0.25">
      <c r="A99" s="28"/>
      <c r="B99" s="29" t="s">
        <v>98</v>
      </c>
      <c r="C99" s="10"/>
      <c r="D99" s="10"/>
      <c r="E99" s="10"/>
      <c r="F99" s="31" t="str">
        <f>IFERROR(VLOOKUP(Tabla1[[#This Row],[N° pedido compra]],InfoFactura!$A$1:$M$51,2,FALSE),"")</f>
        <v/>
      </c>
    </row>
    <row r="100" spans="1:6" x14ac:dyDescent="0.25">
      <c r="A100" s="28"/>
      <c r="B100" s="29" t="s">
        <v>99</v>
      </c>
      <c r="C100" s="10"/>
      <c r="D100" s="10"/>
      <c r="E100" s="10"/>
      <c r="F100" s="31" t="str">
        <f>IFERROR(VLOOKUP(Tabla1[[#This Row],[N° pedido compra]],InfoFactura!$A$1:$M$51,2,FALSE),"")</f>
        <v/>
      </c>
    </row>
    <row r="101" spans="1:6" x14ac:dyDescent="0.25">
      <c r="A101" s="28"/>
      <c r="B101" s="29" t="s">
        <v>100</v>
      </c>
      <c r="C101" s="10"/>
      <c r="D101" s="10"/>
      <c r="E101" s="10"/>
      <c r="F101" s="31" t="str">
        <f>IFERROR(VLOOKUP(Tabla1[[#This Row],[N° pedido compra]],InfoFactura!$A$1:$M$51,2,FALSE),"")</f>
        <v/>
      </c>
    </row>
    <row r="102" spans="1:6" x14ac:dyDescent="0.25">
      <c r="A102" s="28"/>
      <c r="B102" s="29" t="s">
        <v>101</v>
      </c>
      <c r="C102" s="10"/>
      <c r="D102" s="10"/>
      <c r="E102" s="10"/>
      <c r="F102" s="31" t="str">
        <f>IFERROR(VLOOKUP(Tabla1[[#This Row],[N° pedido compra]],InfoFactura!$A$1:$M$51,2,FALSE),"")</f>
        <v/>
      </c>
    </row>
    <row r="103" spans="1:6" x14ac:dyDescent="0.25">
      <c r="A103" s="28"/>
      <c r="B103" s="29" t="s">
        <v>102</v>
      </c>
      <c r="C103" s="10"/>
      <c r="D103" s="10"/>
      <c r="E103" s="10"/>
      <c r="F103" s="31" t="str">
        <f>IFERROR(VLOOKUP(Tabla1[[#This Row],[N° pedido compra]],InfoFactura!$A$1:$M$51,2,FALSE),"")</f>
        <v/>
      </c>
    </row>
    <row r="104" spans="1:6" x14ac:dyDescent="0.25">
      <c r="A104" s="28"/>
      <c r="B104" s="29" t="s">
        <v>103</v>
      </c>
      <c r="C104" s="10"/>
      <c r="D104" s="10"/>
      <c r="E104" s="10"/>
      <c r="F104" s="31" t="str">
        <f>IFERROR(VLOOKUP(Tabla1[[#This Row],[N° pedido compra]],InfoFactura!$A$1:$M$51,2,FALSE),"")</f>
        <v/>
      </c>
    </row>
    <row r="105" spans="1:6" x14ac:dyDescent="0.25">
      <c r="A105" s="28"/>
      <c r="B105" s="29" t="s">
        <v>104</v>
      </c>
      <c r="C105" s="10"/>
      <c r="D105" s="10"/>
      <c r="E105" s="10"/>
      <c r="F105" s="31" t="str">
        <f>IFERROR(VLOOKUP(Tabla1[[#This Row],[N° pedido compra]],InfoFactura!$A$1:$M$51,2,FALSE),"")</f>
        <v/>
      </c>
    </row>
    <row r="106" spans="1:6" x14ac:dyDescent="0.25">
      <c r="A106" s="28"/>
      <c r="B106" s="29" t="s">
        <v>105</v>
      </c>
      <c r="C106" s="10"/>
      <c r="D106" s="10"/>
      <c r="E106" s="10"/>
      <c r="F106" s="31" t="str">
        <f>IFERROR(VLOOKUP(Tabla1[[#This Row],[N° pedido compra]],InfoFactura!$A$1:$M$51,2,FALSE),"")</f>
        <v/>
      </c>
    </row>
    <row r="107" spans="1:6" x14ac:dyDescent="0.25">
      <c r="A107" s="28"/>
      <c r="B107" s="29" t="s">
        <v>106</v>
      </c>
      <c r="C107" s="10"/>
      <c r="D107" s="10"/>
      <c r="E107" s="10"/>
      <c r="F107" s="31" t="str">
        <f>IFERROR(VLOOKUP(Tabla1[[#This Row],[N° pedido compra]],InfoFactura!$A$1:$M$51,2,FALSE),"")</f>
        <v/>
      </c>
    </row>
    <row r="108" spans="1:6" x14ac:dyDescent="0.25">
      <c r="A108" s="28"/>
      <c r="B108" s="29" t="s">
        <v>107</v>
      </c>
      <c r="C108" s="10"/>
      <c r="D108" s="10"/>
      <c r="E108" s="10"/>
      <c r="F108" s="31" t="str">
        <f>IFERROR(VLOOKUP(Tabla1[[#This Row],[N° pedido compra]],InfoFactura!$A$1:$M$51,2,FALSE),"")</f>
        <v/>
      </c>
    </row>
    <row r="109" spans="1:6" x14ac:dyDescent="0.25">
      <c r="A109" s="28"/>
      <c r="B109" s="29" t="s">
        <v>108</v>
      </c>
      <c r="C109" s="10"/>
      <c r="D109" s="10"/>
      <c r="E109" s="10"/>
      <c r="F109" s="31" t="str">
        <f>IFERROR(VLOOKUP(Tabla1[[#This Row],[N° pedido compra]],InfoFactura!$A$1:$M$51,2,FALSE),"")</f>
        <v/>
      </c>
    </row>
    <row r="110" spans="1:6" x14ac:dyDescent="0.25">
      <c r="A110" s="28"/>
      <c r="B110" s="29" t="s">
        <v>109</v>
      </c>
      <c r="C110" s="10"/>
      <c r="D110" s="10"/>
      <c r="E110" s="10"/>
      <c r="F110" s="31" t="str">
        <f>IFERROR(VLOOKUP(Tabla1[[#This Row],[N° pedido compra]],InfoFactura!$A$1:$M$51,2,FALSE),"")</f>
        <v/>
      </c>
    </row>
    <row r="111" spans="1:6" x14ac:dyDescent="0.25">
      <c r="A111" s="28"/>
      <c r="B111" s="29" t="s">
        <v>110</v>
      </c>
      <c r="C111" s="10"/>
      <c r="D111" s="10"/>
      <c r="E111" s="10"/>
      <c r="F111" s="31" t="str">
        <f>IFERROR(VLOOKUP(Tabla1[[#This Row],[N° pedido compra]],InfoFactura!$A$1:$M$51,2,FALSE),"")</f>
        <v/>
      </c>
    </row>
    <row r="112" spans="1:6" x14ac:dyDescent="0.25">
      <c r="A112" s="28"/>
      <c r="B112" s="29" t="s">
        <v>111</v>
      </c>
      <c r="C112" s="10"/>
      <c r="D112" s="10"/>
      <c r="E112" s="10"/>
      <c r="F112" s="31" t="str">
        <f>IFERROR(VLOOKUP(Tabla1[[#This Row],[N° pedido compra]],InfoFactura!$A$1:$M$51,2,FALSE),"")</f>
        <v/>
      </c>
    </row>
    <row r="113" spans="1:6" x14ac:dyDescent="0.25">
      <c r="A113" s="28"/>
      <c r="B113" s="29" t="s">
        <v>112</v>
      </c>
      <c r="C113" s="10"/>
      <c r="D113" s="10"/>
      <c r="E113" s="10"/>
      <c r="F113" s="31" t="str">
        <f>IFERROR(VLOOKUP(Tabla1[[#This Row],[N° pedido compra]],InfoFactura!$A$1:$M$51,2,FALSE),"")</f>
        <v/>
      </c>
    </row>
    <row r="114" spans="1:6" x14ac:dyDescent="0.25">
      <c r="A114" s="28"/>
      <c r="B114" s="29" t="s">
        <v>113</v>
      </c>
      <c r="C114" s="10"/>
      <c r="D114" s="10"/>
      <c r="E114" s="10"/>
      <c r="F114" s="31" t="str">
        <f>IFERROR(VLOOKUP(Tabla1[[#This Row],[N° pedido compra]],InfoFactura!$A$1:$M$51,2,FALSE),"")</f>
        <v/>
      </c>
    </row>
    <row r="115" spans="1:6" x14ac:dyDescent="0.25">
      <c r="A115" s="28"/>
      <c r="B115" s="29" t="s">
        <v>114</v>
      </c>
      <c r="C115" s="10"/>
      <c r="D115" s="10"/>
      <c r="E115" s="10"/>
      <c r="F115" s="31" t="str">
        <f>IFERROR(VLOOKUP(Tabla1[[#This Row],[N° pedido compra]],InfoFactura!$A$1:$M$51,2,FALSE),"")</f>
        <v/>
      </c>
    </row>
    <row r="116" spans="1:6" x14ac:dyDescent="0.25">
      <c r="A116" s="28"/>
      <c r="B116" s="29" t="s">
        <v>115</v>
      </c>
      <c r="C116" s="10"/>
      <c r="D116" s="10"/>
      <c r="E116" s="10"/>
      <c r="F116" s="31" t="str">
        <f>IFERROR(VLOOKUP(Tabla1[[#This Row],[N° pedido compra]],InfoFactura!$A$1:$M$51,2,FALSE),"")</f>
        <v/>
      </c>
    </row>
    <row r="117" spans="1:6" x14ac:dyDescent="0.25">
      <c r="A117" s="28"/>
      <c r="B117" s="29" t="s">
        <v>116</v>
      </c>
      <c r="C117" s="10"/>
      <c r="D117" s="10"/>
      <c r="E117" s="10"/>
      <c r="F117" s="31" t="str">
        <f>IFERROR(VLOOKUP(Tabla1[[#This Row],[N° pedido compra]],InfoFactura!$A$1:$M$51,2,FALSE),"")</f>
        <v/>
      </c>
    </row>
    <row r="118" spans="1:6" x14ac:dyDescent="0.25">
      <c r="A118" s="28"/>
      <c r="B118" s="29" t="s">
        <v>117</v>
      </c>
      <c r="C118" s="10"/>
      <c r="D118" s="10"/>
      <c r="E118" s="10"/>
      <c r="F118" s="31" t="str">
        <f>IFERROR(VLOOKUP(Tabla1[[#This Row],[N° pedido compra]],InfoFactura!$A$1:$M$51,2,FALSE),"")</f>
        <v/>
      </c>
    </row>
    <row r="119" spans="1:6" x14ac:dyDescent="0.25">
      <c r="A119" s="28"/>
      <c r="B119" s="29" t="s">
        <v>118</v>
      </c>
      <c r="C119" s="10"/>
      <c r="D119" s="10"/>
      <c r="E119" s="10"/>
      <c r="F119" s="31" t="str">
        <f>IFERROR(VLOOKUP(Tabla1[[#This Row],[N° pedido compra]],InfoFactura!$A$1:$M$51,2,FALSE),"")</f>
        <v/>
      </c>
    </row>
    <row r="120" spans="1:6" x14ac:dyDescent="0.25">
      <c r="A120" s="28"/>
      <c r="B120" s="29" t="s">
        <v>119</v>
      </c>
      <c r="C120" s="10"/>
      <c r="D120" s="10"/>
      <c r="E120" s="10"/>
      <c r="F120" s="31" t="str">
        <f>IFERROR(VLOOKUP(Tabla1[[#This Row],[N° pedido compra]],InfoFactura!$A$1:$M$51,2,FALSE),"")</f>
        <v/>
      </c>
    </row>
    <row r="121" spans="1:6" x14ac:dyDescent="0.25">
      <c r="A121" s="28"/>
      <c r="B121" s="29" t="s">
        <v>120</v>
      </c>
      <c r="C121" s="10"/>
      <c r="D121" s="10"/>
      <c r="E121" s="10"/>
      <c r="F121" s="31" t="str">
        <f>IFERROR(VLOOKUP(Tabla1[[#This Row],[N° pedido compra]],InfoFactura!$A$1:$M$51,2,FALSE),"")</f>
        <v/>
      </c>
    </row>
    <row r="122" spans="1:6" x14ac:dyDescent="0.25">
      <c r="A122" s="28"/>
      <c r="B122" s="29" t="s">
        <v>121</v>
      </c>
      <c r="C122" s="10"/>
      <c r="D122" s="10"/>
      <c r="E122" s="10"/>
      <c r="F122" s="31" t="str">
        <f>IFERROR(VLOOKUP(Tabla1[[#This Row],[N° pedido compra]],InfoFactura!$A$1:$M$51,2,FALSE),"")</f>
        <v/>
      </c>
    </row>
    <row r="123" spans="1:6" x14ac:dyDescent="0.25">
      <c r="A123" s="28"/>
      <c r="B123" s="29" t="s">
        <v>122</v>
      </c>
      <c r="C123" s="10"/>
      <c r="D123" s="10"/>
      <c r="E123" s="10"/>
      <c r="F123" s="31" t="str">
        <f>IFERROR(VLOOKUP(Tabla1[[#This Row],[N° pedido compra]],InfoFactura!$A$1:$M$51,2,FALSE),"")</f>
        <v/>
      </c>
    </row>
    <row r="124" spans="1:6" x14ac:dyDescent="0.25">
      <c r="A124" s="28"/>
      <c r="B124" s="29" t="s">
        <v>123</v>
      </c>
      <c r="C124" s="10"/>
      <c r="D124" s="10"/>
      <c r="E124" s="10"/>
      <c r="F124" s="31" t="str">
        <f>IFERROR(VLOOKUP(Tabla1[[#This Row],[N° pedido compra]],InfoFactura!$A$1:$M$51,2,FALSE),"")</f>
        <v/>
      </c>
    </row>
    <row r="125" spans="1:6" x14ac:dyDescent="0.25">
      <c r="A125" s="28"/>
      <c r="B125" s="29" t="s">
        <v>124</v>
      </c>
      <c r="C125" s="10"/>
      <c r="D125" s="10"/>
      <c r="E125" s="10"/>
      <c r="F125" s="31" t="str">
        <f>IFERROR(VLOOKUP(Tabla1[[#This Row],[N° pedido compra]],InfoFactura!$A$1:$M$51,2,FALSE),"")</f>
        <v/>
      </c>
    </row>
    <row r="126" spans="1:6" x14ac:dyDescent="0.25">
      <c r="A126" s="28"/>
      <c r="B126" s="29" t="s">
        <v>125</v>
      </c>
      <c r="C126" s="10"/>
      <c r="D126" s="10"/>
      <c r="E126" s="10"/>
      <c r="F126" s="31" t="str">
        <f>IFERROR(VLOOKUP(Tabla1[[#This Row],[N° pedido compra]],InfoFactura!$A$1:$M$51,2,FALSE),"")</f>
        <v/>
      </c>
    </row>
    <row r="127" spans="1:6" x14ac:dyDescent="0.25">
      <c r="A127" s="28"/>
      <c r="B127" s="29" t="s">
        <v>126</v>
      </c>
      <c r="C127" s="10"/>
      <c r="D127" s="10"/>
      <c r="E127" s="10"/>
      <c r="F127" s="31" t="str">
        <f>IFERROR(VLOOKUP(Tabla1[[#This Row],[N° pedido compra]],InfoFactura!$A$1:$M$51,2,FALSE),"")</f>
        <v/>
      </c>
    </row>
    <row r="128" spans="1:6" x14ac:dyDescent="0.25">
      <c r="A128" s="28"/>
      <c r="B128" s="29" t="s">
        <v>127</v>
      </c>
      <c r="C128" s="10"/>
      <c r="D128" s="10"/>
      <c r="E128" s="10"/>
      <c r="F128" s="31" t="str">
        <f>IFERROR(VLOOKUP(Tabla1[[#This Row],[N° pedido compra]],InfoFactura!$A$1:$M$51,2,FALSE),"")</f>
        <v/>
      </c>
    </row>
    <row r="129" spans="1:6" x14ac:dyDescent="0.25">
      <c r="A129" s="28"/>
      <c r="B129" s="29" t="s">
        <v>128</v>
      </c>
      <c r="C129" s="10"/>
      <c r="D129" s="10"/>
      <c r="E129" s="10"/>
      <c r="F129" s="31" t="str">
        <f>IFERROR(VLOOKUP(Tabla1[[#This Row],[N° pedido compra]],InfoFactura!$A$1:$M$51,2,FALSE),"")</f>
        <v/>
      </c>
    </row>
    <row r="130" spans="1:6" x14ac:dyDescent="0.25">
      <c r="A130" s="28"/>
      <c r="B130" s="29" t="s">
        <v>129</v>
      </c>
      <c r="C130" s="10"/>
      <c r="D130" s="10"/>
      <c r="E130" s="10"/>
      <c r="F130" s="31" t="str">
        <f>IFERROR(VLOOKUP(Tabla1[[#This Row],[N° pedido compra]],InfoFactura!$A$1:$M$51,2,FALSE),"")</f>
        <v/>
      </c>
    </row>
    <row r="131" spans="1:6" x14ac:dyDescent="0.25">
      <c r="A131" s="28"/>
      <c r="B131" s="29" t="s">
        <v>130</v>
      </c>
      <c r="C131" s="10"/>
      <c r="D131" s="10"/>
      <c r="E131" s="10"/>
      <c r="F131" s="31" t="str">
        <f>IFERROR(VLOOKUP(Tabla1[[#This Row],[N° pedido compra]],InfoFactura!$A$1:$M$51,2,FALSE),"")</f>
        <v/>
      </c>
    </row>
    <row r="132" spans="1:6" x14ac:dyDescent="0.25">
      <c r="A132" s="28"/>
      <c r="B132" s="29" t="s">
        <v>131</v>
      </c>
      <c r="C132" s="10"/>
      <c r="D132" s="10"/>
      <c r="E132" s="10"/>
      <c r="F132" s="31" t="str">
        <f>IFERROR(VLOOKUP(Tabla1[[#This Row],[N° pedido compra]],InfoFactura!$A$1:$M$51,2,FALSE),"")</f>
        <v/>
      </c>
    </row>
    <row r="133" spans="1:6" x14ac:dyDescent="0.25">
      <c r="A133" s="28"/>
      <c r="B133" s="29" t="s">
        <v>132</v>
      </c>
      <c r="C133" s="10"/>
      <c r="D133" s="10"/>
      <c r="E133" s="10"/>
      <c r="F133" s="31" t="str">
        <f>IFERROR(VLOOKUP(Tabla1[[#This Row],[N° pedido compra]],InfoFactura!$A$1:$M$51,2,FALSE),"")</f>
        <v/>
      </c>
    </row>
    <row r="134" spans="1:6" x14ac:dyDescent="0.25">
      <c r="A134" s="28"/>
      <c r="B134" s="29" t="s">
        <v>133</v>
      </c>
      <c r="C134" s="10"/>
      <c r="D134" s="10"/>
      <c r="E134" s="10"/>
      <c r="F134" s="31" t="str">
        <f>IFERROR(VLOOKUP(Tabla1[[#This Row],[N° pedido compra]],InfoFactura!$A$1:$M$51,2,FALSE),"")</f>
        <v/>
      </c>
    </row>
    <row r="135" spans="1:6" x14ac:dyDescent="0.25">
      <c r="A135" s="28"/>
      <c r="B135" s="29" t="s">
        <v>134</v>
      </c>
      <c r="C135" s="10"/>
      <c r="D135" s="10"/>
      <c r="E135" s="10"/>
      <c r="F135" s="31" t="str">
        <f>IFERROR(VLOOKUP(Tabla1[[#This Row],[N° pedido compra]],InfoFactura!$A$1:$M$51,2,FALSE),"")</f>
        <v/>
      </c>
    </row>
    <row r="136" spans="1:6" x14ac:dyDescent="0.25">
      <c r="A136" s="28"/>
      <c r="B136" s="29" t="s">
        <v>135</v>
      </c>
      <c r="C136" s="10"/>
      <c r="D136" s="10"/>
      <c r="E136" s="10"/>
      <c r="F136" s="31" t="str">
        <f>IFERROR(VLOOKUP(Tabla1[[#This Row],[N° pedido compra]],InfoFactura!$A$1:$M$51,2,FALSE),"")</f>
        <v/>
      </c>
    </row>
    <row r="137" spans="1:6" x14ac:dyDescent="0.25">
      <c r="A137" s="28"/>
      <c r="B137" s="29" t="s">
        <v>136</v>
      </c>
      <c r="C137" s="10"/>
      <c r="D137" s="10"/>
      <c r="E137" s="10"/>
      <c r="F137" s="31" t="str">
        <f>IFERROR(VLOOKUP(Tabla1[[#This Row],[N° pedido compra]],InfoFactura!$A$1:$M$51,2,FALSE),"")</f>
        <v/>
      </c>
    </row>
    <row r="138" spans="1:6" x14ac:dyDescent="0.25">
      <c r="A138" s="28"/>
      <c r="B138" s="29" t="s">
        <v>137</v>
      </c>
      <c r="C138" s="10"/>
      <c r="D138" s="10"/>
      <c r="E138" s="10"/>
      <c r="F138" s="31" t="str">
        <f>IFERROR(VLOOKUP(Tabla1[[#This Row],[N° pedido compra]],InfoFactura!$A$1:$M$51,2,FALSE),"")</f>
        <v/>
      </c>
    </row>
    <row r="139" spans="1:6" x14ac:dyDescent="0.25">
      <c r="A139" s="28"/>
      <c r="B139" s="29" t="s">
        <v>138</v>
      </c>
      <c r="C139" s="10"/>
      <c r="D139" s="10"/>
      <c r="E139" s="10"/>
      <c r="F139" s="31" t="str">
        <f>IFERROR(VLOOKUP(Tabla1[[#This Row],[N° pedido compra]],InfoFactura!$A$1:$M$51,2,FALSE),"")</f>
        <v/>
      </c>
    </row>
    <row r="140" spans="1:6" x14ac:dyDescent="0.25">
      <c r="A140" s="28"/>
      <c r="B140" s="29" t="s">
        <v>139</v>
      </c>
      <c r="C140" s="10"/>
      <c r="D140" s="10"/>
      <c r="E140" s="10"/>
      <c r="F140" s="31" t="str">
        <f>IFERROR(VLOOKUP(Tabla1[[#This Row],[N° pedido compra]],InfoFactura!$A$1:$M$51,2,FALSE),"")</f>
        <v/>
      </c>
    </row>
    <row r="141" spans="1:6" x14ac:dyDescent="0.25">
      <c r="A141" s="28"/>
      <c r="B141" s="29" t="s">
        <v>140</v>
      </c>
      <c r="C141" s="10"/>
      <c r="D141" s="10"/>
      <c r="E141" s="10"/>
      <c r="F141" s="31" t="str">
        <f>IFERROR(VLOOKUP(Tabla1[[#This Row],[N° pedido compra]],InfoFactura!$A$1:$M$51,2,FALSE),"")</f>
        <v/>
      </c>
    </row>
    <row r="142" spans="1:6" x14ac:dyDescent="0.25">
      <c r="A142" s="28"/>
      <c r="B142" s="29" t="s">
        <v>141</v>
      </c>
      <c r="C142" s="10"/>
      <c r="D142" s="10"/>
      <c r="E142" s="10"/>
      <c r="F142" s="31" t="str">
        <f>IFERROR(VLOOKUP(Tabla1[[#This Row],[N° pedido compra]],InfoFactura!$A$1:$M$51,2,FALSE),"")</f>
        <v/>
      </c>
    </row>
    <row r="143" spans="1:6" x14ac:dyDescent="0.25">
      <c r="A143" s="28"/>
      <c r="B143" s="29" t="s">
        <v>142</v>
      </c>
      <c r="C143" s="10"/>
      <c r="D143" s="10"/>
      <c r="E143" s="10"/>
      <c r="F143" s="31" t="str">
        <f>IFERROR(VLOOKUP(Tabla1[[#This Row],[N° pedido compra]],InfoFactura!$A$1:$M$51,2,FALSE),"")</f>
        <v/>
      </c>
    </row>
    <row r="144" spans="1:6" x14ac:dyDescent="0.25">
      <c r="A144" s="28"/>
      <c r="B144" s="29" t="s">
        <v>143</v>
      </c>
      <c r="C144" s="10"/>
      <c r="D144" s="10"/>
      <c r="E144" s="10"/>
      <c r="F144" s="31" t="str">
        <f>IFERROR(VLOOKUP(Tabla1[[#This Row],[N° pedido compra]],InfoFactura!$A$1:$M$51,2,FALSE),"")</f>
        <v/>
      </c>
    </row>
    <row r="145" spans="1:6" x14ac:dyDescent="0.25">
      <c r="A145" s="28"/>
      <c r="B145" s="29" t="s">
        <v>144</v>
      </c>
      <c r="C145" s="10"/>
      <c r="D145" s="10"/>
      <c r="E145" s="10"/>
      <c r="F145" s="31" t="str">
        <f>IFERROR(VLOOKUP(Tabla1[[#This Row],[N° pedido compra]],InfoFactura!$A$1:$M$51,2,FALSE),"")</f>
        <v/>
      </c>
    </row>
    <row r="146" spans="1:6" x14ac:dyDescent="0.25">
      <c r="A146" s="28"/>
      <c r="B146" s="29" t="s">
        <v>145</v>
      </c>
      <c r="C146" s="10"/>
      <c r="D146" s="10"/>
      <c r="E146" s="10"/>
      <c r="F146" s="31" t="str">
        <f>IFERROR(VLOOKUP(Tabla1[[#This Row],[N° pedido compra]],InfoFactura!$A$1:$M$51,2,FALSE),"")</f>
        <v/>
      </c>
    </row>
    <row r="147" spans="1:6" x14ac:dyDescent="0.25">
      <c r="A147" s="28"/>
      <c r="B147" s="29" t="s">
        <v>146</v>
      </c>
      <c r="C147" s="10"/>
      <c r="D147" s="10"/>
      <c r="E147" s="10"/>
      <c r="F147" s="31" t="str">
        <f>IFERROR(VLOOKUP(Tabla1[[#This Row],[N° pedido compra]],InfoFactura!$A$1:$M$51,2,FALSE),"")</f>
        <v/>
      </c>
    </row>
    <row r="148" spans="1:6" x14ac:dyDescent="0.25">
      <c r="A148" s="28"/>
      <c r="B148" s="29" t="s">
        <v>147</v>
      </c>
      <c r="C148" s="10"/>
      <c r="D148" s="10"/>
      <c r="E148" s="10"/>
      <c r="F148" s="31" t="str">
        <f>IFERROR(VLOOKUP(Tabla1[[#This Row],[N° pedido compra]],InfoFactura!$A$1:$M$51,2,FALSE),"")</f>
        <v/>
      </c>
    </row>
    <row r="149" spans="1:6" x14ac:dyDescent="0.25">
      <c r="A149" s="28"/>
      <c r="B149" s="29" t="s">
        <v>148</v>
      </c>
      <c r="C149" s="10"/>
      <c r="D149" s="10"/>
      <c r="E149" s="10"/>
      <c r="F149" s="31" t="str">
        <f>IFERROR(VLOOKUP(Tabla1[[#This Row],[N° pedido compra]],InfoFactura!$A$1:$M$51,2,FALSE),"")</f>
        <v/>
      </c>
    </row>
    <row r="150" spans="1:6" x14ac:dyDescent="0.25">
      <c r="A150" s="28"/>
      <c r="B150" s="29" t="s">
        <v>149</v>
      </c>
      <c r="C150" s="10"/>
      <c r="D150" s="10"/>
      <c r="E150" s="10"/>
      <c r="F150" s="31" t="str">
        <f>IFERROR(VLOOKUP(Tabla1[[#This Row],[N° pedido compra]],InfoFactura!$A$1:$M$51,2,FALSE),"")</f>
        <v/>
      </c>
    </row>
    <row r="151" spans="1:6" x14ac:dyDescent="0.25">
      <c r="A151" s="28"/>
      <c r="B151" s="29" t="s">
        <v>150</v>
      </c>
      <c r="C151" s="10"/>
      <c r="D151" s="10"/>
      <c r="E151" s="10"/>
      <c r="F151" s="31" t="str">
        <f>IFERROR(VLOOKUP(Tabla1[[#This Row],[N° pedido compra]],InfoFactura!$A$1:$M$51,2,FALSE),"")</f>
        <v/>
      </c>
    </row>
    <row r="152" spans="1:6" x14ac:dyDescent="0.25">
      <c r="A152" s="28"/>
      <c r="B152" s="29" t="s">
        <v>151</v>
      </c>
      <c r="C152" s="10"/>
      <c r="D152" s="10"/>
      <c r="E152" s="10"/>
      <c r="F152" s="31" t="str">
        <f>IFERROR(VLOOKUP(Tabla1[[#This Row],[N° pedido compra]],InfoFactura!$A$1:$M$51,2,FALSE),"")</f>
        <v/>
      </c>
    </row>
    <row r="153" spans="1:6" x14ac:dyDescent="0.25">
      <c r="A153" s="28"/>
      <c r="B153" s="29" t="s">
        <v>152</v>
      </c>
      <c r="C153" s="10"/>
      <c r="D153" s="10"/>
      <c r="E153" s="10"/>
      <c r="F153" s="31" t="str">
        <f>IFERROR(VLOOKUP(Tabla1[[#This Row],[N° pedido compra]],InfoFactura!$A$1:$M$51,2,FALSE),"")</f>
        <v/>
      </c>
    </row>
    <row r="154" spans="1:6" x14ac:dyDescent="0.25">
      <c r="A154" s="28"/>
      <c r="B154" s="29" t="s">
        <v>153</v>
      </c>
      <c r="C154" s="10"/>
      <c r="D154" s="10"/>
      <c r="E154" s="10"/>
      <c r="F154" s="31" t="str">
        <f>IFERROR(VLOOKUP(Tabla1[[#This Row],[N° pedido compra]],InfoFactura!$A$1:$M$51,2,FALSE),"")</f>
        <v/>
      </c>
    </row>
    <row r="155" spans="1:6" x14ac:dyDescent="0.25">
      <c r="A155" s="28"/>
      <c r="B155" s="29" t="s">
        <v>154</v>
      </c>
      <c r="C155" s="10"/>
      <c r="D155" s="10"/>
      <c r="E155" s="10"/>
      <c r="F155" s="31" t="str">
        <f>IFERROR(VLOOKUP(Tabla1[[#This Row],[N° pedido compra]],InfoFactura!$A$1:$M$51,2,FALSE),"")</f>
        <v/>
      </c>
    </row>
    <row r="156" spans="1:6" x14ac:dyDescent="0.25">
      <c r="A156" s="28"/>
      <c r="B156" s="29" t="s">
        <v>155</v>
      </c>
      <c r="C156" s="10"/>
      <c r="D156" s="10"/>
      <c r="E156" s="10"/>
      <c r="F156" s="31" t="str">
        <f>IFERROR(VLOOKUP(Tabla1[[#This Row],[N° pedido compra]],InfoFactura!$A$1:$M$51,2,FALSE),"")</f>
        <v/>
      </c>
    </row>
    <row r="157" spans="1:6" x14ac:dyDescent="0.25">
      <c r="A157" s="28"/>
      <c r="B157" s="29" t="s">
        <v>156</v>
      </c>
      <c r="C157" s="10"/>
      <c r="D157" s="10"/>
      <c r="E157" s="10"/>
      <c r="F157" s="31" t="str">
        <f>IFERROR(VLOOKUP(Tabla1[[#This Row],[N° pedido compra]],InfoFactura!$A$1:$M$51,2,FALSE),"")</f>
        <v/>
      </c>
    </row>
    <row r="158" spans="1:6" x14ac:dyDescent="0.25">
      <c r="A158" s="28"/>
      <c r="B158" s="29" t="s">
        <v>157</v>
      </c>
      <c r="C158" s="10"/>
      <c r="D158" s="10"/>
      <c r="E158" s="10"/>
      <c r="F158" s="31" t="str">
        <f>IFERROR(VLOOKUP(Tabla1[[#This Row],[N° pedido compra]],InfoFactura!$A$1:$M$51,2,FALSE),"")</f>
        <v/>
      </c>
    </row>
    <row r="159" spans="1:6" x14ac:dyDescent="0.25">
      <c r="A159" s="28"/>
      <c r="B159" s="29" t="s">
        <v>158</v>
      </c>
      <c r="C159" s="10"/>
      <c r="D159" s="10"/>
      <c r="E159" s="10"/>
      <c r="F159" s="31" t="str">
        <f>IFERROR(VLOOKUP(Tabla1[[#This Row],[N° pedido compra]],InfoFactura!$A$1:$M$51,2,FALSE),"")</f>
        <v/>
      </c>
    </row>
    <row r="160" spans="1:6" x14ac:dyDescent="0.25">
      <c r="A160" s="28"/>
      <c r="B160" s="29" t="s">
        <v>159</v>
      </c>
      <c r="C160" s="10"/>
      <c r="D160" s="10"/>
      <c r="E160" s="10"/>
      <c r="F160" s="31" t="str">
        <f>IFERROR(VLOOKUP(Tabla1[[#This Row],[N° pedido compra]],InfoFactura!$A$1:$M$51,2,FALSE),"")</f>
        <v/>
      </c>
    </row>
    <row r="161" spans="1:6" x14ac:dyDescent="0.25">
      <c r="A161" s="28"/>
      <c r="B161" s="29" t="s">
        <v>160</v>
      </c>
      <c r="C161" s="10"/>
      <c r="D161" s="10"/>
      <c r="E161" s="10"/>
      <c r="F161" s="31" t="str">
        <f>IFERROR(VLOOKUP(Tabla1[[#This Row],[N° pedido compra]],InfoFactura!$A$1:$M$51,2,FALSE),"")</f>
        <v/>
      </c>
    </row>
    <row r="162" spans="1:6" x14ac:dyDescent="0.25">
      <c r="A162" s="28"/>
      <c r="B162" s="29" t="s">
        <v>161</v>
      </c>
      <c r="C162" s="10"/>
      <c r="D162" s="10"/>
      <c r="E162" s="10"/>
      <c r="F162" s="31" t="str">
        <f>IFERROR(VLOOKUP(Tabla1[[#This Row],[N° pedido compra]],InfoFactura!$A$1:$M$51,2,FALSE),"")</f>
        <v/>
      </c>
    </row>
    <row r="163" spans="1:6" x14ac:dyDescent="0.25">
      <c r="A163" s="28"/>
      <c r="B163" s="29" t="s">
        <v>162</v>
      </c>
      <c r="C163" s="10"/>
      <c r="D163" s="10"/>
      <c r="E163" s="10"/>
      <c r="F163" s="31" t="str">
        <f>IFERROR(VLOOKUP(Tabla1[[#This Row],[N° pedido compra]],InfoFactura!$A$1:$M$51,2,FALSE),"")</f>
        <v/>
      </c>
    </row>
    <row r="164" spans="1:6" x14ac:dyDescent="0.25">
      <c r="A164" s="28"/>
      <c r="B164" s="29" t="s">
        <v>163</v>
      </c>
      <c r="C164" s="10"/>
      <c r="D164" s="10"/>
      <c r="E164" s="10"/>
      <c r="F164" s="31" t="str">
        <f>IFERROR(VLOOKUP(Tabla1[[#This Row],[N° pedido compra]],InfoFactura!$A$1:$M$51,2,FALSE),"")</f>
        <v/>
      </c>
    </row>
    <row r="165" spans="1:6" x14ac:dyDescent="0.25">
      <c r="A165" s="28"/>
      <c r="B165" s="29" t="s">
        <v>164</v>
      </c>
      <c r="C165" s="10"/>
      <c r="D165" s="10"/>
      <c r="E165" s="10"/>
      <c r="F165" s="31" t="str">
        <f>IFERROR(VLOOKUP(Tabla1[[#This Row],[N° pedido compra]],InfoFactura!$A$1:$M$51,2,FALSE),"")</f>
        <v/>
      </c>
    </row>
    <row r="166" spans="1:6" x14ac:dyDescent="0.25">
      <c r="A166" s="28"/>
      <c r="B166" s="29" t="s">
        <v>165</v>
      </c>
      <c r="C166" s="10"/>
      <c r="D166" s="10"/>
      <c r="E166" s="10"/>
      <c r="F166" s="31" t="str">
        <f>IFERROR(VLOOKUP(Tabla1[[#This Row],[N° pedido compra]],InfoFactura!$A$1:$M$51,2,FALSE),"")</f>
        <v/>
      </c>
    </row>
    <row r="167" spans="1:6" x14ac:dyDescent="0.25">
      <c r="A167" s="28"/>
      <c r="B167" s="29" t="s">
        <v>166</v>
      </c>
      <c r="C167" s="10"/>
      <c r="D167" s="10"/>
      <c r="E167" s="10"/>
      <c r="F167" s="31" t="str">
        <f>IFERROR(VLOOKUP(Tabla1[[#This Row],[N° pedido compra]],InfoFactura!$A$1:$M$51,2,FALSE),"")</f>
        <v/>
      </c>
    </row>
    <row r="168" spans="1:6" x14ac:dyDescent="0.25">
      <c r="A168" s="28"/>
      <c r="B168" s="29" t="s">
        <v>167</v>
      </c>
      <c r="C168" s="10"/>
      <c r="D168" s="10"/>
      <c r="E168" s="10"/>
      <c r="F168" s="31" t="str">
        <f>IFERROR(VLOOKUP(Tabla1[[#This Row],[N° pedido compra]],InfoFactura!$A$1:$M$51,2,FALSE),"")</f>
        <v/>
      </c>
    </row>
    <row r="169" spans="1:6" x14ac:dyDescent="0.25">
      <c r="A169" s="28"/>
      <c r="B169" s="29" t="s">
        <v>168</v>
      </c>
      <c r="C169" s="10"/>
      <c r="D169" s="10"/>
      <c r="E169" s="10"/>
      <c r="F169" s="31" t="str">
        <f>IFERROR(VLOOKUP(Tabla1[[#This Row],[N° pedido compra]],InfoFactura!$A$1:$M$51,2,FALSE),"")</f>
        <v/>
      </c>
    </row>
    <row r="170" spans="1:6" x14ac:dyDescent="0.25">
      <c r="A170" s="28"/>
      <c r="B170" s="29" t="s">
        <v>169</v>
      </c>
      <c r="C170" s="10"/>
      <c r="D170" s="10"/>
      <c r="E170" s="10"/>
      <c r="F170" s="31" t="str">
        <f>IFERROR(VLOOKUP(Tabla1[[#This Row],[N° pedido compra]],InfoFactura!$A$1:$M$51,2,FALSE),"")</f>
        <v/>
      </c>
    </row>
    <row r="171" spans="1:6" x14ac:dyDescent="0.25">
      <c r="A171" s="28"/>
      <c r="B171" s="29" t="s">
        <v>170</v>
      </c>
      <c r="C171" s="10"/>
      <c r="D171" s="10"/>
      <c r="E171" s="10"/>
      <c r="F171" s="31" t="str">
        <f>IFERROR(VLOOKUP(Tabla1[[#This Row],[N° pedido compra]],InfoFactura!$A$1:$M$51,2,FALSE),"")</f>
        <v/>
      </c>
    </row>
    <row r="172" spans="1:6" x14ac:dyDescent="0.25">
      <c r="A172" s="28"/>
      <c r="B172" s="29" t="s">
        <v>171</v>
      </c>
      <c r="C172" s="10"/>
      <c r="D172" s="10"/>
      <c r="E172" s="10"/>
      <c r="F172" s="31" t="str">
        <f>IFERROR(VLOOKUP(Tabla1[[#This Row],[N° pedido compra]],InfoFactura!$A$1:$M$51,2,FALSE),"")</f>
        <v/>
      </c>
    </row>
    <row r="173" spans="1:6" x14ac:dyDescent="0.25">
      <c r="A173" s="28"/>
      <c r="B173" s="29" t="s">
        <v>172</v>
      </c>
      <c r="C173" s="10"/>
      <c r="D173" s="10"/>
      <c r="E173" s="10"/>
      <c r="F173" s="31" t="str">
        <f>IFERROR(VLOOKUP(Tabla1[[#This Row],[N° pedido compra]],InfoFactura!$A$1:$M$51,2,FALSE),"")</f>
        <v/>
      </c>
    </row>
    <row r="174" spans="1:6" x14ac:dyDescent="0.25">
      <c r="A174" s="28"/>
      <c r="B174" s="29" t="s">
        <v>173</v>
      </c>
      <c r="C174" s="10"/>
      <c r="D174" s="10"/>
      <c r="E174" s="10"/>
      <c r="F174" s="31" t="str">
        <f>IFERROR(VLOOKUP(Tabla1[[#This Row],[N° pedido compra]],InfoFactura!$A$1:$M$51,2,FALSE),"")</f>
        <v/>
      </c>
    </row>
    <row r="175" spans="1:6" x14ac:dyDescent="0.25">
      <c r="A175" s="28"/>
      <c r="B175" s="29" t="s">
        <v>174</v>
      </c>
      <c r="C175" s="10"/>
      <c r="D175" s="10"/>
      <c r="E175" s="10"/>
      <c r="F175" s="31" t="str">
        <f>IFERROR(VLOOKUP(Tabla1[[#This Row],[N° pedido compra]],InfoFactura!$A$1:$M$51,2,FALSE),"")</f>
        <v/>
      </c>
    </row>
    <row r="176" spans="1:6" x14ac:dyDescent="0.25">
      <c r="A176" s="28"/>
      <c r="B176" s="29" t="s">
        <v>175</v>
      </c>
      <c r="C176" s="10"/>
      <c r="D176" s="10"/>
      <c r="E176" s="10"/>
      <c r="F176" s="31" t="str">
        <f>IFERROR(VLOOKUP(Tabla1[[#This Row],[N° pedido compra]],InfoFactura!$A$1:$M$51,2,FALSE),"")</f>
        <v/>
      </c>
    </row>
    <row r="177" spans="1:6" x14ac:dyDescent="0.25">
      <c r="A177" s="28"/>
      <c r="B177" s="29" t="s">
        <v>176</v>
      </c>
      <c r="C177" s="10"/>
      <c r="D177" s="10"/>
      <c r="E177" s="10"/>
      <c r="F177" s="31" t="str">
        <f>IFERROR(VLOOKUP(Tabla1[[#This Row],[N° pedido compra]],InfoFactura!$A$1:$M$51,2,FALSE),"")</f>
        <v/>
      </c>
    </row>
    <row r="178" spans="1:6" x14ac:dyDescent="0.25">
      <c r="A178" s="28"/>
      <c r="B178" s="29" t="s">
        <v>177</v>
      </c>
      <c r="C178" s="10"/>
      <c r="D178" s="10"/>
      <c r="E178" s="10"/>
      <c r="F178" s="31" t="str">
        <f>IFERROR(VLOOKUP(Tabla1[[#This Row],[N° pedido compra]],InfoFactura!$A$1:$M$51,2,FALSE),"")</f>
        <v/>
      </c>
    </row>
    <row r="179" spans="1:6" x14ac:dyDescent="0.25">
      <c r="A179" s="28"/>
      <c r="B179" s="29" t="s">
        <v>178</v>
      </c>
      <c r="C179" s="10"/>
      <c r="D179" s="10"/>
      <c r="E179" s="10"/>
      <c r="F179" s="31" t="str">
        <f>IFERROR(VLOOKUP(Tabla1[[#This Row],[N° pedido compra]],InfoFactura!$A$1:$M$51,2,FALSE),"")</f>
        <v/>
      </c>
    </row>
    <row r="180" spans="1:6" x14ac:dyDescent="0.25">
      <c r="A180" s="28"/>
      <c r="B180" s="29" t="s">
        <v>179</v>
      </c>
      <c r="C180" s="10"/>
      <c r="D180" s="10"/>
      <c r="E180" s="10"/>
      <c r="F180" s="31" t="str">
        <f>IFERROR(VLOOKUP(Tabla1[[#This Row],[N° pedido compra]],InfoFactura!$A$1:$M$51,2,FALSE),"")</f>
        <v/>
      </c>
    </row>
    <row r="181" spans="1:6" x14ac:dyDescent="0.25">
      <c r="A181" s="28"/>
      <c r="B181" s="29" t="s">
        <v>180</v>
      </c>
      <c r="C181" s="10"/>
      <c r="D181" s="10"/>
      <c r="E181" s="10"/>
      <c r="F181" s="31" t="str">
        <f>IFERROR(VLOOKUP(Tabla1[[#This Row],[N° pedido compra]],InfoFactura!$A$1:$M$51,2,FALSE),"")</f>
        <v/>
      </c>
    </row>
    <row r="182" spans="1:6" x14ac:dyDescent="0.25">
      <c r="A182" s="28"/>
      <c r="B182" s="29" t="s">
        <v>181</v>
      </c>
      <c r="C182" s="10"/>
      <c r="D182" s="10"/>
      <c r="E182" s="10"/>
      <c r="F182" s="31" t="str">
        <f>IFERROR(VLOOKUP(Tabla1[[#This Row],[N° pedido compra]],InfoFactura!$A$1:$M$51,2,FALSE),"")</f>
        <v/>
      </c>
    </row>
    <row r="183" spans="1:6" x14ac:dyDescent="0.25">
      <c r="A183" s="28"/>
      <c r="B183" s="29" t="s">
        <v>182</v>
      </c>
      <c r="C183" s="10"/>
      <c r="D183" s="10"/>
      <c r="E183" s="10"/>
      <c r="F183" s="31" t="str">
        <f>IFERROR(VLOOKUP(Tabla1[[#This Row],[N° pedido compra]],InfoFactura!$A$1:$M$51,2,FALSE),"")</f>
        <v/>
      </c>
    </row>
    <row r="184" spans="1:6" x14ac:dyDescent="0.25">
      <c r="A184" s="28"/>
      <c r="B184" s="29" t="s">
        <v>183</v>
      </c>
      <c r="C184" s="10"/>
      <c r="D184" s="10"/>
      <c r="E184" s="10"/>
      <c r="F184" s="31" t="str">
        <f>IFERROR(VLOOKUP(Tabla1[[#This Row],[N° pedido compra]],InfoFactura!$A$1:$M$51,2,FALSE),"")</f>
        <v/>
      </c>
    </row>
    <row r="185" spans="1:6" x14ac:dyDescent="0.25">
      <c r="A185" s="28"/>
      <c r="B185" s="29" t="s">
        <v>184</v>
      </c>
      <c r="C185" s="10"/>
      <c r="D185" s="10"/>
      <c r="E185" s="10"/>
      <c r="F185" s="31" t="str">
        <f>IFERROR(VLOOKUP(Tabla1[[#This Row],[N° pedido compra]],InfoFactura!$A$1:$M$51,2,FALSE),"")</f>
        <v/>
      </c>
    </row>
    <row r="186" spans="1:6" x14ac:dyDescent="0.25">
      <c r="A186" s="28"/>
      <c r="B186" s="29" t="s">
        <v>185</v>
      </c>
      <c r="C186" s="10"/>
      <c r="D186" s="10"/>
      <c r="E186" s="10"/>
      <c r="F186" s="31" t="str">
        <f>IFERROR(VLOOKUP(Tabla1[[#This Row],[N° pedido compra]],InfoFactura!$A$1:$M$51,2,FALSE),"")</f>
        <v/>
      </c>
    </row>
    <row r="187" spans="1:6" x14ac:dyDescent="0.25">
      <c r="A187" s="28"/>
      <c r="B187" s="29" t="s">
        <v>186</v>
      </c>
      <c r="C187" s="10"/>
      <c r="D187" s="10"/>
      <c r="E187" s="10"/>
      <c r="F187" s="31" t="str">
        <f>IFERROR(VLOOKUP(Tabla1[[#This Row],[N° pedido compra]],InfoFactura!$A$1:$M$51,2,FALSE),"")</f>
        <v/>
      </c>
    </row>
    <row r="188" spans="1:6" x14ac:dyDescent="0.25">
      <c r="A188" s="28"/>
      <c r="B188" s="29" t="s">
        <v>187</v>
      </c>
      <c r="C188" s="10"/>
      <c r="D188" s="10"/>
      <c r="E188" s="10"/>
      <c r="F188" s="31" t="str">
        <f>IFERROR(VLOOKUP(Tabla1[[#This Row],[N° pedido compra]],InfoFactura!$A$1:$M$51,2,FALSE),"")</f>
        <v/>
      </c>
    </row>
    <row r="189" spans="1:6" x14ac:dyDescent="0.25">
      <c r="A189" s="28"/>
      <c r="B189" s="29" t="s">
        <v>188</v>
      </c>
      <c r="C189" s="10"/>
      <c r="D189" s="10"/>
      <c r="E189" s="10"/>
      <c r="F189" s="31" t="str">
        <f>IFERROR(VLOOKUP(Tabla1[[#This Row],[N° pedido compra]],InfoFactura!$A$1:$M$51,2,FALSE),"")</f>
        <v/>
      </c>
    </row>
    <row r="190" spans="1:6" x14ac:dyDescent="0.25">
      <c r="A190" s="28"/>
      <c r="B190" s="29" t="s">
        <v>189</v>
      </c>
      <c r="C190" s="10"/>
      <c r="D190" s="10"/>
      <c r="E190" s="10"/>
      <c r="F190" s="31" t="str">
        <f>IFERROR(VLOOKUP(Tabla1[[#This Row],[N° pedido compra]],InfoFactura!$A$1:$M$51,2,FALSE),"")</f>
        <v/>
      </c>
    </row>
    <row r="191" spans="1:6" x14ac:dyDescent="0.25">
      <c r="A191" s="28"/>
      <c r="B191" s="29" t="s">
        <v>190</v>
      </c>
      <c r="C191" s="10"/>
      <c r="D191" s="10"/>
      <c r="E191" s="10"/>
      <c r="F191" s="31" t="str">
        <f>IFERROR(VLOOKUP(Tabla1[[#This Row],[N° pedido compra]],InfoFactura!$A$1:$M$51,2,FALSE),"")</f>
        <v/>
      </c>
    </row>
    <row r="192" spans="1:6" x14ac:dyDescent="0.25">
      <c r="A192" s="28"/>
      <c r="B192" s="29" t="s">
        <v>191</v>
      </c>
      <c r="C192" s="10"/>
      <c r="D192" s="10"/>
      <c r="E192" s="10"/>
      <c r="F192" s="31" t="str">
        <f>IFERROR(VLOOKUP(Tabla1[[#This Row],[N° pedido compra]],InfoFactura!$A$1:$M$51,2,FALSE),"")</f>
        <v/>
      </c>
    </row>
    <row r="193" spans="1:6" x14ac:dyDescent="0.25">
      <c r="A193" s="28"/>
      <c r="B193" s="29" t="s">
        <v>192</v>
      </c>
      <c r="C193" s="10"/>
      <c r="D193" s="10"/>
      <c r="E193" s="10"/>
      <c r="F193" s="31" t="str">
        <f>IFERROR(VLOOKUP(Tabla1[[#This Row],[N° pedido compra]],InfoFactura!$A$1:$M$51,2,FALSE),"")</f>
        <v/>
      </c>
    </row>
    <row r="194" spans="1:6" x14ac:dyDescent="0.25">
      <c r="A194" s="28"/>
      <c r="B194" s="29" t="s">
        <v>193</v>
      </c>
      <c r="C194" s="10"/>
      <c r="D194" s="10"/>
      <c r="E194" s="10"/>
      <c r="F194" s="31" t="str">
        <f>IFERROR(VLOOKUP(Tabla1[[#This Row],[N° pedido compra]],InfoFactura!$A$1:$M$51,2,FALSE),"")</f>
        <v/>
      </c>
    </row>
    <row r="195" spans="1:6" x14ac:dyDescent="0.25">
      <c r="A195" s="28"/>
      <c r="B195" s="29" t="s">
        <v>194</v>
      </c>
      <c r="C195" s="10"/>
      <c r="D195" s="10"/>
      <c r="E195" s="10"/>
      <c r="F195" s="31" t="str">
        <f>IFERROR(VLOOKUP(Tabla1[[#This Row],[N° pedido compra]],InfoFactura!$A$1:$M$51,2,FALSE),"")</f>
        <v/>
      </c>
    </row>
    <row r="196" spans="1:6" x14ac:dyDescent="0.25">
      <c r="A196" s="28"/>
      <c r="B196" s="29" t="s">
        <v>195</v>
      </c>
      <c r="C196" s="10"/>
      <c r="D196" s="10"/>
      <c r="E196" s="10"/>
      <c r="F196" s="31" t="str">
        <f>IFERROR(VLOOKUP(Tabla1[[#This Row],[N° pedido compra]],InfoFactura!$A$1:$M$51,2,FALSE),"")</f>
        <v/>
      </c>
    </row>
    <row r="197" spans="1:6" x14ac:dyDescent="0.25">
      <c r="A197" s="28"/>
      <c r="B197" s="29" t="s">
        <v>196</v>
      </c>
      <c r="C197" s="10"/>
      <c r="D197" s="10"/>
      <c r="E197" s="10"/>
      <c r="F197" s="31" t="str">
        <f>IFERROR(VLOOKUP(Tabla1[[#This Row],[N° pedido compra]],InfoFactura!$A$1:$M$51,2,FALSE),"")</f>
        <v/>
      </c>
    </row>
    <row r="198" spans="1:6" x14ac:dyDescent="0.25">
      <c r="A198" s="28"/>
      <c r="B198" s="29" t="s">
        <v>197</v>
      </c>
      <c r="C198" s="10"/>
      <c r="D198" s="10"/>
      <c r="E198" s="10"/>
      <c r="F198" s="31" t="str">
        <f>IFERROR(VLOOKUP(Tabla1[[#This Row],[N° pedido compra]],InfoFactura!$A$1:$M$51,2,FALSE),"")</f>
        <v/>
      </c>
    </row>
    <row r="199" spans="1:6" x14ac:dyDescent="0.25">
      <c r="A199" s="28"/>
      <c r="B199" s="29" t="s">
        <v>198</v>
      </c>
      <c r="C199" s="10"/>
      <c r="D199" s="10"/>
      <c r="E199" s="10"/>
      <c r="F199" s="31" t="str">
        <f>IFERROR(VLOOKUP(Tabla1[[#This Row],[N° pedido compra]],InfoFactura!$A$1:$M$51,2,FALSE),"")</f>
        <v/>
      </c>
    </row>
    <row r="200" spans="1:6" x14ac:dyDescent="0.25">
      <c r="A200" s="28"/>
      <c r="B200" s="29" t="s">
        <v>199</v>
      </c>
      <c r="C200" s="10"/>
      <c r="D200" s="10"/>
      <c r="E200" s="10"/>
      <c r="F200" s="31" t="str">
        <f>IFERROR(VLOOKUP(Tabla1[[#This Row],[N° pedido compra]],InfoFactura!$A$1:$M$51,2,FALSE),"")</f>
        <v/>
      </c>
    </row>
    <row r="201" spans="1:6" x14ac:dyDescent="0.25">
      <c r="A201" s="28"/>
      <c r="B201" s="29" t="s">
        <v>200</v>
      </c>
      <c r="C201" s="10"/>
      <c r="D201" s="10"/>
      <c r="E201" s="10"/>
      <c r="F201" s="31" t="str">
        <f>IFERROR(VLOOKUP(Tabla1[[#This Row],[N° pedido compra]],InfoFactura!$A$1:$M$51,2,FALSE),"")</f>
        <v/>
      </c>
    </row>
    <row r="202" spans="1:6" x14ac:dyDescent="0.25">
      <c r="A202" s="28"/>
      <c r="B202" s="29" t="s">
        <v>201</v>
      </c>
      <c r="C202" s="10"/>
      <c r="D202" s="10"/>
      <c r="E202" s="10"/>
      <c r="F202" s="31" t="str">
        <f>IFERROR(VLOOKUP(Tabla1[[#This Row],[N° pedido compra]],InfoFactura!$A$1:$M$51,2,FALSE),"")</f>
        <v/>
      </c>
    </row>
    <row r="203" spans="1:6" x14ac:dyDescent="0.25">
      <c r="A203" s="28"/>
      <c r="B203" s="29" t="s">
        <v>202</v>
      </c>
      <c r="C203" s="10"/>
      <c r="D203" s="10"/>
      <c r="E203" s="10"/>
      <c r="F203" s="31" t="str">
        <f>IFERROR(VLOOKUP(Tabla1[[#This Row],[N° pedido compra]],InfoFactura!$A$1:$M$51,2,FALSE),"")</f>
        <v/>
      </c>
    </row>
    <row r="204" spans="1:6" x14ac:dyDescent="0.25">
      <c r="A204" s="28"/>
      <c r="B204" s="29" t="s">
        <v>203</v>
      </c>
      <c r="C204" s="10"/>
      <c r="D204" s="10"/>
      <c r="E204" s="10"/>
      <c r="F204" s="31" t="str">
        <f>IFERROR(VLOOKUP(Tabla1[[#This Row],[N° pedido compra]],InfoFactura!$A$1:$M$51,2,FALSE),"")</f>
        <v/>
      </c>
    </row>
    <row r="205" spans="1:6" x14ac:dyDescent="0.25">
      <c r="A205" s="28"/>
      <c r="B205" s="29" t="s">
        <v>204</v>
      </c>
      <c r="C205" s="10"/>
      <c r="D205" s="10"/>
      <c r="E205" s="10"/>
      <c r="F205" s="31" t="str">
        <f>IFERROR(VLOOKUP(Tabla1[[#This Row],[N° pedido compra]],InfoFactura!$A$1:$M$51,2,FALSE),"")</f>
        <v/>
      </c>
    </row>
    <row r="206" spans="1:6" x14ac:dyDescent="0.25">
      <c r="A206" s="28"/>
      <c r="B206" s="29" t="s">
        <v>205</v>
      </c>
      <c r="C206" s="10"/>
      <c r="D206" s="10"/>
      <c r="E206" s="10"/>
      <c r="F206" s="31" t="str">
        <f>IFERROR(VLOOKUP(Tabla1[[#This Row],[N° pedido compra]],InfoFactura!$A$1:$M$51,2,FALSE),"")</f>
        <v/>
      </c>
    </row>
    <row r="207" spans="1:6" x14ac:dyDescent="0.25">
      <c r="A207" s="28"/>
      <c r="B207" s="29" t="s">
        <v>206</v>
      </c>
      <c r="C207" s="10"/>
      <c r="D207" s="10"/>
      <c r="E207" s="10"/>
      <c r="F207" s="31" t="str">
        <f>IFERROR(VLOOKUP(Tabla1[[#This Row],[N° pedido compra]],InfoFactura!$A$1:$M$51,2,FALSE),"")</f>
        <v/>
      </c>
    </row>
    <row r="208" spans="1:6" x14ac:dyDescent="0.25">
      <c r="A208" s="28"/>
      <c r="B208" s="29" t="s">
        <v>207</v>
      </c>
      <c r="C208" s="10"/>
      <c r="D208" s="10"/>
      <c r="E208" s="10"/>
      <c r="F208" s="31" t="str">
        <f>IFERROR(VLOOKUP(Tabla1[[#This Row],[N° pedido compra]],InfoFactura!$A$1:$M$51,2,FALSE),"")</f>
        <v/>
      </c>
    </row>
    <row r="209" spans="1:6" x14ac:dyDescent="0.25">
      <c r="A209" s="28"/>
      <c r="B209" s="29" t="s">
        <v>208</v>
      </c>
      <c r="C209" s="10"/>
      <c r="D209" s="10"/>
      <c r="E209" s="10"/>
      <c r="F209" s="31" t="str">
        <f>IFERROR(VLOOKUP(Tabla1[[#This Row],[N° pedido compra]],InfoFactura!$A$1:$M$51,2,FALSE),"")</f>
        <v/>
      </c>
    </row>
    <row r="210" spans="1:6" x14ac:dyDescent="0.25">
      <c r="A210" s="28"/>
      <c r="B210" s="29" t="s">
        <v>209</v>
      </c>
      <c r="C210" s="10"/>
      <c r="D210" s="10"/>
      <c r="E210" s="10"/>
      <c r="F210" s="31" t="str">
        <f>IFERROR(VLOOKUP(Tabla1[[#This Row],[N° pedido compra]],InfoFactura!$A$1:$M$51,2,FALSE),"")</f>
        <v/>
      </c>
    </row>
    <row r="211" spans="1:6" x14ac:dyDescent="0.25">
      <c r="A211" s="28"/>
      <c r="B211" s="29" t="s">
        <v>210</v>
      </c>
      <c r="C211" s="10"/>
      <c r="D211" s="10"/>
      <c r="E211" s="10"/>
      <c r="F211" s="31" t="str">
        <f>IFERROR(VLOOKUP(Tabla1[[#This Row],[N° pedido compra]],InfoFactura!$A$1:$M$51,2,FALSE),"")</f>
        <v/>
      </c>
    </row>
    <row r="212" spans="1:6" x14ac:dyDescent="0.25">
      <c r="A212" s="28"/>
      <c r="B212" s="29" t="s">
        <v>211</v>
      </c>
      <c r="C212" s="10"/>
      <c r="D212" s="10"/>
      <c r="E212" s="10"/>
      <c r="F212" s="31" t="str">
        <f>IFERROR(VLOOKUP(Tabla1[[#This Row],[N° pedido compra]],InfoFactura!$A$1:$M$51,2,FALSE),"")</f>
        <v/>
      </c>
    </row>
    <row r="213" spans="1:6" x14ac:dyDescent="0.25">
      <c r="A213" s="28"/>
      <c r="B213" s="29" t="s">
        <v>212</v>
      </c>
      <c r="C213" s="10"/>
      <c r="D213" s="10"/>
      <c r="E213" s="10"/>
      <c r="F213" s="31" t="str">
        <f>IFERROR(VLOOKUP(Tabla1[[#This Row],[N° pedido compra]],InfoFactura!$A$1:$M$51,2,FALSE),"")</f>
        <v/>
      </c>
    </row>
    <row r="214" spans="1:6" x14ac:dyDescent="0.25">
      <c r="A214" s="28"/>
      <c r="B214" s="29" t="s">
        <v>213</v>
      </c>
      <c r="C214" s="10"/>
      <c r="D214" s="10"/>
      <c r="E214" s="10"/>
      <c r="F214" s="31" t="str">
        <f>IFERROR(VLOOKUP(Tabla1[[#This Row],[N° pedido compra]],InfoFactura!$A$1:$M$51,2,FALSE),"")</f>
        <v/>
      </c>
    </row>
    <row r="215" spans="1:6" x14ac:dyDescent="0.25">
      <c r="A215" s="28"/>
      <c r="B215" s="29" t="s">
        <v>214</v>
      </c>
      <c r="C215" s="10"/>
      <c r="D215" s="10"/>
      <c r="E215" s="10"/>
      <c r="F215" s="31" t="str">
        <f>IFERROR(VLOOKUP(Tabla1[[#This Row],[N° pedido compra]],InfoFactura!$A$1:$M$51,2,FALSE),"")</f>
        <v/>
      </c>
    </row>
    <row r="216" spans="1:6" x14ac:dyDescent="0.25">
      <c r="A216" s="28"/>
      <c r="B216" s="29" t="s">
        <v>215</v>
      </c>
      <c r="C216" s="10"/>
      <c r="D216" s="10"/>
      <c r="E216" s="10"/>
      <c r="F216" s="31" t="str">
        <f>IFERROR(VLOOKUP(Tabla1[[#This Row],[N° pedido compra]],InfoFactura!$A$1:$M$51,2,FALSE),"")</f>
        <v/>
      </c>
    </row>
    <row r="217" spans="1:6" x14ac:dyDescent="0.25">
      <c r="A217" s="28"/>
      <c r="B217" s="29" t="s">
        <v>216</v>
      </c>
      <c r="C217" s="10"/>
      <c r="D217" s="10"/>
      <c r="E217" s="10"/>
      <c r="F217" s="31" t="str">
        <f>IFERROR(VLOOKUP(Tabla1[[#This Row],[N° pedido compra]],InfoFactura!$A$1:$M$51,2,FALSE),"")</f>
        <v/>
      </c>
    </row>
    <row r="218" spans="1:6" x14ac:dyDescent="0.25">
      <c r="A218" s="28"/>
      <c r="B218" s="29" t="s">
        <v>217</v>
      </c>
      <c r="C218" s="10"/>
      <c r="D218" s="10"/>
      <c r="E218" s="10"/>
      <c r="F218" s="31" t="str">
        <f>IFERROR(VLOOKUP(Tabla1[[#This Row],[N° pedido compra]],InfoFactura!$A$1:$M$51,2,FALSE),"")</f>
        <v/>
      </c>
    </row>
    <row r="219" spans="1:6" x14ac:dyDescent="0.25">
      <c r="A219" s="28"/>
      <c r="B219" s="29" t="s">
        <v>218</v>
      </c>
      <c r="C219" s="10"/>
      <c r="D219" s="10"/>
      <c r="E219" s="10"/>
      <c r="F219" s="31" t="str">
        <f>IFERROR(VLOOKUP(Tabla1[[#This Row],[N° pedido compra]],InfoFactura!$A$1:$M$51,2,FALSE),"")</f>
        <v/>
      </c>
    </row>
    <row r="220" spans="1:6" x14ac:dyDescent="0.25">
      <c r="A220" s="28"/>
      <c r="B220" s="29" t="s">
        <v>219</v>
      </c>
      <c r="C220" s="10"/>
      <c r="D220" s="10"/>
      <c r="E220" s="10"/>
      <c r="F220" s="31" t="str">
        <f>IFERROR(VLOOKUP(Tabla1[[#This Row],[N° pedido compra]],InfoFactura!$A$1:$M$51,2,FALSE),"")</f>
        <v/>
      </c>
    </row>
    <row r="221" spans="1:6" x14ac:dyDescent="0.25">
      <c r="A221" s="28"/>
      <c r="B221" s="29" t="s">
        <v>220</v>
      </c>
      <c r="C221" s="10"/>
      <c r="D221" s="10"/>
      <c r="E221" s="10"/>
      <c r="F221" s="31" t="str">
        <f>IFERROR(VLOOKUP(Tabla1[[#This Row],[N° pedido compra]],InfoFactura!$A$1:$M$51,2,FALSE),"")</f>
        <v/>
      </c>
    </row>
    <row r="222" spans="1:6" x14ac:dyDescent="0.25">
      <c r="A222" s="28"/>
      <c r="B222" s="29" t="s">
        <v>221</v>
      </c>
      <c r="C222" s="10"/>
      <c r="D222" s="10"/>
      <c r="E222" s="10"/>
      <c r="F222" s="31" t="str">
        <f>IFERROR(VLOOKUP(Tabla1[[#This Row],[N° pedido compra]],InfoFactura!$A$1:$M$51,2,FALSE),"")</f>
        <v/>
      </c>
    </row>
    <row r="223" spans="1:6" x14ac:dyDescent="0.25">
      <c r="A223" s="28"/>
      <c r="B223" s="29" t="s">
        <v>222</v>
      </c>
      <c r="C223" s="10"/>
      <c r="D223" s="10"/>
      <c r="E223" s="10"/>
      <c r="F223" s="31" t="str">
        <f>IFERROR(VLOOKUP(Tabla1[[#This Row],[N° pedido compra]],InfoFactura!$A$1:$M$51,2,FALSE),"")</f>
        <v/>
      </c>
    </row>
    <row r="224" spans="1:6" x14ac:dyDescent="0.25">
      <c r="A224" s="28"/>
      <c r="B224" s="29" t="s">
        <v>223</v>
      </c>
      <c r="C224" s="10"/>
      <c r="D224" s="10"/>
      <c r="E224" s="10"/>
      <c r="F224" s="31" t="str">
        <f>IFERROR(VLOOKUP(Tabla1[[#This Row],[N° pedido compra]],InfoFactura!$A$1:$M$51,2,FALSE),"")</f>
        <v/>
      </c>
    </row>
    <row r="225" spans="1:6" x14ac:dyDescent="0.25">
      <c r="A225" s="28"/>
      <c r="B225" s="29" t="s">
        <v>224</v>
      </c>
      <c r="C225" s="10"/>
      <c r="D225" s="10"/>
      <c r="E225" s="10"/>
      <c r="F225" s="31" t="str">
        <f>IFERROR(VLOOKUP(Tabla1[[#This Row],[N° pedido compra]],InfoFactura!$A$1:$M$51,2,FALSE),"")</f>
        <v/>
      </c>
    </row>
    <row r="226" spans="1:6" x14ac:dyDescent="0.25">
      <c r="A226" s="28"/>
      <c r="B226" s="29" t="s">
        <v>225</v>
      </c>
      <c r="C226" s="10"/>
      <c r="D226" s="10"/>
      <c r="E226" s="10"/>
      <c r="F226" s="31" t="str">
        <f>IFERROR(VLOOKUP(Tabla1[[#This Row],[N° pedido compra]],InfoFactura!$A$1:$M$51,2,FALSE),"")</f>
        <v/>
      </c>
    </row>
    <row r="227" spans="1:6" x14ac:dyDescent="0.25">
      <c r="A227" s="28"/>
      <c r="B227" s="29" t="s">
        <v>226</v>
      </c>
      <c r="C227" s="10"/>
      <c r="D227" s="10"/>
      <c r="E227" s="10"/>
      <c r="F227" s="31" t="str">
        <f>IFERROR(VLOOKUP(Tabla1[[#This Row],[N° pedido compra]],InfoFactura!$A$1:$M$51,2,FALSE),"")</f>
        <v/>
      </c>
    </row>
    <row r="228" spans="1:6" x14ac:dyDescent="0.25">
      <c r="A228" s="28"/>
      <c r="B228" s="29" t="s">
        <v>227</v>
      </c>
      <c r="C228" s="10"/>
      <c r="D228" s="10"/>
      <c r="E228" s="10"/>
      <c r="F228" s="31" t="str">
        <f>IFERROR(VLOOKUP(Tabla1[[#This Row],[N° pedido compra]],InfoFactura!$A$1:$M$51,2,FALSE),"")</f>
        <v/>
      </c>
    </row>
    <row r="229" spans="1:6" x14ac:dyDescent="0.25">
      <c r="A229" s="28"/>
      <c r="B229" s="29" t="s">
        <v>228</v>
      </c>
      <c r="C229" s="10"/>
      <c r="D229" s="10"/>
      <c r="E229" s="10"/>
      <c r="F229" s="31" t="str">
        <f>IFERROR(VLOOKUP(Tabla1[[#This Row],[N° pedido compra]],InfoFactura!$A$1:$M$51,2,FALSE),"")</f>
        <v/>
      </c>
    </row>
    <row r="230" spans="1:6" x14ac:dyDescent="0.25">
      <c r="A230" s="28"/>
      <c r="B230" s="29" t="s">
        <v>229</v>
      </c>
      <c r="C230" s="10"/>
      <c r="D230" s="10"/>
      <c r="E230" s="10"/>
      <c r="F230" s="31" t="str">
        <f>IFERROR(VLOOKUP(Tabla1[[#This Row],[N° pedido compra]],InfoFactura!$A$1:$M$51,2,FALSE),"")</f>
        <v/>
      </c>
    </row>
    <row r="231" spans="1:6" x14ac:dyDescent="0.25">
      <c r="A231" s="28"/>
      <c r="B231" s="29" t="s">
        <v>230</v>
      </c>
      <c r="C231" s="10"/>
      <c r="D231" s="10"/>
      <c r="E231" s="10"/>
      <c r="F231" s="31" t="str">
        <f>IFERROR(VLOOKUP(Tabla1[[#This Row],[N° pedido compra]],InfoFactura!$A$1:$M$51,2,FALSE),"")</f>
        <v/>
      </c>
    </row>
    <row r="232" spans="1:6" x14ac:dyDescent="0.25">
      <c r="A232" s="28"/>
      <c r="B232" s="29" t="s">
        <v>231</v>
      </c>
      <c r="C232" s="10"/>
      <c r="D232" s="10"/>
      <c r="E232" s="10"/>
      <c r="F232" s="31" t="str">
        <f>IFERROR(VLOOKUP(Tabla1[[#This Row],[N° pedido compra]],InfoFactura!$A$1:$M$51,2,FALSE),"")</f>
        <v/>
      </c>
    </row>
    <row r="233" spans="1:6" x14ac:dyDescent="0.25">
      <c r="A233" s="28"/>
      <c r="B233" s="29" t="s">
        <v>232</v>
      </c>
      <c r="C233" s="10"/>
      <c r="D233" s="10"/>
      <c r="E233" s="10"/>
      <c r="F233" s="31" t="str">
        <f>IFERROR(VLOOKUP(Tabla1[[#This Row],[N° pedido compra]],InfoFactura!$A$1:$M$51,2,FALSE),"")</f>
        <v/>
      </c>
    </row>
    <row r="234" spans="1:6" x14ac:dyDescent="0.25">
      <c r="A234" s="28"/>
      <c r="B234" s="29" t="s">
        <v>233</v>
      </c>
      <c r="C234" s="10"/>
      <c r="D234" s="10"/>
      <c r="E234" s="10"/>
      <c r="F234" s="31" t="str">
        <f>IFERROR(VLOOKUP(Tabla1[[#This Row],[N° pedido compra]],InfoFactura!$A$1:$M$51,2,FALSE),"")</f>
        <v/>
      </c>
    </row>
    <row r="235" spans="1:6" x14ac:dyDescent="0.25">
      <c r="A235" s="28"/>
      <c r="B235" s="29" t="s">
        <v>234</v>
      </c>
      <c r="C235" s="10"/>
      <c r="D235" s="10"/>
      <c r="E235" s="10"/>
      <c r="F235" s="31" t="str">
        <f>IFERROR(VLOOKUP(Tabla1[[#This Row],[N° pedido compra]],InfoFactura!$A$1:$M$51,2,FALSE),"")</f>
        <v/>
      </c>
    </row>
    <row r="236" spans="1:6" x14ac:dyDescent="0.25">
      <c r="A236" s="28"/>
      <c r="B236" s="29" t="s">
        <v>235</v>
      </c>
      <c r="C236" s="10"/>
      <c r="D236" s="10"/>
      <c r="E236" s="10"/>
      <c r="F236" s="31" t="str">
        <f>IFERROR(VLOOKUP(Tabla1[[#This Row],[N° pedido compra]],InfoFactura!$A$1:$M$51,2,FALSE),"")</f>
        <v/>
      </c>
    </row>
    <row r="237" spans="1:6" x14ac:dyDescent="0.25">
      <c r="A237" s="28"/>
      <c r="B237" s="29" t="s">
        <v>236</v>
      </c>
      <c r="C237" s="10"/>
      <c r="D237" s="10"/>
      <c r="E237" s="10"/>
      <c r="F237" s="31" t="str">
        <f>IFERROR(VLOOKUP(Tabla1[[#This Row],[N° pedido compra]],InfoFactura!$A$1:$M$51,2,FALSE),"")</f>
        <v/>
      </c>
    </row>
    <row r="238" spans="1:6" x14ac:dyDescent="0.25">
      <c r="A238" s="28"/>
      <c r="B238" s="29" t="s">
        <v>237</v>
      </c>
      <c r="C238" s="10"/>
      <c r="D238" s="10"/>
      <c r="E238" s="10"/>
      <c r="F238" s="31" t="str">
        <f>IFERROR(VLOOKUP(Tabla1[[#This Row],[N° pedido compra]],InfoFactura!$A$1:$M$51,2,FALSE),"")</f>
        <v/>
      </c>
    </row>
    <row r="239" spans="1:6" x14ac:dyDescent="0.25">
      <c r="A239" s="28"/>
      <c r="B239" s="29" t="s">
        <v>238</v>
      </c>
      <c r="C239" s="10"/>
      <c r="D239" s="10"/>
      <c r="E239" s="10"/>
      <c r="F239" s="31" t="str">
        <f>IFERROR(VLOOKUP(Tabla1[[#This Row],[N° pedido compra]],InfoFactura!$A$1:$M$51,2,FALSE),"")</f>
        <v/>
      </c>
    </row>
    <row r="240" spans="1:6" x14ac:dyDescent="0.25">
      <c r="A240" s="28"/>
      <c r="B240" s="29" t="s">
        <v>239</v>
      </c>
      <c r="C240" s="10"/>
      <c r="D240" s="10"/>
      <c r="E240" s="10"/>
      <c r="F240" s="31" t="str">
        <f>IFERROR(VLOOKUP(Tabla1[[#This Row],[N° pedido compra]],InfoFactura!$A$1:$M$51,2,FALSE),"")</f>
        <v/>
      </c>
    </row>
    <row r="241" spans="1:6" x14ac:dyDescent="0.25">
      <c r="A241" s="28"/>
      <c r="B241" s="29" t="s">
        <v>240</v>
      </c>
      <c r="C241" s="10"/>
      <c r="D241" s="10"/>
      <c r="E241" s="10"/>
      <c r="F241" s="31" t="str">
        <f>IFERROR(VLOOKUP(Tabla1[[#This Row],[N° pedido compra]],InfoFactura!$A$1:$M$51,2,FALSE),"")</f>
        <v/>
      </c>
    </row>
    <row r="242" spans="1:6" x14ac:dyDescent="0.25">
      <c r="A242" s="28"/>
      <c r="B242" s="29" t="s">
        <v>241</v>
      </c>
      <c r="C242" s="10"/>
      <c r="D242" s="10"/>
      <c r="E242" s="10"/>
      <c r="F242" s="31" t="str">
        <f>IFERROR(VLOOKUP(Tabla1[[#This Row],[N° pedido compra]],InfoFactura!$A$1:$M$51,2,FALSE),"")</f>
        <v/>
      </c>
    </row>
    <row r="243" spans="1:6" x14ac:dyDescent="0.25">
      <c r="A243" s="28"/>
      <c r="B243" s="29" t="s">
        <v>242</v>
      </c>
      <c r="C243" s="10"/>
      <c r="D243" s="10"/>
      <c r="E243" s="10"/>
      <c r="F243" s="31" t="str">
        <f>IFERROR(VLOOKUP(Tabla1[[#This Row],[N° pedido compra]],InfoFactura!$A$1:$M$51,2,FALSE),"")</f>
        <v/>
      </c>
    </row>
    <row r="244" spans="1:6" x14ac:dyDescent="0.25">
      <c r="A244" s="28"/>
      <c r="B244" s="29" t="s">
        <v>243</v>
      </c>
      <c r="C244" s="10"/>
      <c r="D244" s="10"/>
      <c r="E244" s="10"/>
      <c r="F244" s="31" t="str">
        <f>IFERROR(VLOOKUP(Tabla1[[#This Row],[N° pedido compra]],InfoFactura!$A$1:$M$51,2,FALSE),"")</f>
        <v/>
      </c>
    </row>
    <row r="245" spans="1:6" x14ac:dyDescent="0.25">
      <c r="A245" s="28"/>
      <c r="B245" s="29" t="s">
        <v>244</v>
      </c>
      <c r="C245" s="10"/>
      <c r="D245" s="10"/>
      <c r="E245" s="10"/>
      <c r="F245" s="31" t="str">
        <f>IFERROR(VLOOKUP(Tabla1[[#This Row],[N° pedido compra]],InfoFactura!$A$1:$M$51,2,FALSE),"")</f>
        <v/>
      </c>
    </row>
    <row r="246" spans="1:6" x14ac:dyDescent="0.25">
      <c r="A246" s="28"/>
      <c r="B246" s="29" t="s">
        <v>245</v>
      </c>
      <c r="C246" s="10"/>
      <c r="D246" s="10"/>
      <c r="E246" s="10"/>
      <c r="F246" s="31" t="str">
        <f>IFERROR(VLOOKUP(Tabla1[[#This Row],[N° pedido compra]],InfoFactura!$A$1:$M$51,2,FALSE),"")</f>
        <v/>
      </c>
    </row>
    <row r="247" spans="1:6" x14ac:dyDescent="0.25">
      <c r="A247" s="28"/>
      <c r="B247" s="29" t="s">
        <v>246</v>
      </c>
      <c r="C247" s="10"/>
      <c r="D247" s="10"/>
      <c r="E247" s="10"/>
      <c r="F247" s="31" t="str">
        <f>IFERROR(VLOOKUP(Tabla1[[#This Row],[N° pedido compra]],InfoFactura!$A$1:$M$51,2,FALSE),"")</f>
        <v/>
      </c>
    </row>
    <row r="248" spans="1:6" x14ac:dyDescent="0.25">
      <c r="A248" s="28"/>
      <c r="B248" s="29" t="s">
        <v>247</v>
      </c>
      <c r="C248" s="10"/>
      <c r="D248" s="10"/>
      <c r="E248" s="10"/>
      <c r="F248" s="31" t="str">
        <f>IFERROR(VLOOKUP(Tabla1[[#This Row],[N° pedido compra]],InfoFactura!$A$1:$M$51,2,FALSE),"")</f>
        <v/>
      </c>
    </row>
    <row r="249" spans="1:6" x14ac:dyDescent="0.25">
      <c r="A249" s="28"/>
      <c r="B249" s="29" t="s">
        <v>248</v>
      </c>
      <c r="C249" s="10"/>
      <c r="D249" s="10"/>
      <c r="E249" s="10"/>
      <c r="F249" s="31" t="str">
        <f>IFERROR(VLOOKUP(Tabla1[[#This Row],[N° pedido compra]],InfoFactura!$A$1:$M$51,2,FALSE),"")</f>
        <v/>
      </c>
    </row>
    <row r="250" spans="1:6" x14ac:dyDescent="0.25">
      <c r="A250" s="28"/>
      <c r="B250" s="29" t="s">
        <v>249</v>
      </c>
      <c r="C250" s="10"/>
      <c r="D250" s="10"/>
      <c r="E250" s="10"/>
      <c r="F250" s="31" t="str">
        <f>IFERROR(VLOOKUP(Tabla1[[#This Row],[N° pedido compra]],InfoFactura!$A$1:$M$51,2,FALSE),"")</f>
        <v/>
      </c>
    </row>
    <row r="251" spans="1:6" x14ac:dyDescent="0.25">
      <c r="A251" s="28"/>
      <c r="B251" s="29" t="s">
        <v>250</v>
      </c>
      <c r="C251" s="10"/>
      <c r="D251" s="10"/>
      <c r="E251" s="10"/>
      <c r="F251" s="31" t="str">
        <f>IFERROR(VLOOKUP(Tabla1[[#This Row],[N° pedido compra]],InfoFactura!$A$1:$M$51,2,FALSE),"")</f>
        <v/>
      </c>
    </row>
    <row r="252" spans="1:6" x14ac:dyDescent="0.25">
      <c r="A252" s="28"/>
      <c r="B252" s="29" t="s">
        <v>251</v>
      </c>
      <c r="C252" s="10"/>
      <c r="D252" s="10"/>
      <c r="E252" s="10"/>
      <c r="F252" s="31" t="str">
        <f>IFERROR(VLOOKUP(Tabla1[[#This Row],[N° pedido compra]],InfoFactura!$A$1:$M$51,2,FALSE),"")</f>
        <v/>
      </c>
    </row>
    <row r="253" spans="1:6" x14ac:dyDescent="0.25">
      <c r="A253" s="28"/>
      <c r="B253" s="29" t="s">
        <v>252</v>
      </c>
      <c r="C253" s="10"/>
      <c r="D253" s="10"/>
      <c r="E253" s="10"/>
      <c r="F253" s="31" t="str">
        <f>IFERROR(VLOOKUP(Tabla1[[#This Row],[N° pedido compra]],InfoFactura!$A$1:$M$51,2,FALSE),"")</f>
        <v/>
      </c>
    </row>
    <row r="254" spans="1:6" x14ac:dyDescent="0.25">
      <c r="A254" s="28"/>
      <c r="B254" s="29" t="s">
        <v>253</v>
      </c>
      <c r="C254" s="10"/>
      <c r="D254" s="10"/>
      <c r="E254" s="10"/>
      <c r="F254" s="31" t="str">
        <f>IFERROR(VLOOKUP(Tabla1[[#This Row],[N° pedido compra]],InfoFactura!$A$1:$M$51,2,FALSE),"")</f>
        <v/>
      </c>
    </row>
    <row r="255" spans="1:6" x14ac:dyDescent="0.25">
      <c r="A255" s="28"/>
      <c r="B255" s="29" t="s">
        <v>254</v>
      </c>
      <c r="C255" s="10"/>
      <c r="D255" s="10"/>
      <c r="E255" s="10"/>
      <c r="F255" s="31" t="str">
        <f>IFERROR(VLOOKUP(Tabla1[[#This Row],[N° pedido compra]],InfoFactura!$A$1:$M$51,2,FALSE),"")</f>
        <v/>
      </c>
    </row>
    <row r="256" spans="1:6" x14ac:dyDescent="0.25">
      <c r="A256" s="28"/>
      <c r="B256" s="29" t="s">
        <v>255</v>
      </c>
      <c r="C256" s="10"/>
      <c r="D256" s="10"/>
      <c r="E256" s="10"/>
      <c r="F256" s="31" t="str">
        <f>IFERROR(VLOOKUP(Tabla1[[#This Row],[N° pedido compra]],InfoFactura!$A$1:$M$51,2,FALSE),"")</f>
        <v/>
      </c>
    </row>
    <row r="257" spans="1:6" x14ac:dyDescent="0.25">
      <c r="A257" s="28"/>
      <c r="B257" s="29" t="s">
        <v>256</v>
      </c>
      <c r="C257" s="10"/>
      <c r="D257" s="10"/>
      <c r="E257" s="10"/>
      <c r="F257" s="31" t="str">
        <f>IFERROR(VLOOKUP(Tabla1[[#This Row],[N° pedido compra]],InfoFactura!$A$1:$M$51,2,FALSE),"")</f>
        <v/>
      </c>
    </row>
    <row r="258" spans="1:6" x14ac:dyDescent="0.25">
      <c r="A258" s="28"/>
      <c r="B258" s="29" t="s">
        <v>257</v>
      </c>
      <c r="C258" s="10"/>
      <c r="D258" s="10"/>
      <c r="E258" s="10"/>
      <c r="F258" s="31" t="str">
        <f>IFERROR(VLOOKUP(Tabla1[[#This Row],[N° pedido compra]],InfoFactura!$A$1:$M$51,2,FALSE),"")</f>
        <v/>
      </c>
    </row>
    <row r="259" spans="1:6" x14ac:dyDescent="0.25">
      <c r="A259" s="28"/>
      <c r="B259" s="29" t="s">
        <v>258</v>
      </c>
      <c r="C259" s="10"/>
      <c r="D259" s="10"/>
      <c r="E259" s="10"/>
      <c r="F259" s="31" t="str">
        <f>IFERROR(VLOOKUP(Tabla1[[#This Row],[N° pedido compra]],InfoFactura!$A$1:$M$51,2,FALSE),"")</f>
        <v/>
      </c>
    </row>
    <row r="260" spans="1:6" x14ac:dyDescent="0.25">
      <c r="A260" s="28"/>
      <c r="B260" s="29" t="s">
        <v>259</v>
      </c>
      <c r="C260" s="10"/>
      <c r="D260" s="10"/>
      <c r="E260" s="10"/>
      <c r="F260" s="31" t="str">
        <f>IFERROR(VLOOKUP(Tabla1[[#This Row],[N° pedido compra]],InfoFactura!$A$1:$M$51,2,FALSE),"")</f>
        <v/>
      </c>
    </row>
    <row r="261" spans="1:6" x14ac:dyDescent="0.25">
      <c r="A261" s="28"/>
      <c r="B261" s="29" t="s">
        <v>260</v>
      </c>
      <c r="C261" s="10"/>
      <c r="D261" s="10"/>
      <c r="E261" s="10"/>
      <c r="F261" s="31" t="str">
        <f>IFERROR(VLOOKUP(Tabla1[[#This Row],[N° pedido compra]],InfoFactura!$A$1:$M$51,2,FALSE),"")</f>
        <v/>
      </c>
    </row>
    <row r="262" spans="1:6" x14ac:dyDescent="0.25">
      <c r="A262" s="28"/>
      <c r="B262" s="29" t="s">
        <v>261</v>
      </c>
      <c r="C262" s="10"/>
      <c r="D262" s="10"/>
      <c r="E262" s="10"/>
      <c r="F262" s="31" t="str">
        <f>IFERROR(VLOOKUP(Tabla1[[#This Row],[N° pedido compra]],InfoFactura!$A$1:$M$51,2,FALSE),"")</f>
        <v/>
      </c>
    </row>
    <row r="263" spans="1:6" x14ac:dyDescent="0.25">
      <c r="A263" s="28"/>
      <c r="B263" s="29" t="s">
        <v>262</v>
      </c>
      <c r="C263" s="10"/>
      <c r="D263" s="10"/>
      <c r="E263" s="10"/>
      <c r="F263" s="31" t="str">
        <f>IFERROR(VLOOKUP(Tabla1[[#This Row],[N° pedido compra]],InfoFactura!$A$1:$M$51,2,FALSE),"")</f>
        <v/>
      </c>
    </row>
    <row r="264" spans="1:6" x14ac:dyDescent="0.25">
      <c r="A264" s="28"/>
      <c r="B264" s="29" t="s">
        <v>263</v>
      </c>
      <c r="C264" s="10"/>
      <c r="D264" s="10"/>
      <c r="E264" s="10"/>
      <c r="F264" s="31" t="str">
        <f>IFERROR(VLOOKUP(Tabla1[[#This Row],[N° pedido compra]],InfoFactura!$A$1:$M$51,2,FALSE),"")</f>
        <v/>
      </c>
    </row>
    <row r="265" spans="1:6" x14ac:dyDescent="0.25">
      <c r="A265" s="28"/>
      <c r="B265" s="29" t="s">
        <v>264</v>
      </c>
      <c r="C265" s="10"/>
      <c r="D265" s="10"/>
      <c r="E265" s="10"/>
      <c r="F265" s="31" t="str">
        <f>IFERROR(VLOOKUP(Tabla1[[#This Row],[N° pedido compra]],InfoFactura!$A$1:$M$51,2,FALSE),"")</f>
        <v/>
      </c>
    </row>
    <row r="266" spans="1:6" x14ac:dyDescent="0.25">
      <c r="A266" s="28"/>
      <c r="B266" s="29" t="s">
        <v>265</v>
      </c>
      <c r="C266" s="10"/>
      <c r="D266" s="10"/>
      <c r="E266" s="10"/>
      <c r="F266" s="31" t="str">
        <f>IFERROR(VLOOKUP(Tabla1[[#This Row],[N° pedido compra]],InfoFactura!$A$1:$M$51,2,FALSE),"")</f>
        <v/>
      </c>
    </row>
    <row r="267" spans="1:6" x14ac:dyDescent="0.25">
      <c r="A267" s="28"/>
      <c r="B267" s="29" t="s">
        <v>266</v>
      </c>
      <c r="C267" s="10"/>
      <c r="D267" s="10"/>
      <c r="E267" s="10"/>
      <c r="F267" s="31" t="str">
        <f>IFERROR(VLOOKUP(Tabla1[[#This Row],[N° pedido compra]],InfoFactura!$A$1:$M$51,2,FALSE),"")</f>
        <v/>
      </c>
    </row>
    <row r="268" spans="1:6" x14ac:dyDescent="0.25">
      <c r="A268" s="28"/>
      <c r="B268" s="29" t="s">
        <v>267</v>
      </c>
      <c r="C268" s="10"/>
      <c r="D268" s="10"/>
      <c r="E268" s="10"/>
      <c r="F268" s="31" t="str">
        <f>IFERROR(VLOOKUP(Tabla1[[#This Row],[N° pedido compra]],InfoFactura!$A$1:$M$51,2,FALSE),"")</f>
        <v/>
      </c>
    </row>
    <row r="269" spans="1:6" x14ac:dyDescent="0.25">
      <c r="A269" s="28"/>
      <c r="B269" s="29" t="s">
        <v>268</v>
      </c>
      <c r="C269" s="10"/>
      <c r="D269" s="10"/>
      <c r="E269" s="10"/>
      <c r="F269" s="31" t="str">
        <f>IFERROR(VLOOKUP(Tabla1[[#This Row],[N° pedido compra]],InfoFactura!$A$1:$M$51,2,FALSE),"")</f>
        <v/>
      </c>
    </row>
    <row r="270" spans="1:6" x14ac:dyDescent="0.25">
      <c r="A270" s="28"/>
      <c r="B270" s="29" t="s">
        <v>269</v>
      </c>
      <c r="C270" s="10"/>
      <c r="D270" s="10"/>
      <c r="E270" s="10"/>
      <c r="F270" s="31" t="str">
        <f>IFERROR(VLOOKUP(Tabla1[[#This Row],[N° pedido compra]],InfoFactura!$A$1:$M$51,2,FALSE),"")</f>
        <v/>
      </c>
    </row>
    <row r="271" spans="1:6" x14ac:dyDescent="0.25">
      <c r="A271" s="28"/>
      <c r="B271" s="29" t="s">
        <v>270</v>
      </c>
      <c r="C271" s="10"/>
      <c r="D271" s="10"/>
      <c r="E271" s="10"/>
      <c r="F271" s="31" t="str">
        <f>IFERROR(VLOOKUP(Tabla1[[#This Row],[N° pedido compra]],InfoFactura!$A$1:$M$51,2,FALSE),"")</f>
        <v/>
      </c>
    </row>
    <row r="272" spans="1:6" x14ac:dyDescent="0.25">
      <c r="A272" s="28"/>
      <c r="B272" s="29" t="s">
        <v>271</v>
      </c>
      <c r="C272" s="10"/>
      <c r="D272" s="10"/>
      <c r="E272" s="10"/>
      <c r="F272" s="31" t="str">
        <f>IFERROR(VLOOKUP(Tabla1[[#This Row],[N° pedido compra]],InfoFactura!$A$1:$M$51,2,FALSE),"")</f>
        <v/>
      </c>
    </row>
    <row r="273" spans="1:6" x14ac:dyDescent="0.25">
      <c r="A273" s="28"/>
      <c r="B273" s="29" t="s">
        <v>272</v>
      </c>
      <c r="C273" s="10"/>
      <c r="D273" s="10"/>
      <c r="E273" s="10"/>
      <c r="F273" s="31" t="str">
        <f>IFERROR(VLOOKUP(Tabla1[[#This Row],[N° pedido compra]],InfoFactura!$A$1:$M$51,2,FALSE),"")</f>
        <v/>
      </c>
    </row>
    <row r="274" spans="1:6" x14ac:dyDescent="0.25">
      <c r="A274" s="28"/>
      <c r="B274" s="29" t="s">
        <v>273</v>
      </c>
      <c r="C274" s="10"/>
      <c r="D274" s="10"/>
      <c r="E274" s="10"/>
      <c r="F274" s="31" t="str">
        <f>IFERROR(VLOOKUP(Tabla1[[#This Row],[N° pedido compra]],InfoFactura!$A$1:$M$51,2,FALSE),"")</f>
        <v/>
      </c>
    </row>
    <row r="275" spans="1:6" x14ac:dyDescent="0.25">
      <c r="A275" s="28"/>
      <c r="B275" s="29" t="s">
        <v>274</v>
      </c>
      <c r="C275" s="10"/>
      <c r="D275" s="10"/>
      <c r="E275" s="10"/>
      <c r="F275" s="31" t="str">
        <f>IFERROR(VLOOKUP(Tabla1[[#This Row],[N° pedido compra]],InfoFactura!$A$1:$M$51,2,FALSE),"")</f>
        <v/>
      </c>
    </row>
    <row r="276" spans="1:6" x14ac:dyDescent="0.25">
      <c r="A276" s="28"/>
      <c r="B276" s="29" t="s">
        <v>275</v>
      </c>
      <c r="C276" s="10"/>
      <c r="D276" s="10"/>
      <c r="E276" s="10"/>
      <c r="F276" s="31" t="str">
        <f>IFERROR(VLOOKUP(Tabla1[[#This Row],[N° pedido compra]],InfoFactura!$A$1:$M$51,2,FALSE),"")</f>
        <v/>
      </c>
    </row>
    <row r="277" spans="1:6" x14ac:dyDescent="0.25">
      <c r="A277" s="28"/>
      <c r="B277" s="29" t="s">
        <v>276</v>
      </c>
      <c r="C277" s="10"/>
      <c r="D277" s="10"/>
      <c r="E277" s="10"/>
      <c r="F277" s="31" t="str">
        <f>IFERROR(VLOOKUP(Tabla1[[#This Row],[N° pedido compra]],InfoFactura!$A$1:$M$51,2,FALSE),"")</f>
        <v/>
      </c>
    </row>
    <row r="278" spans="1:6" x14ac:dyDescent="0.25">
      <c r="A278" s="28"/>
      <c r="B278" s="29" t="s">
        <v>277</v>
      </c>
      <c r="C278" s="10"/>
      <c r="D278" s="10"/>
      <c r="E278" s="10"/>
      <c r="F278" s="31" t="str">
        <f>IFERROR(VLOOKUP(Tabla1[[#This Row],[N° pedido compra]],InfoFactura!$A$1:$M$51,2,FALSE),"")</f>
        <v/>
      </c>
    </row>
    <row r="279" spans="1:6" x14ac:dyDescent="0.25">
      <c r="A279" s="28"/>
      <c r="B279" s="29" t="s">
        <v>278</v>
      </c>
      <c r="C279" s="10"/>
      <c r="D279" s="10"/>
      <c r="E279" s="10"/>
      <c r="F279" s="31" t="str">
        <f>IFERROR(VLOOKUP(Tabla1[[#This Row],[N° pedido compra]],InfoFactura!$A$1:$M$51,2,FALSE),"")</f>
        <v/>
      </c>
    </row>
    <row r="280" spans="1:6" x14ac:dyDescent="0.25">
      <c r="A280" s="28"/>
      <c r="B280" s="29" t="s">
        <v>279</v>
      </c>
      <c r="C280" s="10"/>
      <c r="D280" s="10"/>
      <c r="E280" s="10"/>
      <c r="F280" s="31" t="str">
        <f>IFERROR(VLOOKUP(Tabla1[[#This Row],[N° pedido compra]],InfoFactura!$A$1:$M$51,2,FALSE),"")</f>
        <v/>
      </c>
    </row>
    <row r="281" spans="1:6" x14ac:dyDescent="0.25">
      <c r="A281" s="28"/>
      <c r="B281" s="29" t="s">
        <v>280</v>
      </c>
      <c r="C281" s="10"/>
      <c r="D281" s="10"/>
      <c r="E281" s="10"/>
      <c r="F281" s="31" t="str">
        <f>IFERROR(VLOOKUP(Tabla1[[#This Row],[N° pedido compra]],InfoFactura!$A$1:$M$51,2,FALSE),"")</f>
        <v/>
      </c>
    </row>
    <row r="282" spans="1:6" x14ac:dyDescent="0.25">
      <c r="A282" s="28"/>
      <c r="B282" s="29" t="s">
        <v>281</v>
      </c>
      <c r="C282" s="10"/>
      <c r="D282" s="10"/>
      <c r="E282" s="10"/>
      <c r="F282" s="31" t="str">
        <f>IFERROR(VLOOKUP(Tabla1[[#This Row],[N° pedido compra]],InfoFactura!$A$1:$M$51,2,FALSE),"")</f>
        <v/>
      </c>
    </row>
    <row r="283" spans="1:6" x14ac:dyDescent="0.25">
      <c r="A283" s="28"/>
      <c r="B283" s="29" t="s">
        <v>282</v>
      </c>
      <c r="C283" s="10"/>
      <c r="D283" s="10"/>
      <c r="E283" s="10"/>
      <c r="F283" s="31" t="str">
        <f>IFERROR(VLOOKUP(Tabla1[[#This Row],[N° pedido compra]],InfoFactura!$A$1:$M$51,2,FALSE),"")</f>
        <v/>
      </c>
    </row>
    <row r="284" spans="1:6" x14ac:dyDescent="0.25">
      <c r="A284" s="28"/>
      <c r="B284" s="29" t="s">
        <v>283</v>
      </c>
      <c r="C284" s="10"/>
      <c r="D284" s="10"/>
      <c r="E284" s="10"/>
      <c r="F284" s="31" t="str">
        <f>IFERROR(VLOOKUP(Tabla1[[#This Row],[N° pedido compra]],InfoFactura!$A$1:$M$51,2,FALSE),"")</f>
        <v/>
      </c>
    </row>
    <row r="285" spans="1:6" x14ac:dyDescent="0.25">
      <c r="A285" s="28"/>
      <c r="B285" s="29" t="s">
        <v>284</v>
      </c>
      <c r="C285" s="10"/>
      <c r="D285" s="10"/>
      <c r="E285" s="10"/>
      <c r="F285" s="31" t="str">
        <f>IFERROR(VLOOKUP(Tabla1[[#This Row],[N° pedido compra]],InfoFactura!$A$1:$M$51,2,FALSE),"")</f>
        <v/>
      </c>
    </row>
    <row r="286" spans="1:6" x14ac:dyDescent="0.25">
      <c r="A286" s="28"/>
      <c r="B286" s="29" t="s">
        <v>285</v>
      </c>
      <c r="C286" s="10"/>
      <c r="D286" s="10"/>
      <c r="E286" s="10"/>
      <c r="F286" s="31" t="str">
        <f>IFERROR(VLOOKUP(Tabla1[[#This Row],[N° pedido compra]],InfoFactura!$A$1:$M$51,2,FALSE),"")</f>
        <v/>
      </c>
    </row>
    <row r="287" spans="1:6" x14ac:dyDescent="0.25">
      <c r="A287" s="28"/>
      <c r="B287" s="29" t="s">
        <v>286</v>
      </c>
      <c r="C287" s="10"/>
      <c r="D287" s="10"/>
      <c r="E287" s="10"/>
      <c r="F287" s="31" t="str">
        <f>IFERROR(VLOOKUP(Tabla1[[#This Row],[N° pedido compra]],InfoFactura!$A$1:$M$51,2,FALSE),"")</f>
        <v/>
      </c>
    </row>
    <row r="288" spans="1:6" x14ac:dyDescent="0.25">
      <c r="A288" s="28"/>
      <c r="B288" s="29" t="s">
        <v>287</v>
      </c>
      <c r="C288" s="10"/>
      <c r="D288" s="10"/>
      <c r="E288" s="10"/>
      <c r="F288" s="31" t="str">
        <f>IFERROR(VLOOKUP(Tabla1[[#This Row],[N° pedido compra]],InfoFactura!$A$1:$M$51,2,FALSE),"")</f>
        <v/>
      </c>
    </row>
    <row r="289" spans="1:6" x14ac:dyDescent="0.25">
      <c r="A289" s="28"/>
      <c r="B289" s="29" t="s">
        <v>288</v>
      </c>
      <c r="C289" s="10"/>
      <c r="D289" s="10"/>
      <c r="E289" s="10"/>
      <c r="F289" s="31" t="str">
        <f>IFERROR(VLOOKUP(Tabla1[[#This Row],[N° pedido compra]],InfoFactura!$A$1:$M$51,2,FALSE),"")</f>
        <v/>
      </c>
    </row>
    <row r="290" spans="1:6" x14ac:dyDescent="0.25">
      <c r="A290" s="28"/>
      <c r="B290" s="29" t="s">
        <v>289</v>
      </c>
      <c r="C290" s="10"/>
      <c r="D290" s="10"/>
      <c r="E290" s="10"/>
      <c r="F290" s="31" t="str">
        <f>IFERROR(VLOOKUP(Tabla1[[#This Row],[N° pedido compra]],InfoFactura!$A$1:$M$51,2,FALSE),"")</f>
        <v/>
      </c>
    </row>
    <row r="291" spans="1:6" x14ac:dyDescent="0.25">
      <c r="A291" s="28"/>
      <c r="B291" s="29" t="s">
        <v>290</v>
      </c>
      <c r="C291" s="10"/>
      <c r="D291" s="10"/>
      <c r="E291" s="10"/>
      <c r="F291" s="31" t="str">
        <f>IFERROR(VLOOKUP(Tabla1[[#This Row],[N° pedido compra]],InfoFactura!$A$1:$M$51,2,FALSE),"")</f>
        <v/>
      </c>
    </row>
    <row r="292" spans="1:6" x14ac:dyDescent="0.25">
      <c r="A292" s="28"/>
      <c r="B292" s="29" t="s">
        <v>291</v>
      </c>
      <c r="C292" s="10"/>
      <c r="D292" s="10"/>
      <c r="E292" s="10"/>
      <c r="F292" s="31" t="str">
        <f>IFERROR(VLOOKUP(Tabla1[[#This Row],[N° pedido compra]],InfoFactura!$A$1:$M$51,2,FALSE),"")</f>
        <v/>
      </c>
    </row>
    <row r="293" spans="1:6" x14ac:dyDescent="0.25">
      <c r="A293" s="28"/>
      <c r="B293" s="29" t="s">
        <v>292</v>
      </c>
      <c r="C293" s="10"/>
      <c r="D293" s="10"/>
      <c r="E293" s="10"/>
      <c r="F293" s="31" t="str">
        <f>IFERROR(VLOOKUP(Tabla1[[#This Row],[N° pedido compra]],InfoFactura!$A$1:$M$51,2,FALSE),"")</f>
        <v/>
      </c>
    </row>
    <row r="294" spans="1:6" x14ac:dyDescent="0.25">
      <c r="A294" s="28"/>
      <c r="B294" s="29" t="s">
        <v>293</v>
      </c>
      <c r="C294" s="10"/>
      <c r="D294" s="10"/>
      <c r="E294" s="10"/>
      <c r="F294" s="31" t="str">
        <f>IFERROR(VLOOKUP(Tabla1[[#This Row],[N° pedido compra]],InfoFactura!$A$1:$M$51,2,FALSE),"")</f>
        <v/>
      </c>
    </row>
    <row r="295" spans="1:6" x14ac:dyDescent="0.25">
      <c r="A295" s="28"/>
      <c r="B295" s="29" t="s">
        <v>294</v>
      </c>
      <c r="C295" s="10"/>
      <c r="D295" s="10"/>
      <c r="E295" s="10"/>
      <c r="F295" s="31" t="str">
        <f>IFERROR(VLOOKUP(Tabla1[[#This Row],[N° pedido compra]],InfoFactura!$A$1:$M$51,2,FALSE),"")</f>
        <v/>
      </c>
    </row>
    <row r="296" spans="1:6" x14ac:dyDescent="0.25">
      <c r="A296" s="28"/>
      <c r="B296" s="29" t="s">
        <v>295</v>
      </c>
      <c r="C296" s="10"/>
      <c r="D296" s="10"/>
      <c r="E296" s="10"/>
      <c r="F296" s="31" t="str">
        <f>IFERROR(VLOOKUP(Tabla1[[#This Row],[N° pedido compra]],InfoFactura!$A$1:$M$51,2,FALSE),"")</f>
        <v/>
      </c>
    </row>
    <row r="297" spans="1:6" x14ac:dyDescent="0.25">
      <c r="A297" s="28"/>
      <c r="B297" s="29" t="s">
        <v>296</v>
      </c>
      <c r="C297" s="10"/>
      <c r="D297" s="10"/>
      <c r="E297" s="10"/>
      <c r="F297" s="31" t="str">
        <f>IFERROR(VLOOKUP(Tabla1[[#This Row],[N° pedido compra]],InfoFactura!$A$1:$M$51,2,FALSE),"")</f>
        <v/>
      </c>
    </row>
    <row r="298" spans="1:6" x14ac:dyDescent="0.25">
      <c r="A298" s="28"/>
      <c r="B298" s="29" t="s">
        <v>297</v>
      </c>
      <c r="C298" s="10"/>
      <c r="D298" s="10"/>
      <c r="E298" s="10"/>
      <c r="F298" s="31" t="str">
        <f>IFERROR(VLOOKUP(Tabla1[[#This Row],[N° pedido compra]],InfoFactura!$A$1:$M$51,2,FALSE),"")</f>
        <v/>
      </c>
    </row>
    <row r="299" spans="1:6" x14ac:dyDescent="0.25">
      <c r="A299" s="28"/>
      <c r="B299" s="29" t="s">
        <v>298</v>
      </c>
      <c r="C299" s="10"/>
      <c r="D299" s="10"/>
      <c r="E299" s="10"/>
      <c r="F299" s="31" t="str">
        <f>IFERROR(VLOOKUP(Tabla1[[#This Row],[N° pedido compra]],InfoFactura!$A$1:$M$51,2,FALSE),"")</f>
        <v/>
      </c>
    </row>
    <row r="300" spans="1:6" x14ac:dyDescent="0.25">
      <c r="A300" s="28"/>
      <c r="B300" s="29" t="s">
        <v>299</v>
      </c>
      <c r="C300" s="10"/>
      <c r="D300" s="10"/>
      <c r="E300" s="10"/>
      <c r="F300" s="31" t="str">
        <f>IFERROR(VLOOKUP(Tabla1[[#This Row],[N° pedido compra]],InfoFactura!$A$1:$M$51,2,FALSE),"")</f>
        <v/>
      </c>
    </row>
    <row r="301" spans="1:6" x14ac:dyDescent="0.25">
      <c r="A301" s="28"/>
      <c r="B301" s="29" t="s">
        <v>300</v>
      </c>
      <c r="C301" s="10"/>
      <c r="D301" s="10"/>
      <c r="E301" s="10"/>
      <c r="F301" s="31" t="str">
        <f>IFERROR(VLOOKUP(Tabla1[[#This Row],[N° pedido compra]],InfoFactura!$A$1:$M$51,2,FALSE),"")</f>
        <v/>
      </c>
    </row>
    <row r="302" spans="1:6" x14ac:dyDescent="0.25">
      <c r="A302" s="28"/>
      <c r="B302" s="29" t="s">
        <v>301</v>
      </c>
      <c r="C302" s="10"/>
      <c r="D302" s="10"/>
      <c r="E302" s="10"/>
      <c r="F302" s="31" t="str">
        <f>IFERROR(VLOOKUP(Tabla1[[#This Row],[N° pedido compra]],InfoFactura!$A$1:$M$51,2,FALSE),"")</f>
        <v/>
      </c>
    </row>
    <row r="303" spans="1:6" x14ac:dyDescent="0.25">
      <c r="A303" s="28"/>
      <c r="B303" s="29" t="s">
        <v>302</v>
      </c>
      <c r="C303" s="10"/>
      <c r="D303" s="10"/>
      <c r="E303" s="10"/>
      <c r="F303" s="31" t="str">
        <f>IFERROR(VLOOKUP(Tabla1[[#This Row],[N° pedido compra]],InfoFactura!$A$1:$M$51,2,FALSE),"")</f>
        <v/>
      </c>
    </row>
    <row r="304" spans="1:6" x14ac:dyDescent="0.25">
      <c r="A304" s="28"/>
      <c r="B304" s="29" t="s">
        <v>303</v>
      </c>
      <c r="C304" s="10"/>
      <c r="D304" s="10"/>
      <c r="E304" s="10"/>
      <c r="F304" s="31" t="str">
        <f>IFERROR(VLOOKUP(Tabla1[[#This Row],[N° pedido compra]],InfoFactura!$A$1:$M$51,2,FALSE),"")</f>
        <v/>
      </c>
    </row>
    <row r="305" spans="1:6" x14ac:dyDescent="0.25">
      <c r="A305" s="28"/>
      <c r="B305" s="29" t="s">
        <v>304</v>
      </c>
      <c r="C305" s="10"/>
      <c r="D305" s="10"/>
      <c r="E305" s="10"/>
      <c r="F305" s="31" t="str">
        <f>IFERROR(VLOOKUP(Tabla1[[#This Row],[N° pedido compra]],InfoFactura!$A$1:$M$51,2,FALSE),"")</f>
        <v/>
      </c>
    </row>
    <row r="306" spans="1:6" x14ac:dyDescent="0.25">
      <c r="A306" s="28"/>
      <c r="B306" s="29" t="s">
        <v>305</v>
      </c>
      <c r="C306" s="10"/>
      <c r="D306" s="10"/>
      <c r="E306" s="10"/>
      <c r="F306" s="31" t="str">
        <f>IFERROR(VLOOKUP(Tabla1[[#This Row],[N° pedido compra]],InfoFactura!$A$1:$M$51,2,FALSE),"")</f>
        <v/>
      </c>
    </row>
    <row r="307" spans="1:6" x14ac:dyDescent="0.25">
      <c r="A307" s="28"/>
      <c r="B307" s="29" t="s">
        <v>306</v>
      </c>
      <c r="C307" s="10"/>
      <c r="D307" s="10"/>
      <c r="E307" s="10"/>
      <c r="F307" s="31" t="str">
        <f>IFERROR(VLOOKUP(Tabla1[[#This Row],[N° pedido compra]],InfoFactura!$A$1:$M$51,2,FALSE),"")</f>
        <v/>
      </c>
    </row>
    <row r="308" spans="1:6" x14ac:dyDescent="0.25">
      <c r="A308" s="28"/>
      <c r="B308" s="29" t="s">
        <v>307</v>
      </c>
      <c r="C308" s="10"/>
      <c r="D308" s="10"/>
      <c r="E308" s="10"/>
      <c r="F308" s="31" t="str">
        <f>IFERROR(VLOOKUP(Tabla1[[#This Row],[N° pedido compra]],InfoFactura!$A$1:$M$51,2,FALSE),"")</f>
        <v/>
      </c>
    </row>
    <row r="309" spans="1:6" x14ac:dyDescent="0.25">
      <c r="A309" s="28"/>
      <c r="B309" s="29" t="s">
        <v>308</v>
      </c>
      <c r="C309" s="10"/>
      <c r="D309" s="10"/>
      <c r="E309" s="10"/>
      <c r="F309" s="31" t="str">
        <f>IFERROR(VLOOKUP(Tabla1[[#This Row],[N° pedido compra]],InfoFactura!$A$1:$M$51,2,FALSE),"")</f>
        <v/>
      </c>
    </row>
    <row r="310" spans="1:6" x14ac:dyDescent="0.25">
      <c r="A310" s="28"/>
      <c r="B310" s="29" t="s">
        <v>309</v>
      </c>
      <c r="C310" s="10"/>
      <c r="D310" s="10"/>
      <c r="E310" s="10"/>
      <c r="F310" s="31" t="str">
        <f>IFERROR(VLOOKUP(Tabla1[[#This Row],[N° pedido compra]],InfoFactura!$A$1:$M$51,2,FALSE),"")</f>
        <v/>
      </c>
    </row>
    <row r="311" spans="1:6" x14ac:dyDescent="0.25">
      <c r="A311" s="28"/>
      <c r="B311" s="29" t="s">
        <v>310</v>
      </c>
      <c r="C311" s="10"/>
      <c r="D311" s="10"/>
      <c r="E311" s="10"/>
      <c r="F311" s="31" t="str">
        <f>IFERROR(VLOOKUP(Tabla1[[#This Row],[N° pedido compra]],InfoFactura!$A$1:$M$51,2,FALSE),"")</f>
        <v/>
      </c>
    </row>
    <row r="312" spans="1:6" x14ac:dyDescent="0.25">
      <c r="A312" s="28"/>
      <c r="B312" s="29" t="s">
        <v>311</v>
      </c>
      <c r="C312" s="10"/>
      <c r="D312" s="10"/>
      <c r="E312" s="10"/>
      <c r="F312" s="31" t="str">
        <f>IFERROR(VLOOKUP(Tabla1[[#This Row],[N° pedido compra]],InfoFactura!$A$1:$M$51,2,FALSE),"")</f>
        <v/>
      </c>
    </row>
    <row r="313" spans="1:6" x14ac:dyDescent="0.25">
      <c r="A313" s="28"/>
      <c r="B313" s="29" t="s">
        <v>312</v>
      </c>
      <c r="C313" s="10"/>
      <c r="D313" s="10"/>
      <c r="E313" s="10"/>
      <c r="F313" s="31" t="str">
        <f>IFERROR(VLOOKUP(Tabla1[[#This Row],[N° pedido compra]],InfoFactura!$A$1:$M$51,2,FALSE),"")</f>
        <v/>
      </c>
    </row>
    <row r="314" spans="1:6" x14ac:dyDescent="0.25">
      <c r="A314" s="28"/>
      <c r="B314" s="29" t="s">
        <v>313</v>
      </c>
      <c r="C314" s="10"/>
      <c r="D314" s="10"/>
      <c r="E314" s="10"/>
      <c r="F314" s="31" t="str">
        <f>IFERROR(VLOOKUP(Tabla1[[#This Row],[N° pedido compra]],InfoFactura!$A$1:$M$51,2,FALSE),"")</f>
        <v/>
      </c>
    </row>
    <row r="315" spans="1:6" x14ac:dyDescent="0.25">
      <c r="A315" s="28"/>
      <c r="B315" s="29" t="s">
        <v>314</v>
      </c>
      <c r="C315" s="10"/>
      <c r="D315" s="10"/>
      <c r="E315" s="10"/>
      <c r="F315" s="31" t="str">
        <f>IFERROR(VLOOKUP(Tabla1[[#This Row],[N° pedido compra]],InfoFactura!$A$1:$M$51,2,FALSE),"")</f>
        <v/>
      </c>
    </row>
    <row r="316" spans="1:6" x14ac:dyDescent="0.25">
      <c r="A316" s="28"/>
      <c r="B316" s="29" t="s">
        <v>315</v>
      </c>
      <c r="C316" s="10"/>
      <c r="D316" s="10"/>
      <c r="E316" s="10"/>
      <c r="F316" s="31" t="str">
        <f>IFERROR(VLOOKUP(Tabla1[[#This Row],[N° pedido compra]],InfoFactura!$A$1:$M$51,2,FALSE),"")</f>
        <v/>
      </c>
    </row>
    <row r="317" spans="1:6" x14ac:dyDescent="0.25">
      <c r="A317" s="28"/>
      <c r="B317" s="29" t="s">
        <v>316</v>
      </c>
      <c r="C317" s="10"/>
      <c r="D317" s="10"/>
      <c r="E317" s="10"/>
      <c r="F317" s="31" t="str">
        <f>IFERROR(VLOOKUP(Tabla1[[#This Row],[N° pedido compra]],InfoFactura!$A$1:$M$51,2,FALSE),"")</f>
        <v/>
      </c>
    </row>
    <row r="318" spans="1:6" x14ac:dyDescent="0.25">
      <c r="A318" s="28"/>
      <c r="B318" s="29" t="s">
        <v>317</v>
      </c>
      <c r="C318" s="10"/>
      <c r="D318" s="10"/>
      <c r="E318" s="10"/>
      <c r="F318" s="31" t="str">
        <f>IFERROR(VLOOKUP(Tabla1[[#This Row],[N° pedido compra]],InfoFactura!$A$1:$M$51,2,FALSE),"")</f>
        <v/>
      </c>
    </row>
    <row r="319" spans="1:6" x14ac:dyDescent="0.25">
      <c r="A319" s="28"/>
      <c r="B319" s="29" t="s">
        <v>318</v>
      </c>
      <c r="C319" s="10"/>
      <c r="D319" s="10"/>
      <c r="E319" s="10"/>
      <c r="F319" s="31" t="str">
        <f>IFERROR(VLOOKUP(Tabla1[[#This Row],[N° pedido compra]],InfoFactura!$A$1:$M$51,2,FALSE),"")</f>
        <v/>
      </c>
    </row>
    <row r="320" spans="1:6" x14ac:dyDescent="0.25">
      <c r="A320" s="28"/>
      <c r="B320" s="29" t="s">
        <v>319</v>
      </c>
      <c r="C320" s="10"/>
      <c r="D320" s="10"/>
      <c r="E320" s="10"/>
      <c r="F320" s="31" t="str">
        <f>IFERROR(VLOOKUP(Tabla1[[#This Row],[N° pedido compra]],InfoFactura!$A$1:$M$51,2,FALSE),"")</f>
        <v/>
      </c>
    </row>
    <row r="321" spans="1:6" x14ac:dyDescent="0.25">
      <c r="A321" s="28"/>
      <c r="B321" s="29" t="s">
        <v>320</v>
      </c>
      <c r="C321" s="10"/>
      <c r="D321" s="10"/>
      <c r="E321" s="10"/>
      <c r="F321" s="31" t="str">
        <f>IFERROR(VLOOKUP(Tabla1[[#This Row],[N° pedido compra]],InfoFactura!$A$1:$M$51,2,FALSE),"")</f>
        <v/>
      </c>
    </row>
    <row r="322" spans="1:6" x14ac:dyDescent="0.25">
      <c r="A322" s="28"/>
      <c r="B322" s="29" t="s">
        <v>321</v>
      </c>
      <c r="C322" s="10"/>
      <c r="D322" s="10"/>
      <c r="E322" s="10"/>
      <c r="F322" s="31" t="str">
        <f>IFERROR(VLOOKUP(Tabla1[[#This Row],[N° pedido compra]],InfoFactura!$A$1:$M$51,2,FALSE),"")</f>
        <v/>
      </c>
    </row>
    <row r="323" spans="1:6" x14ac:dyDescent="0.25">
      <c r="A323" s="28"/>
      <c r="B323" s="29" t="s">
        <v>322</v>
      </c>
      <c r="C323" s="10"/>
      <c r="D323" s="10"/>
      <c r="E323" s="10"/>
      <c r="F323" s="31" t="str">
        <f>IFERROR(VLOOKUP(Tabla1[[#This Row],[N° pedido compra]],InfoFactura!$A$1:$M$51,2,FALSE),"")</f>
        <v/>
      </c>
    </row>
    <row r="324" spans="1:6" x14ac:dyDescent="0.25">
      <c r="A324" s="28"/>
      <c r="B324" s="29" t="s">
        <v>323</v>
      </c>
      <c r="C324" s="10"/>
      <c r="D324" s="10"/>
      <c r="E324" s="10"/>
      <c r="F324" s="31" t="str">
        <f>IFERROR(VLOOKUP(Tabla1[[#This Row],[N° pedido compra]],InfoFactura!$A$1:$M$51,2,FALSE),"")</f>
        <v/>
      </c>
    </row>
    <row r="325" spans="1:6" x14ac:dyDescent="0.25">
      <c r="A325" s="28"/>
      <c r="B325" s="29" t="s">
        <v>324</v>
      </c>
      <c r="C325" s="10"/>
      <c r="D325" s="10"/>
      <c r="E325" s="10"/>
      <c r="F325" s="31" t="str">
        <f>IFERROR(VLOOKUP(Tabla1[[#This Row],[N° pedido compra]],InfoFactura!$A$1:$M$51,2,FALSE),"")</f>
        <v/>
      </c>
    </row>
    <row r="326" spans="1:6" x14ac:dyDescent="0.25">
      <c r="A326" s="28"/>
      <c r="B326" s="29" t="s">
        <v>325</v>
      </c>
      <c r="C326" s="10"/>
      <c r="D326" s="10"/>
      <c r="E326" s="10"/>
      <c r="F326" s="31" t="str">
        <f>IFERROR(VLOOKUP(Tabla1[[#This Row],[N° pedido compra]],InfoFactura!$A$1:$M$51,2,FALSE),"")</f>
        <v/>
      </c>
    </row>
    <row r="327" spans="1:6" x14ac:dyDescent="0.25">
      <c r="A327" s="28"/>
      <c r="B327" s="29" t="s">
        <v>326</v>
      </c>
      <c r="C327" s="10"/>
      <c r="D327" s="10"/>
      <c r="E327" s="10"/>
      <c r="F327" s="31" t="str">
        <f>IFERROR(VLOOKUP(Tabla1[[#This Row],[N° pedido compra]],InfoFactura!$A$1:$M$51,2,FALSE),"")</f>
        <v/>
      </c>
    </row>
    <row r="328" spans="1:6" x14ac:dyDescent="0.25">
      <c r="A328" s="28"/>
      <c r="B328" s="29" t="s">
        <v>327</v>
      </c>
      <c r="C328" s="10"/>
      <c r="D328" s="10"/>
      <c r="E328" s="10"/>
      <c r="F328" s="31" t="str">
        <f>IFERROR(VLOOKUP(Tabla1[[#This Row],[N° pedido compra]],InfoFactura!$A$1:$M$51,2,FALSE),"")</f>
        <v/>
      </c>
    </row>
    <row r="329" spans="1:6" x14ac:dyDescent="0.25">
      <c r="A329" s="28"/>
      <c r="B329" s="29" t="s">
        <v>328</v>
      </c>
      <c r="C329" s="10"/>
      <c r="D329" s="10"/>
      <c r="E329" s="10"/>
      <c r="F329" s="31" t="str">
        <f>IFERROR(VLOOKUP(Tabla1[[#This Row],[N° pedido compra]],InfoFactura!$A$1:$M$51,2,FALSE),"")</f>
        <v/>
      </c>
    </row>
    <row r="330" spans="1:6" x14ac:dyDescent="0.25">
      <c r="A330" s="28"/>
      <c r="B330" s="29" t="s">
        <v>329</v>
      </c>
      <c r="C330" s="10"/>
      <c r="D330" s="10"/>
      <c r="E330" s="10"/>
      <c r="F330" s="31" t="str">
        <f>IFERROR(VLOOKUP(Tabla1[[#This Row],[N° pedido compra]],InfoFactura!$A$1:$M$51,2,FALSE),"")</f>
        <v/>
      </c>
    </row>
    <row r="331" spans="1:6" x14ac:dyDescent="0.25">
      <c r="A331" s="28"/>
      <c r="B331" s="29" t="s">
        <v>330</v>
      </c>
      <c r="C331" s="10"/>
      <c r="D331" s="10"/>
      <c r="E331" s="10"/>
      <c r="F331" s="31" t="str">
        <f>IFERROR(VLOOKUP(Tabla1[[#This Row],[N° pedido compra]],InfoFactura!$A$1:$M$51,2,FALSE),"")</f>
        <v/>
      </c>
    </row>
    <row r="332" spans="1:6" x14ac:dyDescent="0.25">
      <c r="A332" s="28"/>
      <c r="B332" s="29" t="s">
        <v>331</v>
      </c>
      <c r="C332" s="10"/>
      <c r="D332" s="10"/>
      <c r="E332" s="10"/>
      <c r="F332" s="31" t="str">
        <f>IFERROR(VLOOKUP(Tabla1[[#This Row],[N° pedido compra]],InfoFactura!$A$1:$M$51,2,FALSE),"")</f>
        <v/>
      </c>
    </row>
    <row r="333" spans="1:6" x14ac:dyDescent="0.25">
      <c r="A333" s="28"/>
      <c r="B333" s="29" t="s">
        <v>332</v>
      </c>
      <c r="C333" s="10"/>
      <c r="D333" s="10"/>
      <c r="E333" s="10"/>
      <c r="F333" s="31" t="str">
        <f>IFERROR(VLOOKUP(Tabla1[[#This Row],[N° pedido compra]],InfoFactura!$A$1:$M$51,2,FALSE),"")</f>
        <v/>
      </c>
    </row>
    <row r="334" spans="1:6" x14ac:dyDescent="0.25">
      <c r="A334" s="28"/>
      <c r="B334" s="29" t="s">
        <v>333</v>
      </c>
      <c r="C334" s="10"/>
      <c r="D334" s="10"/>
      <c r="E334" s="10"/>
      <c r="F334" s="31" t="str">
        <f>IFERROR(VLOOKUP(Tabla1[[#This Row],[N° pedido compra]],InfoFactura!$A$1:$M$51,2,FALSE),"")</f>
        <v/>
      </c>
    </row>
    <row r="335" spans="1:6" x14ac:dyDescent="0.25">
      <c r="A335" s="28"/>
      <c r="B335" s="29" t="s">
        <v>334</v>
      </c>
      <c r="C335" s="10"/>
      <c r="D335" s="10"/>
      <c r="E335" s="10"/>
      <c r="F335" s="31" t="str">
        <f>IFERROR(VLOOKUP(Tabla1[[#This Row],[N° pedido compra]],InfoFactura!$A$1:$M$51,2,FALSE),"")</f>
        <v/>
      </c>
    </row>
    <row r="336" spans="1:6" x14ac:dyDescent="0.25">
      <c r="A336" s="28"/>
      <c r="B336" s="29" t="s">
        <v>335</v>
      </c>
      <c r="C336" s="10"/>
      <c r="D336" s="10"/>
      <c r="E336" s="10"/>
      <c r="F336" s="31" t="str">
        <f>IFERROR(VLOOKUP(Tabla1[[#This Row],[N° pedido compra]],InfoFactura!$A$1:$M$51,2,FALSE),"")</f>
        <v/>
      </c>
    </row>
    <row r="337" spans="1:6" x14ac:dyDescent="0.25">
      <c r="A337" s="28"/>
      <c r="B337" s="29" t="s">
        <v>336</v>
      </c>
      <c r="C337" s="10"/>
      <c r="D337" s="10"/>
      <c r="E337" s="10"/>
      <c r="F337" s="31" t="str">
        <f>IFERROR(VLOOKUP(Tabla1[[#This Row],[N° pedido compra]],InfoFactura!$A$1:$M$51,2,FALSE),"")</f>
        <v/>
      </c>
    </row>
    <row r="338" spans="1:6" x14ac:dyDescent="0.25">
      <c r="A338" s="28"/>
      <c r="B338" s="29" t="s">
        <v>337</v>
      </c>
      <c r="C338" s="10"/>
      <c r="D338" s="10"/>
      <c r="E338" s="10"/>
      <c r="F338" s="31" t="str">
        <f>IFERROR(VLOOKUP(Tabla1[[#This Row],[N° pedido compra]],InfoFactura!$A$1:$M$51,2,FALSE),"")</f>
        <v/>
      </c>
    </row>
    <row r="339" spans="1:6" x14ac:dyDescent="0.25">
      <c r="A339" s="28"/>
      <c r="B339" s="29" t="s">
        <v>338</v>
      </c>
      <c r="C339" s="10"/>
      <c r="D339" s="10"/>
      <c r="E339" s="10"/>
      <c r="F339" s="31" t="str">
        <f>IFERROR(VLOOKUP(Tabla1[[#This Row],[N° pedido compra]],InfoFactura!$A$1:$M$51,2,FALSE),"")</f>
        <v/>
      </c>
    </row>
    <row r="340" spans="1:6" x14ac:dyDescent="0.25">
      <c r="A340" s="28"/>
      <c r="B340" s="29" t="s">
        <v>339</v>
      </c>
      <c r="C340" s="10"/>
      <c r="D340" s="10"/>
      <c r="E340" s="10"/>
      <c r="F340" s="31" t="str">
        <f>IFERROR(VLOOKUP(Tabla1[[#This Row],[N° pedido compra]],InfoFactura!$A$1:$M$51,2,FALSE),"")</f>
        <v/>
      </c>
    </row>
    <row r="341" spans="1:6" x14ac:dyDescent="0.25">
      <c r="A341" s="28"/>
      <c r="B341" s="29" t="s">
        <v>340</v>
      </c>
      <c r="C341" s="10"/>
      <c r="D341" s="10"/>
      <c r="E341" s="10"/>
      <c r="F341" s="31" t="str">
        <f>IFERROR(VLOOKUP(Tabla1[[#This Row],[N° pedido compra]],InfoFactura!$A$1:$M$51,2,FALSE),"")</f>
        <v/>
      </c>
    </row>
    <row r="342" spans="1:6" x14ac:dyDescent="0.25">
      <c r="A342" s="28"/>
      <c r="B342" s="29" t="s">
        <v>341</v>
      </c>
      <c r="C342" s="10"/>
      <c r="D342" s="10"/>
      <c r="E342" s="10"/>
      <c r="F342" s="31" t="str">
        <f>IFERROR(VLOOKUP(Tabla1[[#This Row],[N° pedido compra]],InfoFactura!$A$1:$M$51,2,FALSE),"")</f>
        <v/>
      </c>
    </row>
    <row r="343" spans="1:6" x14ac:dyDescent="0.25">
      <c r="A343" s="28"/>
      <c r="B343" s="29" t="s">
        <v>342</v>
      </c>
      <c r="C343" s="10"/>
      <c r="D343" s="10"/>
      <c r="E343" s="10"/>
      <c r="F343" s="31" t="str">
        <f>IFERROR(VLOOKUP(Tabla1[[#This Row],[N° pedido compra]],InfoFactura!$A$1:$M$51,2,FALSE),"")</f>
        <v/>
      </c>
    </row>
    <row r="344" spans="1:6" x14ac:dyDescent="0.25">
      <c r="A344" s="28"/>
      <c r="B344" s="29" t="s">
        <v>343</v>
      </c>
      <c r="C344" s="10"/>
      <c r="D344" s="10"/>
      <c r="E344" s="10"/>
      <c r="F344" s="31" t="str">
        <f>IFERROR(VLOOKUP(Tabla1[[#This Row],[N° pedido compra]],InfoFactura!$A$1:$M$51,2,FALSE),"")</f>
        <v/>
      </c>
    </row>
    <row r="345" spans="1:6" x14ac:dyDescent="0.25">
      <c r="A345" s="28"/>
      <c r="B345" s="29" t="s">
        <v>344</v>
      </c>
      <c r="C345" s="10"/>
      <c r="D345" s="10"/>
      <c r="E345" s="10"/>
      <c r="F345" s="31" t="str">
        <f>IFERROR(VLOOKUP(Tabla1[[#This Row],[N° pedido compra]],InfoFactura!$A$1:$M$51,2,FALSE),"")</f>
        <v/>
      </c>
    </row>
    <row r="346" spans="1:6" x14ac:dyDescent="0.25">
      <c r="A346" s="28"/>
      <c r="B346" s="29" t="s">
        <v>345</v>
      </c>
      <c r="C346" s="10"/>
      <c r="D346" s="10"/>
      <c r="E346" s="10"/>
      <c r="F346" s="31" t="str">
        <f>IFERROR(VLOOKUP(Tabla1[[#This Row],[N° pedido compra]],InfoFactura!$A$1:$M$51,2,FALSE),"")</f>
        <v/>
      </c>
    </row>
    <row r="347" spans="1:6" x14ac:dyDescent="0.25">
      <c r="A347" s="28"/>
      <c r="B347" s="29" t="s">
        <v>346</v>
      </c>
      <c r="C347" s="10"/>
      <c r="D347" s="10"/>
      <c r="E347" s="10"/>
      <c r="F347" s="31" t="str">
        <f>IFERROR(VLOOKUP(Tabla1[[#This Row],[N° pedido compra]],InfoFactura!$A$1:$M$51,2,FALSE),"")</f>
        <v/>
      </c>
    </row>
    <row r="348" spans="1:6" x14ac:dyDescent="0.25">
      <c r="A348" s="28"/>
      <c r="B348" s="29" t="s">
        <v>347</v>
      </c>
      <c r="C348" s="10"/>
      <c r="D348" s="10"/>
      <c r="E348" s="10"/>
      <c r="F348" s="31" t="str">
        <f>IFERROR(VLOOKUP(Tabla1[[#This Row],[N° pedido compra]],InfoFactura!$A$1:$M$51,2,FALSE),"")</f>
        <v/>
      </c>
    </row>
    <row r="349" spans="1:6" x14ac:dyDescent="0.25">
      <c r="A349" s="28"/>
      <c r="B349" s="29" t="s">
        <v>348</v>
      </c>
      <c r="C349" s="10"/>
      <c r="D349" s="10"/>
      <c r="E349" s="10"/>
      <c r="F349" s="31" t="str">
        <f>IFERROR(VLOOKUP(Tabla1[[#This Row],[N° pedido compra]],InfoFactura!$A$1:$M$51,2,FALSE),"")</f>
        <v/>
      </c>
    </row>
    <row r="350" spans="1:6" x14ac:dyDescent="0.25">
      <c r="A350" s="28"/>
      <c r="B350" s="29" t="s">
        <v>349</v>
      </c>
      <c r="C350" s="10"/>
      <c r="D350" s="10"/>
      <c r="E350" s="10"/>
      <c r="F350" s="31" t="str">
        <f>IFERROR(VLOOKUP(Tabla1[[#This Row],[N° pedido compra]],InfoFactura!$A$1:$M$51,2,FALSE),"")</f>
        <v/>
      </c>
    </row>
    <row r="351" spans="1:6" x14ac:dyDescent="0.25">
      <c r="A351" s="28"/>
      <c r="B351" s="29" t="s">
        <v>350</v>
      </c>
      <c r="C351" s="10"/>
      <c r="D351" s="10"/>
      <c r="E351" s="10"/>
      <c r="F351" s="31" t="str">
        <f>IFERROR(VLOOKUP(Tabla1[[#This Row],[N° pedido compra]],InfoFactura!$A$1:$M$51,2,FALSE),"")</f>
        <v/>
      </c>
    </row>
    <row r="352" spans="1:6" x14ac:dyDescent="0.25">
      <c r="A352" s="28"/>
      <c r="B352" s="29" t="s">
        <v>351</v>
      </c>
      <c r="C352" s="10"/>
      <c r="D352" s="10"/>
      <c r="E352" s="10"/>
      <c r="F352" s="31" t="str">
        <f>IFERROR(VLOOKUP(Tabla1[[#This Row],[N° pedido compra]],InfoFactura!$A$1:$M$51,2,FALSE),"")</f>
        <v/>
      </c>
    </row>
    <row r="353" spans="1:6" x14ac:dyDescent="0.25">
      <c r="A353" s="28"/>
      <c r="B353" s="29" t="s">
        <v>352</v>
      </c>
      <c r="C353" s="10"/>
      <c r="D353" s="10"/>
      <c r="E353" s="10"/>
      <c r="F353" s="31" t="str">
        <f>IFERROR(VLOOKUP(Tabla1[[#This Row],[N° pedido compra]],InfoFactura!$A$1:$M$51,2,FALSE),"")</f>
        <v/>
      </c>
    </row>
    <row r="354" spans="1:6" x14ac:dyDescent="0.25">
      <c r="A354" s="28"/>
      <c r="B354" s="29" t="s">
        <v>353</v>
      </c>
      <c r="C354" s="10"/>
      <c r="D354" s="10"/>
      <c r="E354" s="10"/>
      <c r="F354" s="31" t="str">
        <f>IFERROR(VLOOKUP(Tabla1[[#This Row],[N° pedido compra]],InfoFactura!$A$1:$M$51,2,FALSE),"")</f>
        <v/>
      </c>
    </row>
    <row r="355" spans="1:6" x14ac:dyDescent="0.25">
      <c r="A355" s="28"/>
      <c r="B355" s="29" t="s">
        <v>354</v>
      </c>
      <c r="C355" s="10"/>
      <c r="D355" s="10"/>
      <c r="E355" s="10"/>
      <c r="F355" s="31" t="str">
        <f>IFERROR(VLOOKUP(Tabla1[[#This Row],[N° pedido compra]],InfoFactura!$A$1:$M$51,2,FALSE),"")</f>
        <v/>
      </c>
    </row>
    <row r="356" spans="1:6" x14ac:dyDescent="0.25">
      <c r="A356" s="28"/>
      <c r="B356" s="29" t="s">
        <v>355</v>
      </c>
      <c r="C356" s="10"/>
      <c r="D356" s="10"/>
      <c r="E356" s="10"/>
      <c r="F356" s="31" t="str">
        <f>IFERROR(VLOOKUP(Tabla1[[#This Row],[N° pedido compra]],InfoFactura!$A$1:$M$51,2,FALSE),"")</f>
        <v/>
      </c>
    </row>
    <row r="357" spans="1:6" x14ac:dyDescent="0.25">
      <c r="A357" s="28"/>
      <c r="B357" s="29" t="s">
        <v>356</v>
      </c>
      <c r="C357" s="10"/>
      <c r="D357" s="10"/>
      <c r="E357" s="10"/>
      <c r="F357" s="31" t="str">
        <f>IFERROR(VLOOKUP(Tabla1[[#This Row],[N° pedido compra]],InfoFactura!$A$1:$M$51,2,FALSE),"")</f>
        <v/>
      </c>
    </row>
    <row r="358" spans="1:6" x14ac:dyDescent="0.25">
      <c r="A358" s="28"/>
      <c r="B358" s="29" t="s">
        <v>357</v>
      </c>
      <c r="C358" s="10"/>
      <c r="D358" s="10"/>
      <c r="E358" s="10"/>
      <c r="F358" s="31" t="str">
        <f>IFERROR(VLOOKUP(Tabla1[[#This Row],[N° pedido compra]],InfoFactura!$A$1:$M$51,2,FALSE),"")</f>
        <v/>
      </c>
    </row>
    <row r="359" spans="1:6" x14ac:dyDescent="0.25">
      <c r="A359" s="28"/>
      <c r="B359" s="29" t="s">
        <v>358</v>
      </c>
      <c r="C359" s="10"/>
      <c r="D359" s="10"/>
      <c r="E359" s="10"/>
      <c r="F359" s="31" t="str">
        <f>IFERROR(VLOOKUP(Tabla1[[#This Row],[N° pedido compra]],InfoFactura!$A$1:$M$51,2,FALSE),"")</f>
        <v/>
      </c>
    </row>
    <row r="360" spans="1:6" x14ac:dyDescent="0.25">
      <c r="A360" s="28"/>
      <c r="B360" s="29" t="s">
        <v>359</v>
      </c>
      <c r="C360" s="10"/>
      <c r="D360" s="10"/>
      <c r="E360" s="10"/>
      <c r="F360" s="31" t="str">
        <f>IFERROR(VLOOKUP(Tabla1[[#This Row],[N° pedido compra]],InfoFactura!$A$1:$M$51,2,FALSE),"")</f>
        <v/>
      </c>
    </row>
    <row r="361" spans="1:6" x14ac:dyDescent="0.25">
      <c r="A361" s="28"/>
      <c r="B361" s="29" t="s">
        <v>360</v>
      </c>
      <c r="C361" s="10"/>
      <c r="D361" s="10"/>
      <c r="E361" s="10"/>
      <c r="F361" s="31" t="str">
        <f>IFERROR(VLOOKUP(Tabla1[[#This Row],[N° pedido compra]],InfoFactura!$A$1:$M$51,2,FALSE),"")</f>
        <v/>
      </c>
    </row>
    <row r="362" spans="1:6" x14ac:dyDescent="0.25">
      <c r="A362" s="28"/>
      <c r="B362" s="29" t="s">
        <v>361</v>
      </c>
      <c r="C362" s="10"/>
      <c r="D362" s="10"/>
      <c r="E362" s="10"/>
      <c r="F362" s="31" t="str">
        <f>IFERROR(VLOOKUP(Tabla1[[#This Row],[N° pedido compra]],InfoFactura!$A$1:$M$51,2,FALSE),"")</f>
        <v/>
      </c>
    </row>
    <row r="363" spans="1:6" x14ac:dyDescent="0.25">
      <c r="A363" s="28"/>
      <c r="B363" s="29" t="s">
        <v>362</v>
      </c>
      <c r="C363" s="10"/>
      <c r="D363" s="10"/>
      <c r="E363" s="10"/>
      <c r="F363" s="31" t="str">
        <f>IFERROR(VLOOKUP(Tabla1[[#This Row],[N° pedido compra]],InfoFactura!$A$1:$M$51,2,FALSE),"")</f>
        <v/>
      </c>
    </row>
    <row r="364" spans="1:6" x14ac:dyDescent="0.25">
      <c r="A364" s="28"/>
      <c r="B364" s="29" t="s">
        <v>363</v>
      </c>
      <c r="C364" s="10"/>
      <c r="D364" s="10"/>
      <c r="E364" s="10"/>
      <c r="F364" s="31" t="str">
        <f>IFERROR(VLOOKUP(Tabla1[[#This Row],[N° pedido compra]],InfoFactura!$A$1:$M$51,2,FALSE),"")</f>
        <v/>
      </c>
    </row>
    <row r="365" spans="1:6" x14ac:dyDescent="0.25">
      <c r="A365" s="28"/>
      <c r="B365" s="29" t="s">
        <v>364</v>
      </c>
      <c r="C365" s="10"/>
      <c r="D365" s="10"/>
      <c r="E365" s="10"/>
      <c r="F365" s="31" t="str">
        <f>IFERROR(VLOOKUP(Tabla1[[#This Row],[N° pedido compra]],InfoFactura!$A$1:$M$51,2,FALSE),"")</f>
        <v/>
      </c>
    </row>
    <row r="366" spans="1:6" x14ac:dyDescent="0.25">
      <c r="A366" s="28"/>
      <c r="B366" s="29" t="s">
        <v>365</v>
      </c>
      <c r="C366" s="10"/>
      <c r="D366" s="10"/>
      <c r="E366" s="10"/>
      <c r="F366" s="31" t="str">
        <f>IFERROR(VLOOKUP(Tabla1[[#This Row],[N° pedido compra]],InfoFactura!$A$1:$M$51,2,FALSE),"")</f>
        <v/>
      </c>
    </row>
    <row r="367" spans="1:6" x14ac:dyDescent="0.25">
      <c r="A367" s="28"/>
      <c r="B367" s="29" t="s">
        <v>366</v>
      </c>
      <c r="C367" s="10"/>
      <c r="D367" s="10"/>
      <c r="E367" s="10"/>
      <c r="F367" s="31" t="str">
        <f>IFERROR(VLOOKUP(Tabla1[[#This Row],[N° pedido compra]],InfoFactura!$A$1:$M$51,2,FALSE),"")</f>
        <v/>
      </c>
    </row>
    <row r="368" spans="1:6" x14ac:dyDescent="0.25">
      <c r="A368" s="28"/>
      <c r="B368" s="29" t="s">
        <v>367</v>
      </c>
      <c r="C368" s="10"/>
      <c r="D368" s="10"/>
      <c r="E368" s="10"/>
      <c r="F368" s="31" t="str">
        <f>IFERROR(VLOOKUP(Tabla1[[#This Row],[N° pedido compra]],InfoFactura!$A$1:$M$51,2,FALSE),"")</f>
        <v/>
      </c>
    </row>
    <row r="369" spans="1:6" x14ac:dyDescent="0.25">
      <c r="A369" s="28"/>
      <c r="B369" s="29" t="s">
        <v>368</v>
      </c>
      <c r="C369" s="10"/>
      <c r="D369" s="10"/>
      <c r="E369" s="10"/>
      <c r="F369" s="31" t="str">
        <f>IFERROR(VLOOKUP(Tabla1[[#This Row],[N° pedido compra]],InfoFactura!$A$1:$M$51,2,FALSE),"")</f>
        <v/>
      </c>
    </row>
    <row r="370" spans="1:6" x14ac:dyDescent="0.25">
      <c r="A370" s="28"/>
      <c r="B370" s="29" t="s">
        <v>369</v>
      </c>
      <c r="C370" s="10"/>
      <c r="D370" s="10"/>
      <c r="E370" s="10"/>
      <c r="F370" s="31" t="str">
        <f>IFERROR(VLOOKUP(Tabla1[[#This Row],[N° pedido compra]],InfoFactura!$A$1:$M$51,2,FALSE),"")</f>
        <v/>
      </c>
    </row>
    <row r="371" spans="1:6" x14ac:dyDescent="0.25">
      <c r="A371" s="28"/>
      <c r="B371" s="29" t="s">
        <v>370</v>
      </c>
      <c r="C371" s="10"/>
      <c r="D371" s="10"/>
      <c r="E371" s="10"/>
      <c r="F371" s="31" t="str">
        <f>IFERROR(VLOOKUP(Tabla1[[#This Row],[N° pedido compra]],InfoFactura!$A$1:$M$51,2,FALSE),"")</f>
        <v/>
      </c>
    </row>
    <row r="372" spans="1:6" x14ac:dyDescent="0.25">
      <c r="A372" s="28"/>
      <c r="B372" s="29" t="s">
        <v>371</v>
      </c>
      <c r="C372" s="10"/>
      <c r="D372" s="10"/>
      <c r="E372" s="10"/>
      <c r="F372" s="31" t="str">
        <f>IFERROR(VLOOKUP(Tabla1[[#This Row],[N° pedido compra]],InfoFactura!$A$1:$M$51,2,FALSE),"")</f>
        <v/>
      </c>
    </row>
    <row r="373" spans="1:6" x14ac:dyDescent="0.25">
      <c r="A373" s="28"/>
      <c r="B373" s="29" t="s">
        <v>372</v>
      </c>
      <c r="C373" s="10"/>
      <c r="D373" s="10"/>
      <c r="E373" s="10"/>
      <c r="F373" s="31" t="str">
        <f>IFERROR(VLOOKUP(Tabla1[[#This Row],[N° pedido compra]],InfoFactura!$A$1:$M$51,2,FALSE),"")</f>
        <v/>
      </c>
    </row>
    <row r="374" spans="1:6" x14ac:dyDescent="0.25">
      <c r="A374" s="28"/>
      <c r="B374" s="29" t="s">
        <v>373</v>
      </c>
      <c r="C374" s="10"/>
      <c r="D374" s="10"/>
      <c r="E374" s="10"/>
      <c r="F374" s="31" t="str">
        <f>IFERROR(VLOOKUP(Tabla1[[#This Row],[N° pedido compra]],InfoFactura!$A$1:$M$51,2,FALSE),"")</f>
        <v/>
      </c>
    </row>
    <row r="375" spans="1:6" x14ac:dyDescent="0.25">
      <c r="A375" s="28"/>
      <c r="B375" s="29" t="s">
        <v>374</v>
      </c>
      <c r="C375" s="10"/>
      <c r="D375" s="10"/>
      <c r="E375" s="10"/>
      <c r="F375" s="31" t="str">
        <f>IFERROR(VLOOKUP(Tabla1[[#This Row],[N° pedido compra]],InfoFactura!$A$1:$M$51,2,FALSE),"")</f>
        <v/>
      </c>
    </row>
    <row r="376" spans="1:6" x14ac:dyDescent="0.25">
      <c r="A376" s="28"/>
      <c r="B376" s="29" t="s">
        <v>375</v>
      </c>
      <c r="C376" s="10"/>
      <c r="D376" s="10"/>
      <c r="E376" s="10"/>
      <c r="F376" s="31" t="str">
        <f>IFERROR(VLOOKUP(Tabla1[[#This Row],[N° pedido compra]],InfoFactura!$A$1:$M$51,2,FALSE),"")</f>
        <v/>
      </c>
    </row>
    <row r="377" spans="1:6" x14ac:dyDescent="0.25">
      <c r="A377" s="28"/>
      <c r="B377" s="29" t="s">
        <v>376</v>
      </c>
      <c r="C377" s="10"/>
      <c r="D377" s="10"/>
      <c r="E377" s="10"/>
      <c r="F377" s="31" t="str">
        <f>IFERROR(VLOOKUP(Tabla1[[#This Row],[N° pedido compra]],InfoFactura!$A$1:$M$51,2,FALSE),"")</f>
        <v/>
      </c>
    </row>
    <row r="378" spans="1:6" x14ac:dyDescent="0.25">
      <c r="A378" s="28"/>
      <c r="B378" s="29" t="s">
        <v>377</v>
      </c>
      <c r="C378" s="10"/>
      <c r="D378" s="10"/>
      <c r="E378" s="10"/>
      <c r="F378" s="31" t="str">
        <f>IFERROR(VLOOKUP(Tabla1[[#This Row],[N° pedido compra]],InfoFactura!$A$1:$M$51,2,FALSE),"")</f>
        <v/>
      </c>
    </row>
    <row r="379" spans="1:6" x14ac:dyDescent="0.25">
      <c r="A379" s="28"/>
      <c r="B379" s="29" t="s">
        <v>378</v>
      </c>
      <c r="C379" s="10"/>
      <c r="D379" s="10"/>
      <c r="E379" s="10"/>
      <c r="F379" s="31" t="str">
        <f>IFERROR(VLOOKUP(Tabla1[[#This Row],[N° pedido compra]],InfoFactura!$A$1:$M$51,2,FALSE),"")</f>
        <v/>
      </c>
    </row>
    <row r="380" spans="1:6" x14ac:dyDescent="0.25">
      <c r="A380" s="28"/>
      <c r="B380" s="29" t="s">
        <v>379</v>
      </c>
      <c r="C380" s="10"/>
      <c r="D380" s="10"/>
      <c r="E380" s="10"/>
      <c r="F380" s="31" t="str">
        <f>IFERROR(VLOOKUP(Tabla1[[#This Row],[N° pedido compra]],InfoFactura!$A$1:$M$51,2,FALSE),"")</f>
        <v/>
      </c>
    </row>
    <row r="381" spans="1:6" x14ac:dyDescent="0.25">
      <c r="A381" s="28"/>
      <c r="B381" s="29" t="s">
        <v>380</v>
      </c>
      <c r="C381" s="10"/>
      <c r="D381" s="10"/>
      <c r="E381" s="10"/>
      <c r="F381" s="31" t="str">
        <f>IFERROR(VLOOKUP(Tabla1[[#This Row],[N° pedido compra]],InfoFactura!$A$1:$M$51,2,FALSE),"")</f>
        <v/>
      </c>
    </row>
    <row r="382" spans="1:6" x14ac:dyDescent="0.25">
      <c r="A382" s="28"/>
      <c r="B382" s="29" t="s">
        <v>381</v>
      </c>
      <c r="C382" s="10"/>
      <c r="D382" s="10"/>
      <c r="E382" s="10"/>
      <c r="F382" s="31" t="str">
        <f>IFERROR(VLOOKUP(Tabla1[[#This Row],[N° pedido compra]],InfoFactura!$A$1:$M$51,2,FALSE),"")</f>
        <v/>
      </c>
    </row>
    <row r="383" spans="1:6" x14ac:dyDescent="0.25">
      <c r="A383" s="28"/>
      <c r="B383" s="29" t="s">
        <v>382</v>
      </c>
      <c r="C383" s="10"/>
      <c r="D383" s="10"/>
      <c r="E383" s="10"/>
      <c r="F383" s="31" t="str">
        <f>IFERROR(VLOOKUP(Tabla1[[#This Row],[N° pedido compra]],InfoFactura!$A$1:$M$51,2,FALSE),"")</f>
        <v/>
      </c>
    </row>
    <row r="384" spans="1:6" x14ac:dyDescent="0.25">
      <c r="A384" s="28"/>
      <c r="B384" s="29" t="s">
        <v>383</v>
      </c>
      <c r="C384" s="10"/>
      <c r="D384" s="10"/>
      <c r="E384" s="10"/>
      <c r="F384" s="31" t="str">
        <f>IFERROR(VLOOKUP(Tabla1[[#This Row],[N° pedido compra]],InfoFactura!$A$1:$M$51,2,FALSE),"")</f>
        <v/>
      </c>
    </row>
    <row r="385" spans="1:6" x14ac:dyDescent="0.25">
      <c r="A385" s="28"/>
      <c r="B385" s="29" t="s">
        <v>384</v>
      </c>
      <c r="C385" s="10"/>
      <c r="D385" s="10"/>
      <c r="E385" s="10"/>
      <c r="F385" s="31" t="str">
        <f>IFERROR(VLOOKUP(Tabla1[[#This Row],[N° pedido compra]],InfoFactura!$A$1:$M$51,2,FALSE),"")</f>
        <v/>
      </c>
    </row>
    <row r="386" spans="1:6" x14ac:dyDescent="0.25">
      <c r="A386" s="28"/>
      <c r="B386" s="29" t="s">
        <v>385</v>
      </c>
      <c r="C386" s="10"/>
      <c r="D386" s="10"/>
      <c r="E386" s="10"/>
      <c r="F386" s="31" t="str">
        <f>IFERROR(VLOOKUP(Tabla1[[#This Row],[N° pedido compra]],InfoFactura!$A$1:$M$51,2,FALSE),"")</f>
        <v/>
      </c>
    </row>
    <row r="387" spans="1:6" x14ac:dyDescent="0.25">
      <c r="A387" s="28"/>
      <c r="B387" s="29" t="s">
        <v>386</v>
      </c>
      <c r="C387" s="10"/>
      <c r="D387" s="10"/>
      <c r="E387" s="10"/>
      <c r="F387" s="31" t="str">
        <f>IFERROR(VLOOKUP(Tabla1[[#This Row],[N° pedido compra]],InfoFactura!$A$1:$M$51,2,FALSE),"")</f>
        <v/>
      </c>
    </row>
    <row r="388" spans="1:6" x14ac:dyDescent="0.25">
      <c r="A388" s="28"/>
      <c r="B388" s="29" t="s">
        <v>387</v>
      </c>
      <c r="C388" s="10"/>
      <c r="D388" s="10"/>
      <c r="E388" s="10"/>
      <c r="F388" s="31" t="str">
        <f>IFERROR(VLOOKUP(Tabla1[[#This Row],[N° pedido compra]],InfoFactura!$A$1:$M$51,2,FALSE),"")</f>
        <v/>
      </c>
    </row>
    <row r="389" spans="1:6" x14ac:dyDescent="0.25">
      <c r="A389" s="28"/>
      <c r="B389" s="29" t="s">
        <v>388</v>
      </c>
      <c r="C389" s="10"/>
      <c r="D389" s="10"/>
      <c r="E389" s="10"/>
      <c r="F389" s="31" t="str">
        <f>IFERROR(VLOOKUP(Tabla1[[#This Row],[N° pedido compra]],InfoFactura!$A$1:$M$51,2,FALSE),"")</f>
        <v/>
      </c>
    </row>
    <row r="390" spans="1:6" x14ac:dyDescent="0.25">
      <c r="A390" s="28"/>
      <c r="B390" s="29" t="s">
        <v>389</v>
      </c>
      <c r="C390" s="10"/>
      <c r="D390" s="10"/>
      <c r="E390" s="10"/>
      <c r="F390" s="31" t="str">
        <f>IFERROR(VLOOKUP(Tabla1[[#This Row],[N° pedido compra]],InfoFactura!$A$1:$M$51,2,FALSE),"")</f>
        <v/>
      </c>
    </row>
    <row r="391" spans="1:6" x14ac:dyDescent="0.25">
      <c r="A391" s="28"/>
      <c r="B391" s="29" t="s">
        <v>390</v>
      </c>
      <c r="C391" s="10"/>
      <c r="D391" s="10"/>
      <c r="E391" s="10"/>
      <c r="F391" s="31" t="str">
        <f>IFERROR(VLOOKUP(Tabla1[[#This Row],[N° pedido compra]],InfoFactura!$A$1:$M$51,2,FALSE),"")</f>
        <v/>
      </c>
    </row>
    <row r="392" spans="1:6" x14ac:dyDescent="0.25">
      <c r="A392" s="28"/>
      <c r="B392" s="29" t="s">
        <v>391</v>
      </c>
      <c r="C392" s="10"/>
      <c r="D392" s="10"/>
      <c r="E392" s="10"/>
      <c r="F392" s="31" t="str">
        <f>IFERROR(VLOOKUP(Tabla1[[#This Row],[N° pedido compra]],InfoFactura!$A$1:$M$51,2,FALSE),"")</f>
        <v/>
      </c>
    </row>
    <row r="393" spans="1:6" x14ac:dyDescent="0.25">
      <c r="A393" s="28"/>
      <c r="B393" s="29" t="s">
        <v>392</v>
      </c>
      <c r="C393" s="10"/>
      <c r="D393" s="10"/>
      <c r="E393" s="10"/>
      <c r="F393" s="31" t="str">
        <f>IFERROR(VLOOKUP(Tabla1[[#This Row],[N° pedido compra]],InfoFactura!$A$1:$M$51,2,FALSE),"")</f>
        <v/>
      </c>
    </row>
    <row r="394" spans="1:6" x14ac:dyDescent="0.25">
      <c r="A394" s="28"/>
      <c r="B394" s="29" t="s">
        <v>393</v>
      </c>
      <c r="C394" s="10"/>
      <c r="D394" s="10"/>
      <c r="E394" s="10"/>
      <c r="F394" s="31" t="str">
        <f>IFERROR(VLOOKUP(Tabla1[[#This Row],[N° pedido compra]],InfoFactura!$A$1:$M$51,2,FALSE),"")</f>
        <v/>
      </c>
    </row>
    <row r="395" spans="1:6" x14ac:dyDescent="0.25">
      <c r="A395" s="28"/>
      <c r="B395" s="29" t="s">
        <v>394</v>
      </c>
      <c r="C395" s="10"/>
      <c r="D395" s="10"/>
      <c r="E395" s="10"/>
      <c r="F395" s="31" t="str">
        <f>IFERROR(VLOOKUP(Tabla1[[#This Row],[N° pedido compra]],InfoFactura!$A$1:$M$51,2,FALSE),"")</f>
        <v/>
      </c>
    </row>
    <row r="396" spans="1:6" x14ac:dyDescent="0.25">
      <c r="A396" s="28"/>
      <c r="B396" s="29" t="s">
        <v>395</v>
      </c>
      <c r="C396" s="10"/>
      <c r="D396" s="10"/>
      <c r="E396" s="10"/>
      <c r="F396" s="31" t="str">
        <f>IFERROR(VLOOKUP(Tabla1[[#This Row],[N° pedido compra]],InfoFactura!$A$1:$M$51,2,FALSE),"")</f>
        <v/>
      </c>
    </row>
    <row r="397" spans="1:6" x14ac:dyDescent="0.25">
      <c r="A397" s="28"/>
      <c r="B397" s="29" t="s">
        <v>396</v>
      </c>
      <c r="C397" s="10"/>
      <c r="D397" s="10"/>
      <c r="E397" s="10"/>
      <c r="F397" s="31" t="str">
        <f>IFERROR(VLOOKUP(Tabla1[[#This Row],[N° pedido compra]],InfoFactura!$A$1:$M$51,2,FALSE),"")</f>
        <v/>
      </c>
    </row>
    <row r="398" spans="1:6" x14ac:dyDescent="0.25">
      <c r="A398" s="28"/>
      <c r="B398" s="29" t="s">
        <v>397</v>
      </c>
      <c r="C398" s="10"/>
      <c r="D398" s="10"/>
      <c r="E398" s="10"/>
      <c r="F398" s="31" t="str">
        <f>IFERROR(VLOOKUP(Tabla1[[#This Row],[N° pedido compra]],InfoFactura!$A$1:$M$51,2,FALSE),"")</f>
        <v/>
      </c>
    </row>
    <row r="399" spans="1:6" x14ac:dyDescent="0.25">
      <c r="A399" s="28"/>
      <c r="B399" s="29" t="s">
        <v>398</v>
      </c>
      <c r="C399" s="10"/>
      <c r="D399" s="10"/>
      <c r="E399" s="10"/>
      <c r="F399" s="31" t="str">
        <f>IFERROR(VLOOKUP(Tabla1[[#This Row],[N° pedido compra]],InfoFactura!$A$1:$M$51,2,FALSE),"")</f>
        <v/>
      </c>
    </row>
    <row r="400" spans="1:6" x14ac:dyDescent="0.25">
      <c r="A400" s="28"/>
      <c r="B400" s="29" t="s">
        <v>399</v>
      </c>
      <c r="C400" s="10"/>
      <c r="D400" s="10"/>
      <c r="E400" s="10"/>
      <c r="F400" s="31" t="str">
        <f>IFERROR(VLOOKUP(Tabla1[[#This Row],[N° pedido compra]],InfoFactura!$A$1:$M$51,2,FALSE),"")</f>
        <v/>
      </c>
    </row>
    <row r="401" spans="1:6" x14ac:dyDescent="0.25">
      <c r="A401" s="28"/>
      <c r="B401" s="29" t="s">
        <v>400</v>
      </c>
      <c r="C401" s="10"/>
      <c r="D401" s="10"/>
      <c r="E401" s="10"/>
      <c r="F401" s="31" t="str">
        <f>IFERROR(VLOOKUP(Tabla1[[#This Row],[N° pedido compra]],InfoFactura!$A$1:$M$51,2,FALSE),"")</f>
        <v/>
      </c>
    </row>
    <row r="402" spans="1:6" x14ac:dyDescent="0.25">
      <c r="A402" s="28"/>
      <c r="B402" s="29" t="s">
        <v>401</v>
      </c>
      <c r="C402" s="10"/>
      <c r="D402" s="10"/>
      <c r="E402" s="10"/>
      <c r="F402" s="31" t="str">
        <f>IFERROR(VLOOKUP(Tabla1[[#This Row],[N° pedido compra]],InfoFactura!$A$1:$M$51,2,FALSE),"")</f>
        <v/>
      </c>
    </row>
    <row r="403" spans="1:6" x14ac:dyDescent="0.25">
      <c r="A403" s="28"/>
      <c r="B403" s="29" t="s">
        <v>402</v>
      </c>
      <c r="C403" s="10"/>
      <c r="D403" s="10"/>
      <c r="E403" s="10"/>
      <c r="F403" s="31" t="str">
        <f>IFERROR(VLOOKUP(Tabla1[[#This Row],[N° pedido compra]],InfoFactura!$A$1:$M$51,2,FALSE),"")</f>
        <v/>
      </c>
    </row>
    <row r="404" spans="1:6" x14ac:dyDescent="0.25">
      <c r="A404" s="28"/>
      <c r="B404" s="29" t="s">
        <v>403</v>
      </c>
      <c r="C404" s="10"/>
      <c r="D404" s="10"/>
      <c r="E404" s="10"/>
      <c r="F404" s="31" t="str">
        <f>IFERROR(VLOOKUP(Tabla1[[#This Row],[N° pedido compra]],InfoFactura!$A$1:$M$51,2,FALSE),"")</f>
        <v/>
      </c>
    </row>
    <row r="405" spans="1:6" x14ac:dyDescent="0.25">
      <c r="A405" s="28"/>
      <c r="B405" s="29" t="s">
        <v>404</v>
      </c>
      <c r="C405" s="10"/>
      <c r="D405" s="10"/>
      <c r="E405" s="10"/>
      <c r="F405" s="31" t="str">
        <f>IFERROR(VLOOKUP(Tabla1[[#This Row],[N° pedido compra]],InfoFactura!$A$1:$M$51,2,FALSE),"")</f>
        <v/>
      </c>
    </row>
    <row r="406" spans="1:6" x14ac:dyDescent="0.25">
      <c r="A406" s="28"/>
      <c r="B406" s="29" t="s">
        <v>405</v>
      </c>
      <c r="C406" s="10"/>
      <c r="D406" s="10"/>
      <c r="E406" s="10"/>
      <c r="F406" s="31" t="str">
        <f>IFERROR(VLOOKUP(Tabla1[[#This Row],[N° pedido compra]],InfoFactura!$A$1:$M$51,2,FALSE),"")</f>
        <v/>
      </c>
    </row>
    <row r="407" spans="1:6" x14ac:dyDescent="0.25">
      <c r="A407" s="28"/>
      <c r="B407" s="29" t="s">
        <v>406</v>
      </c>
      <c r="C407" s="10"/>
      <c r="D407" s="10"/>
      <c r="E407" s="10"/>
      <c r="F407" s="31" t="str">
        <f>IFERROR(VLOOKUP(Tabla1[[#This Row],[N° pedido compra]],InfoFactura!$A$1:$M$51,2,FALSE),"")</f>
        <v/>
      </c>
    </row>
    <row r="408" spans="1:6" x14ac:dyDescent="0.25">
      <c r="A408" s="28"/>
      <c r="B408" s="29" t="s">
        <v>407</v>
      </c>
      <c r="C408" s="10"/>
      <c r="D408" s="10"/>
      <c r="E408" s="10"/>
      <c r="F408" s="31" t="str">
        <f>IFERROR(VLOOKUP(Tabla1[[#This Row],[N° pedido compra]],InfoFactura!$A$1:$M$51,2,FALSE),"")</f>
        <v/>
      </c>
    </row>
    <row r="409" spans="1:6" x14ac:dyDescent="0.25">
      <c r="A409" s="28"/>
      <c r="B409" s="29" t="s">
        <v>408</v>
      </c>
      <c r="C409" s="10"/>
      <c r="D409" s="10"/>
      <c r="E409" s="10"/>
      <c r="F409" s="31" t="str">
        <f>IFERROR(VLOOKUP(Tabla1[[#This Row],[N° pedido compra]],InfoFactura!$A$1:$M$51,2,FALSE),"")</f>
        <v/>
      </c>
    </row>
    <row r="410" spans="1:6" x14ac:dyDescent="0.25">
      <c r="A410" s="28"/>
      <c r="B410" s="29" t="s">
        <v>409</v>
      </c>
      <c r="C410" s="10"/>
      <c r="D410" s="10"/>
      <c r="E410" s="10"/>
      <c r="F410" s="31" t="str">
        <f>IFERROR(VLOOKUP(Tabla1[[#This Row],[N° pedido compra]],InfoFactura!$A$1:$M$51,2,FALSE),"")</f>
        <v/>
      </c>
    </row>
    <row r="411" spans="1:6" x14ac:dyDescent="0.25">
      <c r="A411" s="28"/>
      <c r="B411" s="29" t="s">
        <v>410</v>
      </c>
      <c r="C411" s="10"/>
      <c r="D411" s="10"/>
      <c r="E411" s="10"/>
      <c r="F411" s="31" t="str">
        <f>IFERROR(VLOOKUP(Tabla1[[#This Row],[N° pedido compra]],InfoFactura!$A$1:$M$51,2,FALSE),"")</f>
        <v/>
      </c>
    </row>
    <row r="412" spans="1:6" x14ac:dyDescent="0.25">
      <c r="A412" s="28"/>
      <c r="B412" s="29" t="s">
        <v>411</v>
      </c>
      <c r="C412" s="10"/>
      <c r="D412" s="10"/>
      <c r="E412" s="10"/>
      <c r="F412" s="31" t="str">
        <f>IFERROR(VLOOKUP(Tabla1[[#This Row],[N° pedido compra]],InfoFactura!$A$1:$M$51,2,FALSE),"")</f>
        <v/>
      </c>
    </row>
    <row r="413" spans="1:6" x14ac:dyDescent="0.25">
      <c r="A413" s="28"/>
      <c r="B413" s="29" t="s">
        <v>412</v>
      </c>
      <c r="C413" s="10"/>
      <c r="D413" s="10"/>
      <c r="E413" s="10"/>
      <c r="F413" s="31" t="str">
        <f>IFERROR(VLOOKUP(Tabla1[[#This Row],[N° pedido compra]],InfoFactura!$A$1:$M$51,2,FALSE),"")</f>
        <v/>
      </c>
    </row>
    <row r="414" spans="1:6" x14ac:dyDescent="0.25">
      <c r="A414" s="28"/>
      <c r="B414" s="29" t="s">
        <v>413</v>
      </c>
      <c r="C414" s="10"/>
      <c r="D414" s="10"/>
      <c r="E414" s="10"/>
      <c r="F414" s="31" t="str">
        <f>IFERROR(VLOOKUP(Tabla1[[#This Row],[N° pedido compra]],InfoFactura!$A$1:$M$51,2,FALSE),"")</f>
        <v/>
      </c>
    </row>
    <row r="415" spans="1:6" x14ac:dyDescent="0.25">
      <c r="A415" s="28"/>
      <c r="B415" s="29" t="s">
        <v>414</v>
      </c>
      <c r="C415" s="10"/>
      <c r="D415" s="10"/>
      <c r="E415" s="10"/>
      <c r="F415" s="31" t="str">
        <f>IFERROR(VLOOKUP(Tabla1[[#This Row],[N° pedido compra]],InfoFactura!$A$1:$M$51,2,FALSE),"")</f>
        <v/>
      </c>
    </row>
    <row r="416" spans="1:6" x14ac:dyDescent="0.25">
      <c r="A416" s="28"/>
      <c r="B416" s="29" t="s">
        <v>415</v>
      </c>
      <c r="C416" s="10"/>
      <c r="D416" s="10"/>
      <c r="E416" s="10"/>
      <c r="F416" s="31" t="str">
        <f>IFERROR(VLOOKUP(Tabla1[[#This Row],[N° pedido compra]],InfoFactura!$A$1:$M$51,2,FALSE),"")</f>
        <v/>
      </c>
    </row>
    <row r="417" spans="1:6" x14ac:dyDescent="0.25">
      <c r="A417" s="28"/>
      <c r="B417" s="29" t="s">
        <v>416</v>
      </c>
      <c r="C417" s="10"/>
      <c r="D417" s="10"/>
      <c r="E417" s="10"/>
      <c r="F417" s="31" t="str">
        <f>IFERROR(VLOOKUP(Tabla1[[#This Row],[N° pedido compra]],InfoFactura!$A$1:$M$51,2,FALSE),"")</f>
        <v/>
      </c>
    </row>
    <row r="418" spans="1:6" x14ac:dyDescent="0.25">
      <c r="A418" s="28"/>
      <c r="B418" s="29" t="s">
        <v>417</v>
      </c>
      <c r="C418" s="10"/>
      <c r="D418" s="10"/>
      <c r="E418" s="10"/>
      <c r="F418" s="31" t="str">
        <f>IFERROR(VLOOKUP(Tabla1[[#This Row],[N° pedido compra]],InfoFactura!$A$1:$M$51,2,FALSE),"")</f>
        <v/>
      </c>
    </row>
    <row r="419" spans="1:6" x14ac:dyDescent="0.25">
      <c r="A419" s="28"/>
      <c r="B419" s="29" t="s">
        <v>418</v>
      </c>
      <c r="C419" s="10"/>
      <c r="D419" s="10"/>
      <c r="E419" s="10"/>
      <c r="F419" s="31" t="str">
        <f>IFERROR(VLOOKUP(Tabla1[[#This Row],[N° pedido compra]],InfoFactura!$A$1:$M$51,2,FALSE),"")</f>
        <v/>
      </c>
    </row>
    <row r="420" spans="1:6" x14ac:dyDescent="0.25">
      <c r="A420" s="28"/>
      <c r="B420" s="29" t="s">
        <v>419</v>
      </c>
      <c r="C420" s="10"/>
      <c r="D420" s="10"/>
      <c r="E420" s="10"/>
      <c r="F420" s="31" t="str">
        <f>IFERROR(VLOOKUP(Tabla1[[#This Row],[N° pedido compra]],InfoFactura!$A$1:$M$51,2,FALSE),"")</f>
        <v/>
      </c>
    </row>
    <row r="421" spans="1:6" x14ac:dyDescent="0.25">
      <c r="A421" s="28"/>
      <c r="B421" s="29" t="s">
        <v>420</v>
      </c>
      <c r="C421" s="10"/>
      <c r="D421" s="10"/>
      <c r="E421" s="10"/>
      <c r="F421" s="31" t="str">
        <f>IFERROR(VLOOKUP(Tabla1[[#This Row],[N° pedido compra]],InfoFactura!$A$1:$M$51,2,FALSE),"")</f>
        <v/>
      </c>
    </row>
    <row r="422" spans="1:6" x14ac:dyDescent="0.25">
      <c r="A422" s="28"/>
      <c r="B422" s="29" t="s">
        <v>421</v>
      </c>
      <c r="C422" s="10"/>
      <c r="D422" s="10"/>
      <c r="E422" s="10"/>
      <c r="F422" s="31" t="str">
        <f>IFERROR(VLOOKUP(Tabla1[[#This Row],[N° pedido compra]],InfoFactura!$A$1:$M$51,2,FALSE),"")</f>
        <v/>
      </c>
    </row>
    <row r="423" spans="1:6" x14ac:dyDescent="0.25">
      <c r="A423" s="28"/>
      <c r="B423" s="29" t="s">
        <v>422</v>
      </c>
      <c r="C423" s="10"/>
      <c r="D423" s="10"/>
      <c r="E423" s="10"/>
      <c r="F423" s="31" t="str">
        <f>IFERROR(VLOOKUP(Tabla1[[#This Row],[N° pedido compra]],InfoFactura!$A$1:$M$51,2,FALSE),"")</f>
        <v/>
      </c>
    </row>
    <row r="424" spans="1:6" x14ac:dyDescent="0.25">
      <c r="A424" s="28"/>
      <c r="B424" s="29" t="s">
        <v>423</v>
      </c>
      <c r="C424" s="10"/>
      <c r="D424" s="10"/>
      <c r="E424" s="10"/>
      <c r="F424" s="31" t="str">
        <f>IFERROR(VLOOKUP(Tabla1[[#This Row],[N° pedido compra]],InfoFactura!$A$1:$M$51,2,FALSE),"")</f>
        <v/>
      </c>
    </row>
    <row r="425" spans="1:6" x14ac:dyDescent="0.25">
      <c r="A425" s="28"/>
      <c r="B425" s="29" t="s">
        <v>424</v>
      </c>
      <c r="C425" s="10"/>
      <c r="D425" s="10"/>
      <c r="E425" s="10"/>
      <c r="F425" s="31" t="str">
        <f>IFERROR(VLOOKUP(Tabla1[[#This Row],[N° pedido compra]],InfoFactura!$A$1:$M$51,2,FALSE),"")</f>
        <v/>
      </c>
    </row>
    <row r="426" spans="1:6" x14ac:dyDescent="0.25">
      <c r="A426" s="28"/>
      <c r="B426" s="29" t="s">
        <v>425</v>
      </c>
      <c r="C426" s="10"/>
      <c r="D426" s="10"/>
      <c r="E426" s="10"/>
      <c r="F426" s="31" t="str">
        <f>IFERROR(VLOOKUP(Tabla1[[#This Row],[N° pedido compra]],InfoFactura!$A$1:$M$51,2,FALSE),"")</f>
        <v/>
      </c>
    </row>
    <row r="427" spans="1:6" x14ac:dyDescent="0.25">
      <c r="A427" s="28"/>
      <c r="B427" s="29" t="s">
        <v>426</v>
      </c>
      <c r="C427" s="10"/>
      <c r="D427" s="10"/>
      <c r="E427" s="10"/>
      <c r="F427" s="31" t="str">
        <f>IFERROR(VLOOKUP(Tabla1[[#This Row],[N° pedido compra]],InfoFactura!$A$1:$M$51,2,FALSE),"")</f>
        <v/>
      </c>
    </row>
    <row r="428" spans="1:6" x14ac:dyDescent="0.25">
      <c r="A428" s="28"/>
      <c r="B428" s="29" t="s">
        <v>427</v>
      </c>
      <c r="C428" s="10"/>
      <c r="D428" s="10"/>
      <c r="E428" s="10"/>
      <c r="F428" s="31" t="str">
        <f>IFERROR(VLOOKUP(Tabla1[[#This Row],[N° pedido compra]],InfoFactura!$A$1:$M$51,2,FALSE),"")</f>
        <v/>
      </c>
    </row>
    <row r="429" spans="1:6" x14ac:dyDescent="0.25">
      <c r="A429" s="28"/>
      <c r="B429" s="29" t="s">
        <v>428</v>
      </c>
      <c r="C429" s="10"/>
      <c r="D429" s="10"/>
      <c r="E429" s="10"/>
      <c r="F429" s="31" t="str">
        <f>IFERROR(VLOOKUP(Tabla1[[#This Row],[N° pedido compra]],InfoFactura!$A$1:$M$51,2,FALSE),"")</f>
        <v/>
      </c>
    </row>
    <row r="430" spans="1:6" x14ac:dyDescent="0.25">
      <c r="A430" s="28"/>
      <c r="B430" s="29" t="s">
        <v>429</v>
      </c>
      <c r="C430" s="10"/>
      <c r="D430" s="10"/>
      <c r="E430" s="10"/>
      <c r="F430" s="31" t="str">
        <f>IFERROR(VLOOKUP(Tabla1[[#This Row],[N° pedido compra]],InfoFactura!$A$1:$M$51,2,FALSE),"")</f>
        <v/>
      </c>
    </row>
    <row r="431" spans="1:6" x14ac:dyDescent="0.25">
      <c r="A431" s="28"/>
      <c r="B431" s="29" t="s">
        <v>430</v>
      </c>
      <c r="C431" s="10"/>
      <c r="D431" s="10"/>
      <c r="E431" s="10"/>
      <c r="F431" s="31" t="str">
        <f>IFERROR(VLOOKUP(Tabla1[[#This Row],[N° pedido compra]],InfoFactura!$A$1:$M$51,2,FALSE),"")</f>
        <v/>
      </c>
    </row>
    <row r="432" spans="1:6" x14ac:dyDescent="0.25">
      <c r="A432" s="28"/>
      <c r="B432" s="29" t="s">
        <v>431</v>
      </c>
      <c r="C432" s="10"/>
      <c r="D432" s="10"/>
      <c r="E432" s="10"/>
      <c r="F432" s="31" t="str">
        <f>IFERROR(VLOOKUP(Tabla1[[#This Row],[N° pedido compra]],InfoFactura!$A$1:$M$51,2,FALSE),"")</f>
        <v/>
      </c>
    </row>
    <row r="433" spans="1:6" x14ac:dyDescent="0.25">
      <c r="A433" s="28"/>
      <c r="B433" s="29" t="s">
        <v>432</v>
      </c>
      <c r="C433" s="10"/>
      <c r="D433" s="10"/>
      <c r="E433" s="10"/>
      <c r="F433" s="31" t="str">
        <f>IFERROR(VLOOKUP(Tabla1[[#This Row],[N° pedido compra]],InfoFactura!$A$1:$M$51,2,FALSE),"")</f>
        <v/>
      </c>
    </row>
    <row r="434" spans="1:6" x14ac:dyDescent="0.25">
      <c r="A434" s="28"/>
      <c r="B434" s="29" t="s">
        <v>433</v>
      </c>
      <c r="C434" s="10"/>
      <c r="D434" s="10"/>
      <c r="E434" s="10"/>
      <c r="F434" s="31" t="str">
        <f>IFERROR(VLOOKUP(Tabla1[[#This Row],[N° pedido compra]],InfoFactura!$A$1:$M$51,2,FALSE),"")</f>
        <v/>
      </c>
    </row>
    <row r="435" spans="1:6" x14ac:dyDescent="0.25">
      <c r="A435" s="28"/>
      <c r="B435" s="29" t="s">
        <v>434</v>
      </c>
      <c r="C435" s="10"/>
      <c r="D435" s="10"/>
      <c r="E435" s="10"/>
      <c r="F435" s="31" t="str">
        <f>IFERROR(VLOOKUP(Tabla1[[#This Row],[N° pedido compra]],InfoFactura!$A$1:$M$51,2,FALSE),"")</f>
        <v/>
      </c>
    </row>
    <row r="436" spans="1:6" x14ac:dyDescent="0.25">
      <c r="A436" s="28"/>
      <c r="B436" s="29" t="s">
        <v>435</v>
      </c>
      <c r="C436" s="10"/>
      <c r="D436" s="10"/>
      <c r="E436" s="10"/>
      <c r="F436" s="31" t="str">
        <f>IFERROR(VLOOKUP(Tabla1[[#This Row],[N° pedido compra]],InfoFactura!$A$1:$M$51,2,FALSE),"")</f>
        <v/>
      </c>
    </row>
    <row r="437" spans="1:6" x14ac:dyDescent="0.25">
      <c r="A437" s="28"/>
      <c r="B437" s="29" t="s">
        <v>436</v>
      </c>
      <c r="C437" s="10"/>
      <c r="D437" s="10"/>
      <c r="E437" s="10"/>
      <c r="F437" s="31" t="str">
        <f>IFERROR(VLOOKUP(Tabla1[[#This Row],[N° pedido compra]],InfoFactura!$A$1:$M$51,2,FALSE),"")</f>
        <v/>
      </c>
    </row>
    <row r="438" spans="1:6" x14ac:dyDescent="0.25">
      <c r="A438" s="28"/>
      <c r="B438" s="29" t="s">
        <v>437</v>
      </c>
      <c r="C438" s="10"/>
      <c r="D438" s="10"/>
      <c r="E438" s="10"/>
      <c r="F438" s="31" t="str">
        <f>IFERROR(VLOOKUP(Tabla1[[#This Row],[N° pedido compra]],InfoFactura!$A$1:$M$51,2,FALSE),"")</f>
        <v/>
      </c>
    </row>
    <row r="439" spans="1:6" x14ac:dyDescent="0.25">
      <c r="A439" s="28"/>
      <c r="B439" s="29" t="s">
        <v>438</v>
      </c>
      <c r="C439" s="10"/>
      <c r="D439" s="10"/>
      <c r="E439" s="10"/>
      <c r="F439" s="31" t="str">
        <f>IFERROR(VLOOKUP(Tabla1[[#This Row],[N° pedido compra]],InfoFactura!$A$1:$M$51,2,FALSE),"")</f>
        <v/>
      </c>
    </row>
    <row r="440" spans="1:6" x14ac:dyDescent="0.25">
      <c r="A440" s="28"/>
      <c r="B440" s="29" t="s">
        <v>439</v>
      </c>
      <c r="C440" s="10"/>
      <c r="D440" s="10"/>
      <c r="E440" s="10"/>
      <c r="F440" s="31" t="str">
        <f>IFERROR(VLOOKUP(Tabla1[[#This Row],[N° pedido compra]],InfoFactura!$A$1:$M$51,2,FALSE),"")</f>
        <v/>
      </c>
    </row>
    <row r="441" spans="1:6" x14ac:dyDescent="0.25">
      <c r="A441" s="28"/>
      <c r="B441" s="29" t="s">
        <v>440</v>
      </c>
      <c r="C441" s="10"/>
      <c r="D441" s="10"/>
      <c r="E441" s="10"/>
      <c r="F441" s="31" t="str">
        <f>IFERROR(VLOOKUP(Tabla1[[#This Row],[N° pedido compra]],InfoFactura!$A$1:$M$51,2,FALSE),"")</f>
        <v/>
      </c>
    </row>
    <row r="442" spans="1:6" x14ac:dyDescent="0.25">
      <c r="A442" s="28"/>
      <c r="B442" s="29" t="s">
        <v>441</v>
      </c>
      <c r="C442" s="10"/>
      <c r="D442" s="10"/>
      <c r="E442" s="10"/>
      <c r="F442" s="31" t="str">
        <f>IFERROR(VLOOKUP(Tabla1[[#This Row],[N° pedido compra]],InfoFactura!$A$1:$M$51,2,FALSE),"")</f>
        <v/>
      </c>
    </row>
    <row r="443" spans="1:6" x14ac:dyDescent="0.25">
      <c r="A443" s="28"/>
      <c r="B443" s="29" t="s">
        <v>442</v>
      </c>
      <c r="C443" s="10"/>
      <c r="D443" s="10"/>
      <c r="E443" s="10"/>
      <c r="F443" s="31" t="str">
        <f>IFERROR(VLOOKUP(Tabla1[[#This Row],[N° pedido compra]],InfoFactura!$A$1:$M$51,2,FALSE),"")</f>
        <v/>
      </c>
    </row>
    <row r="444" spans="1:6" x14ac:dyDescent="0.25">
      <c r="A444" s="28"/>
      <c r="B444" s="29" t="s">
        <v>443</v>
      </c>
      <c r="C444" s="10"/>
      <c r="D444" s="10"/>
      <c r="E444" s="10"/>
      <c r="F444" s="31" t="str">
        <f>IFERROR(VLOOKUP(Tabla1[[#This Row],[N° pedido compra]],InfoFactura!$A$1:$M$51,2,FALSE),"")</f>
        <v/>
      </c>
    </row>
    <row r="445" spans="1:6" x14ac:dyDescent="0.25">
      <c r="A445" s="28"/>
      <c r="B445" s="29" t="s">
        <v>444</v>
      </c>
      <c r="C445" s="10"/>
      <c r="D445" s="10"/>
      <c r="E445" s="10"/>
      <c r="F445" s="31" t="str">
        <f>IFERROR(VLOOKUP(Tabla1[[#This Row],[N° pedido compra]],InfoFactura!$A$1:$M$51,2,FALSE),"")</f>
        <v/>
      </c>
    </row>
    <row r="446" spans="1:6" x14ac:dyDescent="0.25">
      <c r="A446" s="28"/>
      <c r="B446" s="29" t="s">
        <v>445</v>
      </c>
      <c r="C446" s="10"/>
      <c r="D446" s="10"/>
      <c r="E446" s="10"/>
      <c r="F446" s="31" t="str">
        <f>IFERROR(VLOOKUP(Tabla1[[#This Row],[N° pedido compra]],InfoFactura!$A$1:$M$51,2,FALSE),"")</f>
        <v/>
      </c>
    </row>
    <row r="447" spans="1:6" x14ac:dyDescent="0.25">
      <c r="A447" s="28"/>
      <c r="B447" s="29" t="s">
        <v>446</v>
      </c>
      <c r="C447" s="10"/>
      <c r="D447" s="10"/>
      <c r="E447" s="10"/>
      <c r="F447" s="31" t="str">
        <f>IFERROR(VLOOKUP(Tabla1[[#This Row],[N° pedido compra]],InfoFactura!$A$1:$M$51,2,FALSE),"")</f>
        <v/>
      </c>
    </row>
    <row r="448" spans="1:6" x14ac:dyDescent="0.25">
      <c r="A448" s="28"/>
      <c r="B448" s="29" t="s">
        <v>447</v>
      </c>
      <c r="C448" s="10"/>
      <c r="D448" s="10"/>
      <c r="E448" s="10"/>
      <c r="F448" s="31" t="str">
        <f>IFERROR(VLOOKUP(Tabla1[[#This Row],[N° pedido compra]],InfoFactura!$A$1:$M$51,2,FALSE),"")</f>
        <v/>
      </c>
    </row>
    <row r="449" spans="1:6" x14ac:dyDescent="0.25">
      <c r="A449" s="28"/>
      <c r="B449" s="29" t="s">
        <v>448</v>
      </c>
      <c r="C449" s="10"/>
      <c r="D449" s="10"/>
      <c r="E449" s="10"/>
      <c r="F449" s="31" t="str">
        <f>IFERROR(VLOOKUP(Tabla1[[#This Row],[N° pedido compra]],InfoFactura!$A$1:$M$51,2,FALSE),"")</f>
        <v/>
      </c>
    </row>
    <row r="450" spans="1:6" x14ac:dyDescent="0.25">
      <c r="A450" s="28"/>
      <c r="B450" s="29" t="s">
        <v>449</v>
      </c>
      <c r="C450" s="10"/>
      <c r="D450" s="10"/>
      <c r="E450" s="10"/>
      <c r="F450" s="31" t="str">
        <f>IFERROR(VLOOKUP(Tabla1[[#This Row],[N° pedido compra]],InfoFactura!$A$1:$M$51,2,FALSE),"")</f>
        <v/>
      </c>
    </row>
    <row r="451" spans="1:6" x14ac:dyDescent="0.25">
      <c r="A451" s="28"/>
      <c r="B451" s="29" t="s">
        <v>450</v>
      </c>
      <c r="C451" s="10"/>
      <c r="D451" s="10"/>
      <c r="E451" s="10"/>
      <c r="F451" s="31" t="str">
        <f>IFERROR(VLOOKUP(Tabla1[[#This Row],[N° pedido compra]],InfoFactura!$A$1:$M$51,2,FALSE),"")</f>
        <v/>
      </c>
    </row>
    <row r="452" spans="1:6" x14ac:dyDescent="0.25">
      <c r="A452" s="28"/>
      <c r="B452" s="29" t="s">
        <v>451</v>
      </c>
      <c r="C452" s="10"/>
      <c r="D452" s="10"/>
      <c r="E452" s="10"/>
      <c r="F452" s="31" t="str">
        <f>IFERROR(VLOOKUP(Tabla1[[#This Row],[N° pedido compra]],InfoFactura!$A$1:$M$51,2,FALSE),"")</f>
        <v/>
      </c>
    </row>
    <row r="453" spans="1:6" x14ac:dyDescent="0.25">
      <c r="A453" s="28"/>
      <c r="B453" s="29" t="s">
        <v>452</v>
      </c>
      <c r="C453" s="10"/>
      <c r="D453" s="10"/>
      <c r="E453" s="10"/>
      <c r="F453" s="31" t="str">
        <f>IFERROR(VLOOKUP(Tabla1[[#This Row],[N° pedido compra]],InfoFactura!$A$1:$M$51,2,FALSE),"")</f>
        <v/>
      </c>
    </row>
    <row r="454" spans="1:6" x14ac:dyDescent="0.25">
      <c r="A454" s="28"/>
      <c r="B454" s="29" t="s">
        <v>453</v>
      </c>
      <c r="C454" s="10"/>
      <c r="D454" s="10"/>
      <c r="E454" s="10"/>
      <c r="F454" s="31" t="str">
        <f>IFERROR(VLOOKUP(Tabla1[[#This Row],[N° pedido compra]],InfoFactura!$A$1:$M$51,2,FALSE),"")</f>
        <v/>
      </c>
    </row>
    <row r="455" spans="1:6" x14ac:dyDescent="0.25">
      <c r="A455" s="28"/>
      <c r="B455" s="29" t="s">
        <v>454</v>
      </c>
      <c r="C455" s="10"/>
      <c r="D455" s="10"/>
      <c r="E455" s="10"/>
      <c r="F455" s="31" t="str">
        <f>IFERROR(VLOOKUP(Tabla1[[#This Row],[N° pedido compra]],InfoFactura!$A$1:$M$51,2,FALSE),"")</f>
        <v/>
      </c>
    </row>
    <row r="456" spans="1:6" x14ac:dyDescent="0.25">
      <c r="A456" s="28"/>
      <c r="B456" s="29" t="s">
        <v>455</v>
      </c>
      <c r="C456" s="10"/>
      <c r="D456" s="10"/>
      <c r="E456" s="10"/>
      <c r="F456" s="31" t="str">
        <f>IFERROR(VLOOKUP(Tabla1[[#This Row],[N° pedido compra]],InfoFactura!$A$1:$M$51,2,FALSE),"")</f>
        <v/>
      </c>
    </row>
    <row r="457" spans="1:6" x14ac:dyDescent="0.25">
      <c r="A457" s="28"/>
      <c r="B457" s="29" t="s">
        <v>456</v>
      </c>
      <c r="C457" s="10"/>
      <c r="D457" s="10"/>
      <c r="E457" s="10"/>
      <c r="F457" s="31" t="str">
        <f>IFERROR(VLOOKUP(Tabla1[[#This Row],[N° pedido compra]],InfoFactura!$A$1:$M$51,2,FALSE),"")</f>
        <v/>
      </c>
    </row>
    <row r="458" spans="1:6" x14ac:dyDescent="0.25">
      <c r="A458" s="28"/>
      <c r="B458" s="29" t="s">
        <v>457</v>
      </c>
      <c r="C458" s="10"/>
      <c r="D458" s="10"/>
      <c r="E458" s="10"/>
      <c r="F458" s="31" t="str">
        <f>IFERROR(VLOOKUP(Tabla1[[#This Row],[N° pedido compra]],InfoFactura!$A$1:$M$51,2,FALSE),"")</f>
        <v/>
      </c>
    </row>
    <row r="459" spans="1:6" x14ac:dyDescent="0.25">
      <c r="A459" s="28"/>
      <c r="B459" s="29" t="s">
        <v>458</v>
      </c>
      <c r="C459" s="10"/>
      <c r="D459" s="10"/>
      <c r="E459" s="10"/>
      <c r="F459" s="31" t="str">
        <f>IFERROR(VLOOKUP(Tabla1[[#This Row],[N° pedido compra]],InfoFactura!$A$1:$M$51,2,FALSE),"")</f>
        <v/>
      </c>
    </row>
    <row r="460" spans="1:6" x14ac:dyDescent="0.25">
      <c r="A460" s="28"/>
      <c r="B460" s="29" t="s">
        <v>459</v>
      </c>
      <c r="C460" s="10"/>
      <c r="D460" s="10"/>
      <c r="E460" s="10"/>
      <c r="F460" s="31" t="str">
        <f>IFERROR(VLOOKUP(Tabla1[[#This Row],[N° pedido compra]],InfoFactura!$A$1:$M$51,2,FALSE),"")</f>
        <v/>
      </c>
    </row>
    <row r="461" spans="1:6" x14ac:dyDescent="0.25">
      <c r="A461" s="28"/>
      <c r="B461" s="29" t="s">
        <v>460</v>
      </c>
      <c r="C461" s="10"/>
      <c r="D461" s="10"/>
      <c r="E461" s="10"/>
      <c r="F461" s="31" t="str">
        <f>IFERROR(VLOOKUP(Tabla1[[#This Row],[N° pedido compra]],InfoFactura!$A$1:$M$51,2,FALSE),"")</f>
        <v/>
      </c>
    </row>
    <row r="462" spans="1:6" x14ac:dyDescent="0.25">
      <c r="A462" s="28"/>
      <c r="B462" s="29" t="s">
        <v>461</v>
      </c>
      <c r="C462" s="10"/>
      <c r="D462" s="10"/>
      <c r="E462" s="10"/>
      <c r="F462" s="31" t="str">
        <f>IFERROR(VLOOKUP(Tabla1[[#This Row],[N° pedido compra]],InfoFactura!$A$1:$M$51,2,FALSE),"")</f>
        <v/>
      </c>
    </row>
    <row r="463" spans="1:6" x14ac:dyDescent="0.25">
      <c r="A463" s="28"/>
      <c r="B463" s="29" t="s">
        <v>462</v>
      </c>
      <c r="C463" s="10"/>
      <c r="D463" s="10"/>
      <c r="E463" s="10"/>
      <c r="F463" s="31" t="str">
        <f>IFERROR(VLOOKUP(Tabla1[[#This Row],[N° pedido compra]],InfoFactura!$A$1:$M$51,2,FALSE),"")</f>
        <v/>
      </c>
    </row>
    <row r="464" spans="1:6" x14ac:dyDescent="0.25">
      <c r="A464" s="28"/>
      <c r="B464" s="29" t="s">
        <v>463</v>
      </c>
      <c r="C464" s="10"/>
      <c r="D464" s="10"/>
      <c r="E464" s="10"/>
      <c r="F464" s="31" t="str">
        <f>IFERROR(VLOOKUP(Tabla1[[#This Row],[N° pedido compra]],InfoFactura!$A$1:$M$51,2,FALSE),"")</f>
        <v/>
      </c>
    </row>
    <row r="465" spans="1:6" x14ac:dyDescent="0.25">
      <c r="A465" s="28"/>
      <c r="B465" s="29" t="s">
        <v>464</v>
      </c>
      <c r="C465" s="10"/>
      <c r="D465" s="10"/>
      <c r="E465" s="10"/>
      <c r="F465" s="31" t="str">
        <f>IFERROR(VLOOKUP(Tabla1[[#This Row],[N° pedido compra]],InfoFactura!$A$1:$M$51,2,FALSE),"")</f>
        <v/>
      </c>
    </row>
    <row r="466" spans="1:6" x14ac:dyDescent="0.25">
      <c r="A466" s="28"/>
      <c r="B466" s="29" t="s">
        <v>465</v>
      </c>
      <c r="C466" s="10"/>
      <c r="D466" s="10"/>
      <c r="E466" s="10"/>
      <c r="F466" s="31" t="str">
        <f>IFERROR(VLOOKUP(Tabla1[[#This Row],[N° pedido compra]],InfoFactura!$A$1:$M$51,2,FALSE),"")</f>
        <v/>
      </c>
    </row>
    <row r="467" spans="1:6" x14ac:dyDescent="0.25">
      <c r="A467" s="28"/>
      <c r="B467" s="29" t="s">
        <v>466</v>
      </c>
      <c r="C467" s="10"/>
      <c r="D467" s="10"/>
      <c r="E467" s="10"/>
      <c r="F467" s="31" t="str">
        <f>IFERROR(VLOOKUP(Tabla1[[#This Row],[N° pedido compra]],InfoFactura!$A$1:$M$51,2,FALSE),"")</f>
        <v/>
      </c>
    </row>
    <row r="468" spans="1:6" x14ac:dyDescent="0.25">
      <c r="A468" s="28"/>
      <c r="B468" s="29" t="s">
        <v>467</v>
      </c>
      <c r="C468" s="10"/>
      <c r="D468" s="10"/>
      <c r="E468" s="10"/>
      <c r="F468" s="31" t="str">
        <f>IFERROR(VLOOKUP(Tabla1[[#This Row],[N° pedido compra]],InfoFactura!$A$1:$M$51,2,FALSE),"")</f>
        <v/>
      </c>
    </row>
    <row r="469" spans="1:6" x14ac:dyDescent="0.25">
      <c r="A469" s="28"/>
      <c r="B469" s="29" t="s">
        <v>468</v>
      </c>
      <c r="C469" s="10"/>
      <c r="D469" s="10"/>
      <c r="E469" s="10"/>
      <c r="F469" s="31" t="str">
        <f>IFERROR(VLOOKUP(Tabla1[[#This Row],[N° pedido compra]],InfoFactura!$A$1:$M$51,2,FALSE),"")</f>
        <v/>
      </c>
    </row>
    <row r="470" spans="1:6" x14ac:dyDescent="0.25">
      <c r="A470" s="28"/>
      <c r="B470" s="29" t="s">
        <v>469</v>
      </c>
      <c r="C470" s="10"/>
      <c r="D470" s="10"/>
      <c r="E470" s="10"/>
      <c r="F470" s="31" t="str">
        <f>IFERROR(VLOOKUP(Tabla1[[#This Row],[N° pedido compra]],InfoFactura!$A$1:$M$51,2,FALSE),"")</f>
        <v/>
      </c>
    </row>
    <row r="471" spans="1:6" x14ac:dyDescent="0.25">
      <c r="A471" s="28"/>
      <c r="B471" s="29" t="s">
        <v>470</v>
      </c>
      <c r="C471" s="10"/>
      <c r="D471" s="10"/>
      <c r="E471" s="10"/>
      <c r="F471" s="31" t="str">
        <f>IFERROR(VLOOKUP(Tabla1[[#This Row],[N° pedido compra]],InfoFactura!$A$1:$M$51,2,FALSE),"")</f>
        <v/>
      </c>
    </row>
    <row r="472" spans="1:6" x14ac:dyDescent="0.25">
      <c r="A472" s="28"/>
      <c r="B472" s="29" t="s">
        <v>471</v>
      </c>
      <c r="C472" s="10"/>
      <c r="D472" s="10"/>
      <c r="E472" s="10"/>
      <c r="F472" s="31" t="str">
        <f>IFERROR(VLOOKUP(Tabla1[[#This Row],[N° pedido compra]],InfoFactura!$A$1:$M$51,2,FALSE),"")</f>
        <v/>
      </c>
    </row>
    <row r="473" spans="1:6" x14ac:dyDescent="0.25">
      <c r="A473" s="28"/>
      <c r="B473" s="29" t="s">
        <v>472</v>
      </c>
      <c r="C473" s="10"/>
      <c r="D473" s="10"/>
      <c r="E473" s="10"/>
      <c r="F473" s="31" t="str">
        <f>IFERROR(VLOOKUP(Tabla1[[#This Row],[N° pedido compra]],InfoFactura!$A$1:$M$51,2,FALSE),"")</f>
        <v/>
      </c>
    </row>
    <row r="474" spans="1:6" x14ac:dyDescent="0.25">
      <c r="A474" s="28"/>
      <c r="B474" s="29" t="s">
        <v>473</v>
      </c>
      <c r="C474" s="10"/>
      <c r="D474" s="10"/>
      <c r="E474" s="10"/>
      <c r="F474" s="31" t="str">
        <f>IFERROR(VLOOKUP(Tabla1[[#This Row],[N° pedido compra]],InfoFactura!$A$1:$M$51,2,FALSE),"")</f>
        <v/>
      </c>
    </row>
    <row r="475" spans="1:6" x14ac:dyDescent="0.25">
      <c r="A475" s="28"/>
      <c r="B475" s="29" t="s">
        <v>474</v>
      </c>
      <c r="C475" s="10"/>
      <c r="D475" s="10"/>
      <c r="E475" s="10"/>
      <c r="F475" s="31" t="str">
        <f>IFERROR(VLOOKUP(Tabla1[[#This Row],[N° pedido compra]],InfoFactura!$A$1:$M$51,2,FALSE),"")</f>
        <v/>
      </c>
    </row>
    <row r="476" spans="1:6" x14ac:dyDescent="0.25">
      <c r="A476" s="28"/>
      <c r="B476" s="29" t="s">
        <v>475</v>
      </c>
      <c r="C476" s="10"/>
      <c r="D476" s="10"/>
      <c r="E476" s="10"/>
      <c r="F476" s="31" t="str">
        <f>IFERROR(VLOOKUP(Tabla1[[#This Row],[N° pedido compra]],InfoFactura!$A$1:$M$51,2,FALSE),"")</f>
        <v/>
      </c>
    </row>
    <row r="477" spans="1:6" x14ac:dyDescent="0.25">
      <c r="A477" s="28"/>
      <c r="B477" s="29" t="s">
        <v>476</v>
      </c>
      <c r="C477" s="10"/>
      <c r="D477" s="10"/>
      <c r="E477" s="10"/>
      <c r="F477" s="31" t="str">
        <f>IFERROR(VLOOKUP(Tabla1[[#This Row],[N° pedido compra]],InfoFactura!$A$1:$M$51,2,FALSE),"")</f>
        <v/>
      </c>
    </row>
    <row r="478" spans="1:6" x14ac:dyDescent="0.25">
      <c r="A478" s="28"/>
      <c r="B478" s="29" t="s">
        <v>477</v>
      </c>
      <c r="C478" s="10"/>
      <c r="D478" s="10"/>
      <c r="E478" s="10"/>
      <c r="F478" s="31" t="str">
        <f>IFERROR(VLOOKUP(Tabla1[[#This Row],[N° pedido compra]],InfoFactura!$A$1:$M$51,2,FALSE),"")</f>
        <v/>
      </c>
    </row>
    <row r="479" spans="1:6" x14ac:dyDescent="0.25">
      <c r="A479" s="28"/>
      <c r="B479" s="29" t="s">
        <v>478</v>
      </c>
      <c r="C479" s="10"/>
      <c r="D479" s="10"/>
      <c r="E479" s="10"/>
      <c r="F479" s="31" t="str">
        <f>IFERROR(VLOOKUP(Tabla1[[#This Row],[N° pedido compra]],InfoFactura!$A$1:$M$51,2,FALSE),"")</f>
        <v/>
      </c>
    </row>
    <row r="480" spans="1:6" x14ac:dyDescent="0.25">
      <c r="A480" s="28"/>
      <c r="B480" s="29" t="s">
        <v>479</v>
      </c>
      <c r="C480" s="10"/>
      <c r="D480" s="10"/>
      <c r="E480" s="10"/>
      <c r="F480" s="31" t="str">
        <f>IFERROR(VLOOKUP(Tabla1[[#This Row],[N° pedido compra]],InfoFactura!$A$1:$M$51,2,FALSE),"")</f>
        <v/>
      </c>
    </row>
    <row r="481" spans="1:6" x14ac:dyDescent="0.25">
      <c r="A481" s="28"/>
      <c r="B481" s="29" t="s">
        <v>480</v>
      </c>
      <c r="C481" s="10"/>
      <c r="D481" s="10"/>
      <c r="E481" s="10"/>
      <c r="F481" s="31" t="str">
        <f>IFERROR(VLOOKUP(Tabla1[[#This Row],[N° pedido compra]],InfoFactura!$A$1:$M$51,2,FALSE),"")</f>
        <v/>
      </c>
    </row>
    <row r="482" spans="1:6" x14ac:dyDescent="0.25">
      <c r="A482" s="28"/>
      <c r="B482" s="29" t="s">
        <v>481</v>
      </c>
      <c r="C482" s="10"/>
      <c r="D482" s="10"/>
      <c r="E482" s="10"/>
      <c r="F482" s="31" t="str">
        <f>IFERROR(VLOOKUP(Tabla1[[#This Row],[N° pedido compra]],InfoFactura!$A$1:$M$51,2,FALSE),"")</f>
        <v/>
      </c>
    </row>
    <row r="483" spans="1:6" x14ac:dyDescent="0.25">
      <c r="A483" s="28"/>
      <c r="B483" s="29" t="s">
        <v>482</v>
      </c>
      <c r="C483" s="10"/>
      <c r="D483" s="10"/>
      <c r="E483" s="10"/>
      <c r="F483" s="31" t="str">
        <f>IFERROR(VLOOKUP(Tabla1[[#This Row],[N° pedido compra]],InfoFactura!$A$1:$M$51,2,FALSE),"")</f>
        <v/>
      </c>
    </row>
    <row r="484" spans="1:6" x14ac:dyDescent="0.25">
      <c r="A484" s="28"/>
      <c r="B484" s="29" t="s">
        <v>483</v>
      </c>
      <c r="C484" s="10"/>
      <c r="D484" s="10"/>
      <c r="E484" s="10"/>
      <c r="F484" s="31" t="str">
        <f>IFERROR(VLOOKUP(Tabla1[[#This Row],[N° pedido compra]],InfoFactura!$A$1:$M$51,2,FALSE),"")</f>
        <v/>
      </c>
    </row>
    <row r="485" spans="1:6" x14ac:dyDescent="0.25">
      <c r="A485" s="28"/>
      <c r="B485" s="29" t="s">
        <v>484</v>
      </c>
      <c r="C485" s="10"/>
      <c r="D485" s="10"/>
      <c r="E485" s="10"/>
      <c r="F485" s="31" t="str">
        <f>IFERROR(VLOOKUP(Tabla1[[#This Row],[N° pedido compra]],InfoFactura!$A$1:$M$51,2,FALSE),"")</f>
        <v/>
      </c>
    </row>
    <row r="486" spans="1:6" x14ac:dyDescent="0.25">
      <c r="A486" s="28"/>
      <c r="B486" s="29" t="s">
        <v>485</v>
      </c>
      <c r="C486" s="10"/>
      <c r="D486" s="10"/>
      <c r="E486" s="10"/>
      <c r="F486" s="31" t="str">
        <f>IFERROR(VLOOKUP(Tabla1[[#This Row],[N° pedido compra]],InfoFactura!$A$1:$M$51,2,FALSE),"")</f>
        <v/>
      </c>
    </row>
    <row r="487" spans="1:6" x14ac:dyDescent="0.25">
      <c r="A487" s="28"/>
      <c r="B487" s="29" t="s">
        <v>486</v>
      </c>
      <c r="C487" s="10"/>
      <c r="D487" s="10"/>
      <c r="E487" s="10"/>
      <c r="F487" s="31" t="str">
        <f>IFERROR(VLOOKUP(Tabla1[[#This Row],[N° pedido compra]],InfoFactura!$A$1:$M$51,2,FALSE),"")</f>
        <v/>
      </c>
    </row>
    <row r="488" spans="1:6" x14ac:dyDescent="0.25">
      <c r="A488" s="28"/>
      <c r="B488" s="29" t="s">
        <v>487</v>
      </c>
      <c r="C488" s="10"/>
      <c r="D488" s="10"/>
      <c r="E488" s="10"/>
      <c r="F488" s="31" t="str">
        <f>IFERROR(VLOOKUP(Tabla1[[#This Row],[N° pedido compra]],InfoFactura!$A$1:$M$51,2,FALSE),"")</f>
        <v/>
      </c>
    </row>
    <row r="489" spans="1:6" x14ac:dyDescent="0.25">
      <c r="A489" s="28"/>
      <c r="B489" s="29" t="s">
        <v>488</v>
      </c>
      <c r="C489" s="10"/>
      <c r="D489" s="10"/>
      <c r="E489" s="10"/>
      <c r="F489" s="31" t="str">
        <f>IFERROR(VLOOKUP(Tabla1[[#This Row],[N° pedido compra]],InfoFactura!$A$1:$M$51,2,FALSE),"")</f>
        <v/>
      </c>
    </row>
    <row r="490" spans="1:6" x14ac:dyDescent="0.25">
      <c r="A490" s="28"/>
      <c r="B490" s="29" t="s">
        <v>489</v>
      </c>
      <c r="C490" s="10"/>
      <c r="D490" s="10"/>
      <c r="E490" s="10"/>
      <c r="F490" s="31" t="str">
        <f>IFERROR(VLOOKUP(Tabla1[[#This Row],[N° pedido compra]],InfoFactura!$A$1:$M$51,2,FALSE),"")</f>
        <v/>
      </c>
    </row>
    <row r="491" spans="1:6" x14ac:dyDescent="0.25">
      <c r="A491" s="28"/>
      <c r="B491" s="29" t="s">
        <v>490</v>
      </c>
      <c r="C491" s="10"/>
      <c r="D491" s="10"/>
      <c r="E491" s="10"/>
      <c r="F491" s="31" t="str">
        <f>IFERROR(VLOOKUP(Tabla1[[#This Row],[N° pedido compra]],InfoFactura!$A$1:$M$51,2,FALSE),"")</f>
        <v/>
      </c>
    </row>
    <row r="492" spans="1:6" x14ac:dyDescent="0.25">
      <c r="A492" s="28"/>
      <c r="B492" s="29" t="s">
        <v>491</v>
      </c>
      <c r="C492" s="10"/>
      <c r="D492" s="10"/>
      <c r="E492" s="10"/>
      <c r="F492" s="31" t="str">
        <f>IFERROR(VLOOKUP(Tabla1[[#This Row],[N° pedido compra]],InfoFactura!$A$1:$M$51,2,FALSE),"")</f>
        <v/>
      </c>
    </row>
    <row r="493" spans="1:6" x14ac:dyDescent="0.25">
      <c r="A493" s="28"/>
      <c r="B493" s="29" t="s">
        <v>492</v>
      </c>
      <c r="C493" s="10"/>
      <c r="D493" s="10"/>
      <c r="E493" s="10"/>
      <c r="F493" s="31" t="str">
        <f>IFERROR(VLOOKUP(Tabla1[[#This Row],[N° pedido compra]],InfoFactura!$A$1:$M$51,2,FALSE),"")</f>
        <v/>
      </c>
    </row>
    <row r="494" spans="1:6" x14ac:dyDescent="0.25">
      <c r="A494" s="28"/>
      <c r="B494" s="29" t="s">
        <v>493</v>
      </c>
      <c r="C494" s="10"/>
      <c r="D494" s="10"/>
      <c r="E494" s="10"/>
      <c r="F494" s="31" t="str">
        <f>IFERROR(VLOOKUP(Tabla1[[#This Row],[N° pedido compra]],InfoFactura!$A$1:$M$51,2,FALSE),"")</f>
        <v/>
      </c>
    </row>
    <row r="495" spans="1:6" x14ac:dyDescent="0.25">
      <c r="A495" s="28"/>
      <c r="B495" s="29" t="s">
        <v>494</v>
      </c>
      <c r="C495" s="10"/>
      <c r="D495" s="10"/>
      <c r="E495" s="10"/>
      <c r="F495" s="31" t="str">
        <f>IFERROR(VLOOKUP(Tabla1[[#This Row],[N° pedido compra]],InfoFactura!$A$1:$M$51,2,FALSE),"")</f>
        <v/>
      </c>
    </row>
    <row r="496" spans="1:6" x14ac:dyDescent="0.25">
      <c r="A496" s="28"/>
      <c r="B496" s="29" t="s">
        <v>495</v>
      </c>
      <c r="C496" s="10"/>
      <c r="D496" s="10"/>
      <c r="E496" s="10"/>
      <c r="F496" s="31" t="str">
        <f>IFERROR(VLOOKUP(Tabla1[[#This Row],[N° pedido compra]],InfoFactura!$A$1:$M$51,2,FALSE),"")</f>
        <v/>
      </c>
    </row>
    <row r="497" spans="1:6" x14ac:dyDescent="0.25">
      <c r="A497" s="28"/>
      <c r="B497" s="29" t="s">
        <v>496</v>
      </c>
      <c r="C497" s="10"/>
      <c r="D497" s="10"/>
      <c r="E497" s="10"/>
      <c r="F497" s="31" t="str">
        <f>IFERROR(VLOOKUP(Tabla1[[#This Row],[N° pedido compra]],InfoFactura!$A$1:$M$51,2,FALSE),"")</f>
        <v/>
      </c>
    </row>
    <row r="498" spans="1:6" x14ac:dyDescent="0.25">
      <c r="A498" s="28"/>
      <c r="B498" s="29" t="s">
        <v>497</v>
      </c>
      <c r="C498" s="10"/>
      <c r="D498" s="10"/>
      <c r="E498" s="10"/>
      <c r="F498" s="31" t="str">
        <f>IFERROR(VLOOKUP(Tabla1[[#This Row],[N° pedido compra]],InfoFactura!$A$1:$M$51,2,FALSE),"")</f>
        <v/>
      </c>
    </row>
    <row r="499" spans="1:6" x14ac:dyDescent="0.25">
      <c r="A499" s="28"/>
      <c r="B499" s="29" t="s">
        <v>498</v>
      </c>
      <c r="C499" s="10"/>
      <c r="D499" s="10"/>
      <c r="E499" s="10"/>
      <c r="F499" s="31" t="str">
        <f>IFERROR(VLOOKUP(Tabla1[[#This Row],[N° pedido compra]],InfoFactura!$A$1:$M$51,2,FALSE),"")</f>
        <v/>
      </c>
    </row>
    <row r="500" spans="1:6" x14ac:dyDescent="0.25">
      <c r="A500" s="28"/>
      <c r="B500" s="29" t="s">
        <v>499</v>
      </c>
      <c r="C500" s="10"/>
      <c r="D500" s="10"/>
      <c r="E500" s="10"/>
      <c r="F500" s="31" t="str">
        <f>IFERROR(VLOOKUP(Tabla1[[#This Row],[N° pedido compra]],InfoFactura!$A$1:$M$51,2,FALSE),"")</f>
        <v/>
      </c>
    </row>
  </sheetData>
  <phoneticPr fontId="20" type="noConversion"/>
  <pageMargins left="0.7" right="0.7" top="0.75" bottom="0.75" header="0.3" footer="0.3"/>
  <ignoredErrors>
    <ignoredError sqref="B32:B500" numberStoredAsText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Registro</vt:lpstr>
      <vt:lpstr>InfoFactura</vt:lpstr>
      <vt:lpstr>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Fernanda  Granada Ramírez</dc:creator>
  <cp:lastModifiedBy>Luisa Fernanda  Granada Ramírez</cp:lastModifiedBy>
  <dcterms:created xsi:type="dcterms:W3CDTF">2026-04-15T19:12:45Z</dcterms:created>
  <dcterms:modified xsi:type="dcterms:W3CDTF">2026-06-16T22:48:33Z</dcterms:modified>
</cp:coreProperties>
</file>