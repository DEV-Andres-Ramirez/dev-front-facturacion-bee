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ee\ProcesoFacturacion\Plantillas\"/>
    </mc:Choice>
  </mc:AlternateContent>
  <xr:revisionPtr revIDLastSave="0" documentId="13_ncr:1_{92A51A82-C90F-4EBE-BB97-9EF61B7A3935}" xr6:coauthVersionLast="47" xr6:coauthVersionMax="47" xr10:uidLastSave="{00000000-0000-0000-0000-000000000000}"/>
  <bookViews>
    <workbookView xWindow="-120" yWindow="-120" windowWidth="20730" windowHeight="11040" xr2:uid="{74BF880A-7DB6-4ECF-84E2-92761FDD83D0}"/>
  </bookViews>
  <sheets>
    <sheet name="Consolidado" sheetId="1" r:id="rId1"/>
    <sheet name="RegistroPago" sheetId="3" r:id="rId2"/>
    <sheet name="KPI´s" sheetId="4" r:id="rId3"/>
  </sheets>
  <definedNames>
    <definedName name="_xlnm._FilterDatabase" localSheetId="0" hidden="1">Consolidado!$A$1:$L$115</definedName>
    <definedName name="SegmentaciónDeDatos_Cliente">#N/A</definedName>
    <definedName name="SegmentaciónDeDatos_Estado">#N/A</definedName>
    <definedName name="SegmentaciónDeDatos_Mes_de_facturación">#N/A</definedName>
    <definedName name="SegmentaciónDeDatos_Mes_facturado">#N/A</definedName>
  </definedNames>
  <calcPr calcId="191029"/>
  <pivotCaches>
    <pivotCache cacheId="7" r:id="rId4"/>
    <pivotCache cacheId="1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1" i="3" l="1"/>
  <c r="I1001" i="3"/>
  <c r="J1001" i="3" s="1"/>
  <c r="M1001" i="3"/>
  <c r="G1002" i="3"/>
  <c r="I1002" i="3"/>
  <c r="J1002" i="3" s="1"/>
  <c r="M1002" i="3"/>
  <c r="G1003" i="3"/>
  <c r="I1003" i="3"/>
  <c r="J1003" i="3" s="1"/>
  <c r="M1003" i="3"/>
  <c r="G1004" i="3"/>
  <c r="I1004" i="3"/>
  <c r="J1004" i="3" s="1"/>
  <c r="M1004" i="3"/>
  <c r="G1005" i="3"/>
  <c r="I1005" i="3"/>
  <c r="J1005" i="3" s="1"/>
  <c r="M1005" i="3"/>
  <c r="G1006" i="3"/>
  <c r="I1006" i="3"/>
  <c r="J1006" i="3" s="1"/>
  <c r="M1006" i="3"/>
  <c r="G1007" i="3"/>
  <c r="I1007" i="3"/>
  <c r="J1007" i="3" s="1"/>
  <c r="M1007" i="3"/>
  <c r="G1008" i="3"/>
  <c r="I1008" i="3"/>
  <c r="J1008" i="3" s="1"/>
  <c r="M1008" i="3"/>
  <c r="G1009" i="3"/>
  <c r="I1009" i="3"/>
  <c r="J1009" i="3" s="1"/>
  <c r="M1009" i="3"/>
  <c r="G1010" i="3"/>
  <c r="I1010" i="3"/>
  <c r="J1010" i="3" s="1"/>
  <c r="M1010" i="3"/>
  <c r="G1011" i="3"/>
  <c r="I1011" i="3"/>
  <c r="J1011" i="3" s="1"/>
  <c r="M1011" i="3"/>
  <c r="G1012" i="3"/>
  <c r="I1012" i="3"/>
  <c r="J1012" i="3" s="1"/>
  <c r="M1012" i="3"/>
  <c r="G1013" i="3"/>
  <c r="I1013" i="3"/>
  <c r="J1013" i="3" s="1"/>
  <c r="M1013" i="3"/>
  <c r="G1014" i="3"/>
  <c r="I1014" i="3"/>
  <c r="J1014" i="3"/>
  <c r="M1014" i="3"/>
  <c r="G1015" i="3"/>
  <c r="I1015" i="3"/>
  <c r="J1015" i="3" s="1"/>
  <c r="M1015" i="3"/>
  <c r="G1016" i="3"/>
  <c r="I1016" i="3"/>
  <c r="J1016" i="3" s="1"/>
  <c r="M1016" i="3"/>
  <c r="G1017" i="3"/>
  <c r="I1017" i="3"/>
  <c r="J1017" i="3" s="1"/>
  <c r="M1017" i="3"/>
  <c r="G1018" i="3"/>
  <c r="I1018" i="3"/>
  <c r="J1018" i="3" s="1"/>
  <c r="M1018" i="3"/>
  <c r="G1019" i="3"/>
  <c r="I1019" i="3"/>
  <c r="J1019" i="3" s="1"/>
  <c r="M1019" i="3"/>
  <c r="G1020" i="3"/>
  <c r="I1020" i="3"/>
  <c r="J1020" i="3" s="1"/>
  <c r="M1020" i="3"/>
  <c r="G1021" i="3"/>
  <c r="I1021" i="3"/>
  <c r="J1021" i="3" s="1"/>
  <c r="M1021" i="3"/>
  <c r="G1022" i="3"/>
  <c r="I1022" i="3"/>
  <c r="J1022" i="3" s="1"/>
  <c r="M1022" i="3"/>
  <c r="G1023" i="3"/>
  <c r="I1023" i="3"/>
  <c r="J1023" i="3" s="1"/>
  <c r="M1023" i="3"/>
  <c r="G1024" i="3"/>
  <c r="I1024" i="3"/>
  <c r="J1024" i="3" s="1"/>
  <c r="M1024" i="3"/>
  <c r="G1025" i="3"/>
  <c r="I1025" i="3"/>
  <c r="J1025" i="3" s="1"/>
  <c r="M1025" i="3"/>
  <c r="G1026" i="3"/>
  <c r="I1026" i="3"/>
  <c r="J1026" i="3" s="1"/>
  <c r="M1026" i="3"/>
  <c r="G1027" i="3"/>
  <c r="I1027" i="3"/>
  <c r="J1027" i="3" s="1"/>
  <c r="M1027" i="3"/>
  <c r="G1028" i="3"/>
  <c r="I1028" i="3"/>
  <c r="J1028" i="3" s="1"/>
  <c r="M1028" i="3"/>
  <c r="G1029" i="3"/>
  <c r="I1029" i="3"/>
  <c r="J1029" i="3" s="1"/>
  <c r="M1029" i="3"/>
  <c r="G1030" i="3"/>
  <c r="I1030" i="3"/>
  <c r="J1030" i="3" s="1"/>
  <c r="M1030" i="3"/>
  <c r="G1031" i="3"/>
  <c r="I1031" i="3"/>
  <c r="J1031" i="3" s="1"/>
  <c r="M1031" i="3"/>
  <c r="G1032" i="3"/>
  <c r="I1032" i="3"/>
  <c r="J1032" i="3" s="1"/>
  <c r="M1032" i="3"/>
  <c r="G1033" i="3"/>
  <c r="I1033" i="3"/>
  <c r="J1033" i="3" s="1"/>
  <c r="M1033" i="3"/>
  <c r="G1034" i="3"/>
  <c r="I1034" i="3"/>
  <c r="J1034" i="3" s="1"/>
  <c r="M1034" i="3"/>
  <c r="G1035" i="3"/>
  <c r="I1035" i="3"/>
  <c r="J1035" i="3" s="1"/>
  <c r="M1035" i="3"/>
  <c r="G1036" i="3"/>
  <c r="I1036" i="3"/>
  <c r="J1036" i="3" s="1"/>
  <c r="M1036" i="3"/>
  <c r="G1037" i="3"/>
  <c r="I1037" i="3"/>
  <c r="J1037" i="3" s="1"/>
  <c r="M1037" i="3"/>
  <c r="G1038" i="3"/>
  <c r="I1038" i="3"/>
  <c r="J1038" i="3" s="1"/>
  <c r="M1038" i="3"/>
  <c r="G1039" i="3"/>
  <c r="I1039" i="3"/>
  <c r="J1039" i="3" s="1"/>
  <c r="M1039" i="3"/>
  <c r="G1040" i="3"/>
  <c r="I1040" i="3"/>
  <c r="J1040" i="3" s="1"/>
  <c r="M1040" i="3"/>
  <c r="G1041" i="3"/>
  <c r="I1041" i="3"/>
  <c r="J1041" i="3" s="1"/>
  <c r="M1041" i="3"/>
  <c r="G1042" i="3"/>
  <c r="I1042" i="3"/>
  <c r="J1042" i="3" s="1"/>
  <c r="M1042" i="3"/>
  <c r="G1043" i="3"/>
  <c r="I1043" i="3"/>
  <c r="J1043" i="3" s="1"/>
  <c r="M1043" i="3"/>
  <c r="G1044" i="3"/>
  <c r="I1044" i="3"/>
  <c r="J1044" i="3" s="1"/>
  <c r="M1044" i="3"/>
  <c r="G1045" i="3"/>
  <c r="I1045" i="3"/>
  <c r="J1045" i="3" s="1"/>
  <c r="M1045" i="3"/>
  <c r="G1046" i="3"/>
  <c r="I1046" i="3"/>
  <c r="J1046" i="3" s="1"/>
  <c r="M1046" i="3"/>
  <c r="G1047" i="3"/>
  <c r="I1047" i="3"/>
  <c r="J1047" i="3" s="1"/>
  <c r="M1047" i="3"/>
  <c r="G1048" i="3"/>
  <c r="I1048" i="3"/>
  <c r="J1048" i="3" s="1"/>
  <c r="M1048" i="3"/>
  <c r="G1049" i="3"/>
  <c r="I1049" i="3"/>
  <c r="J1049" i="3" s="1"/>
  <c r="M1049" i="3"/>
  <c r="G1050" i="3"/>
  <c r="I1050" i="3"/>
  <c r="J1050" i="3" s="1"/>
  <c r="M1050" i="3"/>
  <c r="G1051" i="3"/>
  <c r="I1051" i="3"/>
  <c r="J1051" i="3" s="1"/>
  <c r="M1051" i="3"/>
  <c r="G1052" i="3"/>
  <c r="I1052" i="3"/>
  <c r="J1052" i="3" s="1"/>
  <c r="M1052" i="3"/>
  <c r="G1053" i="3"/>
  <c r="I1053" i="3"/>
  <c r="J1053" i="3" s="1"/>
  <c r="M1053" i="3"/>
  <c r="G1054" i="3"/>
  <c r="I1054" i="3"/>
  <c r="J1054" i="3" s="1"/>
  <c r="M1054" i="3"/>
  <c r="G1055" i="3"/>
  <c r="I1055" i="3"/>
  <c r="J1055" i="3" s="1"/>
  <c r="M1055" i="3"/>
  <c r="G1056" i="3"/>
  <c r="I1056" i="3"/>
  <c r="J1056" i="3" s="1"/>
  <c r="M1056" i="3"/>
  <c r="G1057" i="3"/>
  <c r="I1057" i="3"/>
  <c r="J1057" i="3" s="1"/>
  <c r="M1057" i="3"/>
  <c r="G1058" i="3"/>
  <c r="I1058" i="3"/>
  <c r="J1058" i="3" s="1"/>
  <c r="M1058" i="3"/>
  <c r="G1059" i="3"/>
  <c r="I1059" i="3"/>
  <c r="J1059" i="3" s="1"/>
  <c r="M1059" i="3"/>
  <c r="G1060" i="3"/>
  <c r="I1060" i="3"/>
  <c r="J1060" i="3" s="1"/>
  <c r="M1060" i="3"/>
  <c r="G1061" i="3"/>
  <c r="I1061" i="3"/>
  <c r="J1061" i="3" s="1"/>
  <c r="M1061" i="3"/>
  <c r="G1062" i="3"/>
  <c r="I1062" i="3"/>
  <c r="J1062" i="3" s="1"/>
  <c r="M1062" i="3"/>
  <c r="G1063" i="3"/>
  <c r="I1063" i="3"/>
  <c r="J1063" i="3" s="1"/>
  <c r="M1063" i="3"/>
  <c r="G1064" i="3"/>
  <c r="I1064" i="3"/>
  <c r="J1064" i="3" s="1"/>
  <c r="M1064" i="3"/>
  <c r="G1065" i="3"/>
  <c r="I1065" i="3"/>
  <c r="J1065" i="3" s="1"/>
  <c r="M1065" i="3"/>
  <c r="G1066" i="3"/>
  <c r="I1066" i="3"/>
  <c r="J1066" i="3" s="1"/>
  <c r="M1066" i="3"/>
  <c r="G1067" i="3"/>
  <c r="I1067" i="3"/>
  <c r="J1067" i="3" s="1"/>
  <c r="M1067" i="3"/>
  <c r="G1068" i="3"/>
  <c r="I1068" i="3"/>
  <c r="J1068" i="3" s="1"/>
  <c r="M1068" i="3"/>
  <c r="G1069" i="3"/>
  <c r="I1069" i="3"/>
  <c r="J1069" i="3" s="1"/>
  <c r="M1069" i="3"/>
  <c r="G1070" i="3"/>
  <c r="I1070" i="3"/>
  <c r="J1070" i="3" s="1"/>
  <c r="M1070" i="3"/>
  <c r="G1071" i="3"/>
  <c r="I1071" i="3"/>
  <c r="J1071" i="3" s="1"/>
  <c r="M1071" i="3"/>
  <c r="G1072" i="3"/>
  <c r="I1072" i="3"/>
  <c r="J1072" i="3" s="1"/>
  <c r="M1072" i="3"/>
  <c r="G1073" i="3"/>
  <c r="I1073" i="3"/>
  <c r="J1073" i="3" s="1"/>
  <c r="M1073" i="3"/>
  <c r="G1074" i="3"/>
  <c r="I1074" i="3"/>
  <c r="J1074" i="3" s="1"/>
  <c r="M1074" i="3"/>
  <c r="G1075" i="3"/>
  <c r="I1075" i="3"/>
  <c r="J1075" i="3" s="1"/>
  <c r="M1075" i="3"/>
  <c r="G1076" i="3"/>
  <c r="I1076" i="3"/>
  <c r="J1076" i="3" s="1"/>
  <c r="M1076" i="3"/>
  <c r="G1077" i="3"/>
  <c r="I1077" i="3"/>
  <c r="J1077" i="3" s="1"/>
  <c r="M1077" i="3"/>
  <c r="G1078" i="3"/>
  <c r="I1078" i="3"/>
  <c r="J1078" i="3" s="1"/>
  <c r="M1078" i="3"/>
  <c r="G1079" i="3"/>
  <c r="I1079" i="3"/>
  <c r="J1079" i="3" s="1"/>
  <c r="M1079" i="3"/>
  <c r="G1080" i="3"/>
  <c r="I1080" i="3"/>
  <c r="J1080" i="3" s="1"/>
  <c r="M1080" i="3"/>
  <c r="G1081" i="3"/>
  <c r="I1081" i="3"/>
  <c r="J1081" i="3" s="1"/>
  <c r="M1081" i="3"/>
  <c r="G1082" i="3"/>
  <c r="I1082" i="3"/>
  <c r="J1082" i="3" s="1"/>
  <c r="M1082" i="3"/>
  <c r="G1083" i="3"/>
  <c r="I1083" i="3"/>
  <c r="J1083" i="3" s="1"/>
  <c r="M1083" i="3"/>
  <c r="G1084" i="3"/>
  <c r="I1084" i="3"/>
  <c r="J1084" i="3" s="1"/>
  <c r="M1084" i="3"/>
  <c r="G1085" i="3"/>
  <c r="I1085" i="3"/>
  <c r="J1085" i="3" s="1"/>
  <c r="M1085" i="3"/>
  <c r="G1086" i="3"/>
  <c r="I1086" i="3"/>
  <c r="J1086" i="3" s="1"/>
  <c r="M1086" i="3"/>
  <c r="G1087" i="3"/>
  <c r="I1087" i="3"/>
  <c r="J1087" i="3" s="1"/>
  <c r="M1087" i="3"/>
  <c r="G1088" i="3"/>
  <c r="I1088" i="3"/>
  <c r="J1088" i="3" s="1"/>
  <c r="M1088" i="3"/>
  <c r="G1089" i="3"/>
  <c r="I1089" i="3"/>
  <c r="J1089" i="3" s="1"/>
  <c r="M1089" i="3"/>
  <c r="G1090" i="3"/>
  <c r="I1090" i="3"/>
  <c r="J1090" i="3" s="1"/>
  <c r="M1090" i="3"/>
  <c r="G1091" i="3"/>
  <c r="I1091" i="3"/>
  <c r="J1091" i="3" s="1"/>
  <c r="M1091" i="3"/>
  <c r="G1092" i="3"/>
  <c r="I1092" i="3"/>
  <c r="J1092" i="3" s="1"/>
  <c r="M1092" i="3"/>
  <c r="G1093" i="3"/>
  <c r="I1093" i="3"/>
  <c r="J1093" i="3" s="1"/>
  <c r="M1093" i="3"/>
  <c r="G1094" i="3"/>
  <c r="I1094" i="3"/>
  <c r="J1094" i="3" s="1"/>
  <c r="M1094" i="3"/>
  <c r="G1095" i="3"/>
  <c r="I1095" i="3"/>
  <c r="J1095" i="3" s="1"/>
  <c r="M1095" i="3"/>
  <c r="G1096" i="3"/>
  <c r="I1096" i="3"/>
  <c r="J1096" i="3" s="1"/>
  <c r="M1096" i="3"/>
  <c r="G1097" i="3"/>
  <c r="I1097" i="3"/>
  <c r="J1097" i="3" s="1"/>
  <c r="M1097" i="3"/>
  <c r="G1098" i="3"/>
  <c r="I1098" i="3"/>
  <c r="J1098" i="3" s="1"/>
  <c r="M1098" i="3"/>
  <c r="G1099" i="3"/>
  <c r="I1099" i="3"/>
  <c r="J1099" i="3" s="1"/>
  <c r="M1099" i="3"/>
  <c r="G1100" i="3"/>
  <c r="I1100" i="3"/>
  <c r="J1100" i="3" s="1"/>
  <c r="M1100" i="3"/>
  <c r="G1101" i="3"/>
  <c r="I1101" i="3"/>
  <c r="J1101" i="3" s="1"/>
  <c r="M1101" i="3"/>
  <c r="G1102" i="3"/>
  <c r="I1102" i="3"/>
  <c r="J1102" i="3" s="1"/>
  <c r="M1102" i="3"/>
  <c r="G1103" i="3"/>
  <c r="I1103" i="3"/>
  <c r="J1103" i="3" s="1"/>
  <c r="M1103" i="3"/>
  <c r="G1104" i="3"/>
  <c r="I1104" i="3"/>
  <c r="J1104" i="3" s="1"/>
  <c r="M1104" i="3"/>
  <c r="G1105" i="3"/>
  <c r="I1105" i="3"/>
  <c r="J1105" i="3" s="1"/>
  <c r="M1105" i="3"/>
  <c r="G1106" i="3"/>
  <c r="I1106" i="3"/>
  <c r="J1106" i="3" s="1"/>
  <c r="M1106" i="3"/>
  <c r="G1107" i="3"/>
  <c r="I1107" i="3"/>
  <c r="J1107" i="3" s="1"/>
  <c r="M1107" i="3"/>
  <c r="G1108" i="3"/>
  <c r="I1108" i="3"/>
  <c r="J1108" i="3" s="1"/>
  <c r="M1108" i="3"/>
  <c r="G1109" i="3"/>
  <c r="I1109" i="3"/>
  <c r="J1109" i="3" s="1"/>
  <c r="M1109" i="3"/>
  <c r="G1110" i="3"/>
  <c r="I1110" i="3"/>
  <c r="J1110" i="3" s="1"/>
  <c r="M1110" i="3"/>
  <c r="G1111" i="3"/>
  <c r="I1111" i="3"/>
  <c r="J1111" i="3" s="1"/>
  <c r="M1111" i="3"/>
  <c r="G1112" i="3"/>
  <c r="I1112" i="3"/>
  <c r="J1112" i="3" s="1"/>
  <c r="M1112" i="3"/>
  <c r="G1113" i="3"/>
  <c r="I1113" i="3"/>
  <c r="J1113" i="3" s="1"/>
  <c r="M1113" i="3"/>
  <c r="G1114" i="3"/>
  <c r="I1114" i="3"/>
  <c r="J1114" i="3" s="1"/>
  <c r="M1114" i="3"/>
  <c r="G1115" i="3"/>
  <c r="I1115" i="3"/>
  <c r="J1115" i="3" s="1"/>
  <c r="M1115" i="3"/>
  <c r="G1116" i="3"/>
  <c r="I1116" i="3"/>
  <c r="J1116" i="3" s="1"/>
  <c r="M1116" i="3"/>
  <c r="G1117" i="3"/>
  <c r="I1117" i="3"/>
  <c r="J1117" i="3" s="1"/>
  <c r="M1117" i="3"/>
  <c r="G1118" i="3"/>
  <c r="I1118" i="3"/>
  <c r="J1118" i="3" s="1"/>
  <c r="M1118" i="3"/>
  <c r="G1119" i="3"/>
  <c r="I1119" i="3"/>
  <c r="J1119" i="3" s="1"/>
  <c r="M1119" i="3"/>
  <c r="G1120" i="3"/>
  <c r="I1120" i="3"/>
  <c r="J1120" i="3" s="1"/>
  <c r="M1120" i="3"/>
  <c r="G1121" i="3"/>
  <c r="I1121" i="3"/>
  <c r="J1121" i="3" s="1"/>
  <c r="M1121" i="3"/>
  <c r="G1122" i="3"/>
  <c r="I1122" i="3"/>
  <c r="J1122" i="3" s="1"/>
  <c r="M1122" i="3"/>
  <c r="G1123" i="3"/>
  <c r="I1123" i="3"/>
  <c r="J1123" i="3" s="1"/>
  <c r="M1123" i="3"/>
  <c r="G1124" i="3"/>
  <c r="I1124" i="3"/>
  <c r="J1124" i="3" s="1"/>
  <c r="M1124" i="3"/>
  <c r="G1125" i="3"/>
  <c r="I1125" i="3"/>
  <c r="J1125" i="3" s="1"/>
  <c r="M1125" i="3"/>
  <c r="G1126" i="3"/>
  <c r="I1126" i="3"/>
  <c r="J1126" i="3" s="1"/>
  <c r="M1126" i="3"/>
  <c r="G1127" i="3"/>
  <c r="I1127" i="3"/>
  <c r="J1127" i="3" s="1"/>
  <c r="M1127" i="3"/>
  <c r="G1128" i="3"/>
  <c r="I1128" i="3"/>
  <c r="J1128" i="3" s="1"/>
  <c r="M1128" i="3"/>
  <c r="G1129" i="3"/>
  <c r="I1129" i="3"/>
  <c r="J1129" i="3" s="1"/>
  <c r="M1129" i="3"/>
  <c r="G1130" i="3"/>
  <c r="I1130" i="3"/>
  <c r="J1130" i="3" s="1"/>
  <c r="M1130" i="3"/>
  <c r="G1131" i="3"/>
  <c r="I1131" i="3"/>
  <c r="J1131" i="3" s="1"/>
  <c r="M1131" i="3"/>
  <c r="G1132" i="3"/>
  <c r="I1132" i="3"/>
  <c r="J1132" i="3" s="1"/>
  <c r="M1132" i="3"/>
  <c r="G1133" i="3"/>
  <c r="I1133" i="3"/>
  <c r="J1133" i="3" s="1"/>
  <c r="M1133" i="3"/>
  <c r="G1134" i="3"/>
  <c r="I1134" i="3"/>
  <c r="J1134" i="3" s="1"/>
  <c r="M1134" i="3"/>
  <c r="G1135" i="3"/>
  <c r="I1135" i="3"/>
  <c r="J1135" i="3" s="1"/>
  <c r="M1135" i="3"/>
  <c r="G1136" i="3"/>
  <c r="I1136" i="3"/>
  <c r="J1136" i="3" s="1"/>
  <c r="M1136" i="3"/>
  <c r="G1137" i="3"/>
  <c r="I1137" i="3"/>
  <c r="J1137" i="3" s="1"/>
  <c r="M1137" i="3"/>
  <c r="G1138" i="3"/>
  <c r="I1138" i="3"/>
  <c r="J1138" i="3" s="1"/>
  <c r="M1138" i="3"/>
  <c r="G1139" i="3"/>
  <c r="I1139" i="3"/>
  <c r="J1139" i="3" s="1"/>
  <c r="M1139" i="3"/>
  <c r="G1140" i="3"/>
  <c r="I1140" i="3"/>
  <c r="J1140" i="3" s="1"/>
  <c r="M1140" i="3"/>
  <c r="G1141" i="3"/>
  <c r="I1141" i="3"/>
  <c r="J1141" i="3" s="1"/>
  <c r="M1141" i="3"/>
  <c r="G1142" i="3"/>
  <c r="I1142" i="3"/>
  <c r="J1142" i="3" s="1"/>
  <c r="M1142" i="3"/>
  <c r="G1143" i="3"/>
  <c r="I1143" i="3"/>
  <c r="J1143" i="3" s="1"/>
  <c r="M1143" i="3"/>
  <c r="G1144" i="3"/>
  <c r="I1144" i="3"/>
  <c r="J1144" i="3" s="1"/>
  <c r="M1144" i="3"/>
  <c r="G1145" i="3"/>
  <c r="I1145" i="3"/>
  <c r="J1145" i="3" s="1"/>
  <c r="M1145" i="3"/>
  <c r="G1146" i="3"/>
  <c r="I1146" i="3"/>
  <c r="J1146" i="3" s="1"/>
  <c r="M1146" i="3"/>
  <c r="G1147" i="3"/>
  <c r="I1147" i="3"/>
  <c r="J1147" i="3" s="1"/>
  <c r="M1147" i="3"/>
  <c r="G1148" i="3"/>
  <c r="I1148" i="3"/>
  <c r="J1148" i="3" s="1"/>
  <c r="M1148" i="3"/>
  <c r="G1149" i="3"/>
  <c r="I1149" i="3"/>
  <c r="J1149" i="3" s="1"/>
  <c r="M1149" i="3"/>
  <c r="G1150" i="3"/>
  <c r="I1150" i="3"/>
  <c r="J1150" i="3" s="1"/>
  <c r="M1150" i="3"/>
  <c r="G1151" i="3"/>
  <c r="I1151" i="3"/>
  <c r="J1151" i="3" s="1"/>
  <c r="M1151" i="3"/>
  <c r="G1152" i="3"/>
  <c r="I1152" i="3"/>
  <c r="J1152" i="3" s="1"/>
  <c r="M1152" i="3"/>
  <c r="G1153" i="3"/>
  <c r="I1153" i="3"/>
  <c r="J1153" i="3" s="1"/>
  <c r="M1153" i="3"/>
  <c r="G1154" i="3"/>
  <c r="I1154" i="3"/>
  <c r="J1154" i="3" s="1"/>
  <c r="M1154" i="3"/>
  <c r="G1155" i="3"/>
  <c r="I1155" i="3"/>
  <c r="J1155" i="3" s="1"/>
  <c r="M1155" i="3"/>
  <c r="G1156" i="3"/>
  <c r="I1156" i="3"/>
  <c r="J1156" i="3" s="1"/>
  <c r="M1156" i="3"/>
  <c r="G1157" i="3"/>
  <c r="I1157" i="3"/>
  <c r="J1157" i="3" s="1"/>
  <c r="M1157" i="3"/>
  <c r="G1158" i="3"/>
  <c r="I1158" i="3"/>
  <c r="J1158" i="3" s="1"/>
  <c r="M1158" i="3"/>
  <c r="G1159" i="3"/>
  <c r="I1159" i="3"/>
  <c r="J1159" i="3" s="1"/>
  <c r="M1159" i="3"/>
  <c r="G1160" i="3"/>
  <c r="I1160" i="3"/>
  <c r="J1160" i="3" s="1"/>
  <c r="M1160" i="3"/>
  <c r="G1161" i="3"/>
  <c r="I1161" i="3"/>
  <c r="J1161" i="3" s="1"/>
  <c r="M1161" i="3"/>
  <c r="G1162" i="3"/>
  <c r="I1162" i="3"/>
  <c r="J1162" i="3" s="1"/>
  <c r="M1162" i="3"/>
  <c r="G1163" i="3"/>
  <c r="I1163" i="3"/>
  <c r="J1163" i="3" s="1"/>
  <c r="M1163" i="3"/>
  <c r="G1164" i="3"/>
  <c r="I1164" i="3"/>
  <c r="J1164" i="3" s="1"/>
  <c r="M1164" i="3"/>
  <c r="G1165" i="3"/>
  <c r="I1165" i="3"/>
  <c r="J1165" i="3" s="1"/>
  <c r="M1165" i="3"/>
  <c r="G1166" i="3"/>
  <c r="I1166" i="3"/>
  <c r="J1166" i="3" s="1"/>
  <c r="M1166" i="3"/>
  <c r="G1167" i="3"/>
  <c r="I1167" i="3"/>
  <c r="J1167" i="3" s="1"/>
  <c r="M1167" i="3"/>
  <c r="G1168" i="3"/>
  <c r="I1168" i="3"/>
  <c r="J1168" i="3" s="1"/>
  <c r="M1168" i="3"/>
  <c r="G1169" i="3"/>
  <c r="I1169" i="3"/>
  <c r="J1169" i="3" s="1"/>
  <c r="M1169" i="3"/>
  <c r="G1170" i="3"/>
  <c r="I1170" i="3"/>
  <c r="J1170" i="3" s="1"/>
  <c r="M1170" i="3"/>
  <c r="G1171" i="3"/>
  <c r="I1171" i="3"/>
  <c r="J1171" i="3" s="1"/>
  <c r="M1171" i="3"/>
  <c r="G1172" i="3"/>
  <c r="I1172" i="3"/>
  <c r="J1172" i="3" s="1"/>
  <c r="M1172" i="3"/>
  <c r="G1173" i="3"/>
  <c r="I1173" i="3"/>
  <c r="J1173" i="3" s="1"/>
  <c r="M1173" i="3"/>
  <c r="G1174" i="3"/>
  <c r="I1174" i="3"/>
  <c r="J1174" i="3" s="1"/>
  <c r="M1174" i="3"/>
  <c r="G1175" i="3"/>
  <c r="I1175" i="3"/>
  <c r="J1175" i="3" s="1"/>
  <c r="M1175" i="3"/>
  <c r="G1176" i="3"/>
  <c r="I1176" i="3"/>
  <c r="J1176" i="3" s="1"/>
  <c r="M1176" i="3"/>
  <c r="G1177" i="3"/>
  <c r="I1177" i="3"/>
  <c r="J1177" i="3" s="1"/>
  <c r="M1177" i="3"/>
  <c r="G1178" i="3"/>
  <c r="I1178" i="3"/>
  <c r="J1178" i="3" s="1"/>
  <c r="M1178" i="3"/>
  <c r="G1179" i="3"/>
  <c r="I1179" i="3"/>
  <c r="J1179" i="3" s="1"/>
  <c r="M1179" i="3"/>
  <c r="G1180" i="3"/>
  <c r="I1180" i="3"/>
  <c r="J1180" i="3" s="1"/>
  <c r="M1180" i="3"/>
  <c r="G1181" i="3"/>
  <c r="I1181" i="3"/>
  <c r="J1181" i="3" s="1"/>
  <c r="M1181" i="3"/>
  <c r="G1182" i="3"/>
  <c r="I1182" i="3"/>
  <c r="J1182" i="3" s="1"/>
  <c r="M1182" i="3"/>
  <c r="G1183" i="3"/>
  <c r="I1183" i="3"/>
  <c r="J1183" i="3" s="1"/>
  <c r="M1183" i="3"/>
  <c r="G1184" i="3"/>
  <c r="I1184" i="3"/>
  <c r="J1184" i="3" s="1"/>
  <c r="M1184" i="3"/>
  <c r="G1185" i="3"/>
  <c r="I1185" i="3"/>
  <c r="J1185" i="3" s="1"/>
  <c r="M1185" i="3"/>
  <c r="G1186" i="3"/>
  <c r="I1186" i="3"/>
  <c r="J1186" i="3" s="1"/>
  <c r="M1186" i="3"/>
  <c r="G1187" i="3"/>
  <c r="I1187" i="3"/>
  <c r="J1187" i="3" s="1"/>
  <c r="M1187" i="3"/>
  <c r="G1188" i="3"/>
  <c r="I1188" i="3"/>
  <c r="J1188" i="3" s="1"/>
  <c r="M1188" i="3"/>
  <c r="G1189" i="3"/>
  <c r="I1189" i="3"/>
  <c r="J1189" i="3" s="1"/>
  <c r="M1189" i="3"/>
  <c r="G1190" i="3"/>
  <c r="I1190" i="3"/>
  <c r="J1190" i="3" s="1"/>
  <c r="M1190" i="3"/>
  <c r="G1191" i="3"/>
  <c r="I1191" i="3"/>
  <c r="J1191" i="3" s="1"/>
  <c r="M1191" i="3"/>
  <c r="G1192" i="3"/>
  <c r="I1192" i="3"/>
  <c r="J1192" i="3" s="1"/>
  <c r="M1192" i="3"/>
  <c r="G1193" i="3"/>
  <c r="I1193" i="3"/>
  <c r="J1193" i="3" s="1"/>
  <c r="M1193" i="3"/>
  <c r="G1194" i="3"/>
  <c r="I1194" i="3"/>
  <c r="J1194" i="3" s="1"/>
  <c r="M1194" i="3"/>
  <c r="G1195" i="3"/>
  <c r="I1195" i="3"/>
  <c r="J1195" i="3" s="1"/>
  <c r="M1195" i="3"/>
  <c r="G1196" i="3"/>
  <c r="I1196" i="3"/>
  <c r="J1196" i="3" s="1"/>
  <c r="M1196" i="3"/>
  <c r="G1197" i="3"/>
  <c r="I1197" i="3"/>
  <c r="J1197" i="3" s="1"/>
  <c r="M1197" i="3"/>
  <c r="G1198" i="3"/>
  <c r="I1198" i="3"/>
  <c r="J1198" i="3" s="1"/>
  <c r="M1198" i="3"/>
  <c r="G1199" i="3"/>
  <c r="I1199" i="3"/>
  <c r="J1199" i="3" s="1"/>
  <c r="M1199" i="3"/>
  <c r="G1200" i="3"/>
  <c r="I1200" i="3"/>
  <c r="J1200" i="3" s="1"/>
  <c r="M1200" i="3"/>
  <c r="G1201" i="3"/>
  <c r="I1201" i="3"/>
  <c r="J1201" i="3" s="1"/>
  <c r="M1201" i="3"/>
  <c r="G1202" i="3"/>
  <c r="I1202" i="3"/>
  <c r="J1202" i="3" s="1"/>
  <c r="M1202" i="3"/>
  <c r="G1203" i="3"/>
  <c r="I1203" i="3"/>
  <c r="J1203" i="3" s="1"/>
  <c r="M1203" i="3"/>
  <c r="G1204" i="3"/>
  <c r="I1204" i="3"/>
  <c r="J1204" i="3" s="1"/>
  <c r="M1204" i="3"/>
  <c r="G1205" i="3"/>
  <c r="I1205" i="3"/>
  <c r="J1205" i="3" s="1"/>
  <c r="M1205" i="3"/>
  <c r="G1206" i="3"/>
  <c r="I1206" i="3"/>
  <c r="J1206" i="3" s="1"/>
  <c r="M1206" i="3"/>
  <c r="G1207" i="3"/>
  <c r="I1207" i="3"/>
  <c r="J1207" i="3" s="1"/>
  <c r="M1207" i="3"/>
  <c r="G1208" i="3"/>
  <c r="I1208" i="3"/>
  <c r="J1208" i="3" s="1"/>
  <c r="M1208" i="3"/>
  <c r="G1209" i="3"/>
  <c r="I1209" i="3"/>
  <c r="J1209" i="3" s="1"/>
  <c r="M1209" i="3"/>
  <c r="G1210" i="3"/>
  <c r="I1210" i="3"/>
  <c r="J1210" i="3" s="1"/>
  <c r="M1210" i="3"/>
  <c r="G1211" i="3"/>
  <c r="I1211" i="3"/>
  <c r="J1211" i="3" s="1"/>
  <c r="M1211" i="3"/>
  <c r="G1212" i="3"/>
  <c r="I1212" i="3"/>
  <c r="J1212" i="3" s="1"/>
  <c r="M1212" i="3"/>
  <c r="G1213" i="3"/>
  <c r="I1213" i="3"/>
  <c r="J1213" i="3" s="1"/>
  <c r="M1213" i="3"/>
  <c r="G1214" i="3"/>
  <c r="I1214" i="3"/>
  <c r="J1214" i="3" s="1"/>
  <c r="M1214" i="3"/>
  <c r="G1215" i="3"/>
  <c r="I1215" i="3"/>
  <c r="J1215" i="3" s="1"/>
  <c r="M1215" i="3"/>
  <c r="G1216" i="3"/>
  <c r="I1216" i="3"/>
  <c r="J1216" i="3" s="1"/>
  <c r="M1216" i="3"/>
  <c r="G1217" i="3"/>
  <c r="I1217" i="3"/>
  <c r="J1217" i="3" s="1"/>
  <c r="M1217" i="3"/>
  <c r="G1218" i="3"/>
  <c r="I1218" i="3"/>
  <c r="J1218" i="3" s="1"/>
  <c r="M1218" i="3"/>
  <c r="G1219" i="3"/>
  <c r="I1219" i="3"/>
  <c r="J1219" i="3" s="1"/>
  <c r="M1219" i="3"/>
  <c r="G1220" i="3"/>
  <c r="I1220" i="3"/>
  <c r="J1220" i="3" s="1"/>
  <c r="M1220" i="3"/>
  <c r="G1221" i="3"/>
  <c r="I1221" i="3"/>
  <c r="J1221" i="3" s="1"/>
  <c r="M1221" i="3"/>
  <c r="G1222" i="3"/>
  <c r="I1222" i="3"/>
  <c r="J1222" i="3" s="1"/>
  <c r="M1222" i="3"/>
  <c r="G1223" i="3"/>
  <c r="I1223" i="3"/>
  <c r="J1223" i="3" s="1"/>
  <c r="M1223" i="3"/>
  <c r="G1224" i="3"/>
  <c r="I1224" i="3"/>
  <c r="J1224" i="3" s="1"/>
  <c r="M1224" i="3"/>
  <c r="G1225" i="3"/>
  <c r="I1225" i="3"/>
  <c r="J1225" i="3" s="1"/>
  <c r="M1225" i="3"/>
  <c r="G1226" i="3"/>
  <c r="I1226" i="3"/>
  <c r="J1226" i="3" s="1"/>
  <c r="M1226" i="3"/>
  <c r="G1227" i="3"/>
  <c r="I1227" i="3"/>
  <c r="J1227" i="3" s="1"/>
  <c r="M1227" i="3"/>
  <c r="G1228" i="3"/>
  <c r="I1228" i="3"/>
  <c r="J1228" i="3" s="1"/>
  <c r="M1228" i="3"/>
  <c r="G1229" i="3"/>
  <c r="I1229" i="3"/>
  <c r="J1229" i="3" s="1"/>
  <c r="M1229" i="3"/>
  <c r="G1230" i="3"/>
  <c r="I1230" i="3"/>
  <c r="J1230" i="3" s="1"/>
  <c r="M1230" i="3"/>
  <c r="G1231" i="3"/>
  <c r="I1231" i="3"/>
  <c r="J1231" i="3" s="1"/>
  <c r="M1231" i="3"/>
  <c r="G1232" i="3"/>
  <c r="I1232" i="3"/>
  <c r="J1232" i="3" s="1"/>
  <c r="M1232" i="3"/>
  <c r="G1233" i="3"/>
  <c r="I1233" i="3"/>
  <c r="J1233" i="3" s="1"/>
  <c r="M1233" i="3"/>
  <c r="G1234" i="3"/>
  <c r="I1234" i="3"/>
  <c r="J1234" i="3" s="1"/>
  <c r="M1234" i="3"/>
  <c r="G1235" i="3"/>
  <c r="I1235" i="3"/>
  <c r="J1235" i="3" s="1"/>
  <c r="M1235" i="3"/>
  <c r="G1236" i="3"/>
  <c r="I1236" i="3"/>
  <c r="J1236" i="3" s="1"/>
  <c r="M1236" i="3"/>
  <c r="G1237" i="3"/>
  <c r="I1237" i="3"/>
  <c r="J1237" i="3" s="1"/>
  <c r="M1237" i="3"/>
  <c r="G1238" i="3"/>
  <c r="I1238" i="3"/>
  <c r="J1238" i="3" s="1"/>
  <c r="M1238" i="3"/>
  <c r="G1239" i="3"/>
  <c r="I1239" i="3"/>
  <c r="J1239" i="3" s="1"/>
  <c r="M1239" i="3"/>
  <c r="G1240" i="3"/>
  <c r="I1240" i="3"/>
  <c r="J1240" i="3" s="1"/>
  <c r="M1240" i="3"/>
  <c r="G1241" i="3"/>
  <c r="I1241" i="3"/>
  <c r="J1241" i="3" s="1"/>
  <c r="M1241" i="3"/>
  <c r="G1242" i="3"/>
  <c r="I1242" i="3"/>
  <c r="J1242" i="3" s="1"/>
  <c r="M1242" i="3"/>
  <c r="G1243" i="3"/>
  <c r="I1243" i="3"/>
  <c r="J1243" i="3" s="1"/>
  <c r="M1243" i="3"/>
  <c r="G1244" i="3"/>
  <c r="I1244" i="3"/>
  <c r="J1244" i="3" s="1"/>
  <c r="M1244" i="3"/>
  <c r="G1245" i="3"/>
  <c r="I1245" i="3"/>
  <c r="J1245" i="3" s="1"/>
  <c r="M1245" i="3"/>
  <c r="G1246" i="3"/>
  <c r="I1246" i="3"/>
  <c r="J1246" i="3" s="1"/>
  <c r="M1246" i="3"/>
  <c r="G1247" i="3"/>
  <c r="I1247" i="3"/>
  <c r="J1247" i="3" s="1"/>
  <c r="M1247" i="3"/>
  <c r="G1248" i="3"/>
  <c r="I1248" i="3"/>
  <c r="J1248" i="3" s="1"/>
  <c r="M1248" i="3"/>
  <c r="G1249" i="3"/>
  <c r="I1249" i="3"/>
  <c r="J1249" i="3" s="1"/>
  <c r="M1249" i="3"/>
  <c r="G1250" i="3"/>
  <c r="I1250" i="3"/>
  <c r="J1250" i="3" s="1"/>
  <c r="M1250" i="3"/>
  <c r="G1251" i="3"/>
  <c r="I1251" i="3"/>
  <c r="J1251" i="3" s="1"/>
  <c r="M1251" i="3"/>
  <c r="G1252" i="3"/>
  <c r="I1252" i="3"/>
  <c r="J1252" i="3" s="1"/>
  <c r="M1252" i="3"/>
  <c r="G1253" i="3"/>
  <c r="I1253" i="3"/>
  <c r="J1253" i="3" s="1"/>
  <c r="M1253" i="3"/>
  <c r="G1254" i="3"/>
  <c r="I1254" i="3"/>
  <c r="J1254" i="3" s="1"/>
  <c r="M1254" i="3"/>
  <c r="G1255" i="3"/>
  <c r="I1255" i="3"/>
  <c r="J1255" i="3" s="1"/>
  <c r="M1255" i="3"/>
  <c r="G1256" i="3"/>
  <c r="I1256" i="3"/>
  <c r="J1256" i="3"/>
  <c r="M1256" i="3"/>
  <c r="G1257" i="3"/>
  <c r="I1257" i="3"/>
  <c r="J1257" i="3" s="1"/>
  <c r="M1257" i="3"/>
  <c r="G1258" i="3"/>
  <c r="I1258" i="3"/>
  <c r="J1258" i="3" s="1"/>
  <c r="M1258" i="3"/>
  <c r="G1259" i="3"/>
  <c r="I1259" i="3"/>
  <c r="J1259" i="3" s="1"/>
  <c r="M1259" i="3"/>
  <c r="G1260" i="3"/>
  <c r="I1260" i="3"/>
  <c r="J1260" i="3"/>
  <c r="M1260" i="3"/>
  <c r="G1261" i="3"/>
  <c r="I1261" i="3"/>
  <c r="J1261" i="3" s="1"/>
  <c r="M1261" i="3"/>
  <c r="G1262" i="3"/>
  <c r="I1262" i="3"/>
  <c r="J1262" i="3" s="1"/>
  <c r="M1262" i="3"/>
  <c r="G1263" i="3"/>
  <c r="I1263" i="3"/>
  <c r="J1263" i="3" s="1"/>
  <c r="M1263" i="3"/>
  <c r="G1264" i="3"/>
  <c r="I1264" i="3"/>
  <c r="J1264" i="3" s="1"/>
  <c r="M1264" i="3"/>
  <c r="G1265" i="3"/>
  <c r="I1265" i="3"/>
  <c r="J1265" i="3" s="1"/>
  <c r="M1265" i="3"/>
  <c r="G1266" i="3"/>
  <c r="I1266" i="3"/>
  <c r="J1266" i="3" s="1"/>
  <c r="M1266" i="3"/>
  <c r="G1267" i="3"/>
  <c r="I1267" i="3"/>
  <c r="J1267" i="3" s="1"/>
  <c r="M1267" i="3"/>
  <c r="G1268" i="3"/>
  <c r="I1268" i="3"/>
  <c r="J1268" i="3" s="1"/>
  <c r="M1268" i="3"/>
  <c r="G1269" i="3"/>
  <c r="I1269" i="3"/>
  <c r="J1269" i="3" s="1"/>
  <c r="M1269" i="3"/>
  <c r="G1270" i="3"/>
  <c r="I1270" i="3"/>
  <c r="J1270" i="3" s="1"/>
  <c r="M1270" i="3"/>
  <c r="G1271" i="3"/>
  <c r="I1271" i="3"/>
  <c r="J1271" i="3" s="1"/>
  <c r="M1271" i="3"/>
  <c r="G1272" i="3"/>
  <c r="I1272" i="3"/>
  <c r="J1272" i="3" s="1"/>
  <c r="M1272" i="3"/>
  <c r="G1273" i="3"/>
  <c r="I1273" i="3"/>
  <c r="J1273" i="3" s="1"/>
  <c r="M1273" i="3"/>
  <c r="G1274" i="3"/>
  <c r="I1274" i="3"/>
  <c r="J1274" i="3" s="1"/>
  <c r="M1274" i="3"/>
  <c r="G1275" i="3"/>
  <c r="I1275" i="3"/>
  <c r="J1275" i="3" s="1"/>
  <c r="M1275" i="3"/>
  <c r="G1276" i="3"/>
  <c r="I1276" i="3"/>
  <c r="J1276" i="3" s="1"/>
  <c r="M1276" i="3"/>
  <c r="G1277" i="3"/>
  <c r="I1277" i="3"/>
  <c r="J1277" i="3" s="1"/>
  <c r="M1277" i="3"/>
  <c r="G1278" i="3"/>
  <c r="I1278" i="3"/>
  <c r="J1278" i="3" s="1"/>
  <c r="M1278" i="3"/>
  <c r="G1279" i="3"/>
  <c r="I1279" i="3"/>
  <c r="J1279" i="3" s="1"/>
  <c r="M1279" i="3"/>
  <c r="G1280" i="3"/>
  <c r="I1280" i="3"/>
  <c r="J1280" i="3" s="1"/>
  <c r="M1280" i="3"/>
  <c r="G1281" i="3"/>
  <c r="I1281" i="3"/>
  <c r="J1281" i="3" s="1"/>
  <c r="M1281" i="3"/>
  <c r="G1282" i="3"/>
  <c r="I1282" i="3"/>
  <c r="J1282" i="3" s="1"/>
  <c r="M1282" i="3"/>
  <c r="G1283" i="3"/>
  <c r="I1283" i="3"/>
  <c r="J1283" i="3" s="1"/>
  <c r="M1283" i="3"/>
  <c r="G1284" i="3"/>
  <c r="I1284" i="3"/>
  <c r="J1284" i="3" s="1"/>
  <c r="M1284" i="3"/>
  <c r="G1285" i="3"/>
  <c r="I1285" i="3"/>
  <c r="J1285" i="3" s="1"/>
  <c r="M1285" i="3"/>
  <c r="G1286" i="3"/>
  <c r="I1286" i="3"/>
  <c r="J1286" i="3" s="1"/>
  <c r="M1286" i="3"/>
  <c r="G1287" i="3"/>
  <c r="I1287" i="3"/>
  <c r="J1287" i="3" s="1"/>
  <c r="M1287" i="3"/>
  <c r="G1288" i="3"/>
  <c r="I1288" i="3"/>
  <c r="J1288" i="3" s="1"/>
  <c r="M1288" i="3"/>
  <c r="G1289" i="3"/>
  <c r="I1289" i="3"/>
  <c r="J1289" i="3" s="1"/>
  <c r="M1289" i="3"/>
  <c r="G1290" i="3"/>
  <c r="I1290" i="3"/>
  <c r="J1290" i="3" s="1"/>
  <c r="M1290" i="3"/>
  <c r="G1291" i="3"/>
  <c r="I1291" i="3"/>
  <c r="J1291" i="3" s="1"/>
  <c r="M1291" i="3"/>
  <c r="G1292" i="3"/>
  <c r="I1292" i="3"/>
  <c r="J1292" i="3" s="1"/>
  <c r="M1292" i="3"/>
  <c r="G1293" i="3"/>
  <c r="I1293" i="3"/>
  <c r="J1293" i="3" s="1"/>
  <c r="M1293" i="3"/>
  <c r="G1294" i="3"/>
  <c r="I1294" i="3"/>
  <c r="J1294" i="3" s="1"/>
  <c r="M1294" i="3"/>
  <c r="G1295" i="3"/>
  <c r="I1295" i="3"/>
  <c r="J1295" i="3" s="1"/>
  <c r="M1295" i="3"/>
  <c r="G1296" i="3"/>
  <c r="I1296" i="3"/>
  <c r="J1296" i="3" s="1"/>
  <c r="M1296" i="3"/>
  <c r="G1297" i="3"/>
  <c r="I1297" i="3"/>
  <c r="J1297" i="3" s="1"/>
  <c r="M1297" i="3"/>
  <c r="G1298" i="3"/>
  <c r="I1298" i="3"/>
  <c r="J1298" i="3" s="1"/>
  <c r="M1298" i="3"/>
  <c r="G1299" i="3"/>
  <c r="I1299" i="3"/>
  <c r="J1299" i="3" s="1"/>
  <c r="M1299" i="3"/>
  <c r="G1300" i="3"/>
  <c r="I1300" i="3"/>
  <c r="J1300" i="3" s="1"/>
  <c r="M1300" i="3"/>
  <c r="G1301" i="3"/>
  <c r="I1301" i="3"/>
  <c r="J1301" i="3" s="1"/>
  <c r="M1301" i="3"/>
  <c r="G1302" i="3"/>
  <c r="I1302" i="3"/>
  <c r="J1302" i="3" s="1"/>
  <c r="M1302" i="3"/>
  <c r="G1303" i="3"/>
  <c r="I1303" i="3"/>
  <c r="J1303" i="3" s="1"/>
  <c r="M1303" i="3"/>
  <c r="G1304" i="3"/>
  <c r="I1304" i="3"/>
  <c r="J1304" i="3" s="1"/>
  <c r="M1304" i="3"/>
  <c r="G1305" i="3"/>
  <c r="I1305" i="3"/>
  <c r="J1305" i="3" s="1"/>
  <c r="M1305" i="3"/>
  <c r="G1306" i="3"/>
  <c r="I1306" i="3"/>
  <c r="J1306" i="3" s="1"/>
  <c r="M1306" i="3"/>
  <c r="G1307" i="3"/>
  <c r="I1307" i="3"/>
  <c r="J1307" i="3" s="1"/>
  <c r="M1307" i="3"/>
  <c r="G1308" i="3"/>
  <c r="I1308" i="3"/>
  <c r="J1308" i="3" s="1"/>
  <c r="M1308" i="3"/>
  <c r="G1309" i="3"/>
  <c r="I1309" i="3"/>
  <c r="J1309" i="3" s="1"/>
  <c r="M1309" i="3"/>
  <c r="G1310" i="3"/>
  <c r="I1310" i="3"/>
  <c r="J1310" i="3" s="1"/>
  <c r="M1310" i="3"/>
  <c r="G1311" i="3"/>
  <c r="I1311" i="3"/>
  <c r="J1311" i="3" s="1"/>
  <c r="M1311" i="3"/>
  <c r="G1312" i="3"/>
  <c r="I1312" i="3"/>
  <c r="J1312" i="3" s="1"/>
  <c r="M1312" i="3"/>
  <c r="G1313" i="3"/>
  <c r="I1313" i="3"/>
  <c r="J1313" i="3" s="1"/>
  <c r="M1313" i="3"/>
  <c r="G1314" i="3"/>
  <c r="I1314" i="3"/>
  <c r="J1314" i="3" s="1"/>
  <c r="M1314" i="3"/>
  <c r="G1315" i="3"/>
  <c r="I1315" i="3"/>
  <c r="J1315" i="3" s="1"/>
  <c r="M1315" i="3"/>
  <c r="G1316" i="3"/>
  <c r="I1316" i="3"/>
  <c r="J1316" i="3" s="1"/>
  <c r="M1316" i="3"/>
  <c r="G1317" i="3"/>
  <c r="I1317" i="3"/>
  <c r="J1317" i="3" s="1"/>
  <c r="M1317" i="3"/>
  <c r="G1318" i="3"/>
  <c r="I1318" i="3"/>
  <c r="J1318" i="3" s="1"/>
  <c r="M1318" i="3"/>
  <c r="G1319" i="3"/>
  <c r="I1319" i="3"/>
  <c r="J1319" i="3" s="1"/>
  <c r="M1319" i="3"/>
  <c r="G1320" i="3"/>
  <c r="I1320" i="3"/>
  <c r="J1320" i="3" s="1"/>
  <c r="M1320" i="3"/>
  <c r="G1321" i="3"/>
  <c r="I1321" i="3"/>
  <c r="J1321" i="3" s="1"/>
  <c r="M1321" i="3"/>
  <c r="G1322" i="3"/>
  <c r="I1322" i="3"/>
  <c r="J1322" i="3"/>
  <c r="M1322" i="3"/>
  <c r="G1323" i="3"/>
  <c r="I1323" i="3"/>
  <c r="J1323" i="3" s="1"/>
  <c r="M1323" i="3"/>
  <c r="G1324" i="3"/>
  <c r="I1324" i="3"/>
  <c r="J1324" i="3" s="1"/>
  <c r="M1324" i="3"/>
  <c r="G1325" i="3"/>
  <c r="I1325" i="3"/>
  <c r="J1325" i="3" s="1"/>
  <c r="M1325" i="3"/>
  <c r="G1326" i="3"/>
  <c r="I1326" i="3"/>
  <c r="J1326" i="3" s="1"/>
  <c r="M1326" i="3"/>
  <c r="G1327" i="3"/>
  <c r="I1327" i="3"/>
  <c r="J1327" i="3" s="1"/>
  <c r="M1327" i="3"/>
  <c r="G1328" i="3"/>
  <c r="I1328" i="3"/>
  <c r="J1328" i="3" s="1"/>
  <c r="M1328" i="3"/>
  <c r="G1329" i="3"/>
  <c r="I1329" i="3"/>
  <c r="J1329" i="3" s="1"/>
  <c r="M1329" i="3"/>
  <c r="G1330" i="3"/>
  <c r="I1330" i="3"/>
  <c r="J1330" i="3" s="1"/>
  <c r="M1330" i="3"/>
  <c r="G1331" i="3"/>
  <c r="I1331" i="3"/>
  <c r="J1331" i="3" s="1"/>
  <c r="M1331" i="3"/>
  <c r="G1332" i="3"/>
  <c r="I1332" i="3"/>
  <c r="J1332" i="3" s="1"/>
  <c r="M1332" i="3"/>
  <c r="G1333" i="3"/>
  <c r="I1333" i="3"/>
  <c r="J1333" i="3" s="1"/>
  <c r="M1333" i="3"/>
  <c r="G1334" i="3"/>
  <c r="I1334" i="3"/>
  <c r="J1334" i="3" s="1"/>
  <c r="M1334" i="3"/>
  <c r="G1335" i="3"/>
  <c r="I1335" i="3"/>
  <c r="J1335" i="3" s="1"/>
  <c r="M1335" i="3"/>
  <c r="G1336" i="3"/>
  <c r="I1336" i="3"/>
  <c r="J1336" i="3" s="1"/>
  <c r="M1336" i="3"/>
  <c r="G1337" i="3"/>
  <c r="I1337" i="3"/>
  <c r="J1337" i="3" s="1"/>
  <c r="M1337" i="3"/>
  <c r="G1338" i="3"/>
  <c r="I1338" i="3"/>
  <c r="J1338" i="3" s="1"/>
  <c r="M1338" i="3"/>
  <c r="G1339" i="3"/>
  <c r="I1339" i="3"/>
  <c r="J1339" i="3" s="1"/>
  <c r="M1339" i="3"/>
  <c r="G1340" i="3"/>
  <c r="I1340" i="3"/>
  <c r="J1340" i="3" s="1"/>
  <c r="M1340" i="3"/>
  <c r="G1341" i="3"/>
  <c r="I1341" i="3"/>
  <c r="J1341" i="3" s="1"/>
  <c r="M1341" i="3"/>
  <c r="G1342" i="3"/>
  <c r="I1342" i="3"/>
  <c r="J1342" i="3" s="1"/>
  <c r="M1342" i="3"/>
  <c r="G1343" i="3"/>
  <c r="I1343" i="3"/>
  <c r="J1343" i="3" s="1"/>
  <c r="M1343" i="3"/>
  <c r="G1344" i="3"/>
  <c r="I1344" i="3"/>
  <c r="J1344" i="3" s="1"/>
  <c r="M1344" i="3"/>
  <c r="G1345" i="3"/>
  <c r="I1345" i="3"/>
  <c r="J1345" i="3" s="1"/>
  <c r="M1345" i="3"/>
  <c r="G1346" i="3"/>
  <c r="I1346" i="3"/>
  <c r="J1346" i="3" s="1"/>
  <c r="M1346" i="3"/>
  <c r="G1347" i="3"/>
  <c r="I1347" i="3"/>
  <c r="J1347" i="3" s="1"/>
  <c r="M1347" i="3"/>
  <c r="G1348" i="3"/>
  <c r="I1348" i="3"/>
  <c r="J1348" i="3" s="1"/>
  <c r="M1348" i="3"/>
  <c r="G1349" i="3"/>
  <c r="I1349" i="3"/>
  <c r="J1349" i="3" s="1"/>
  <c r="M1349" i="3"/>
  <c r="G1350" i="3"/>
  <c r="I1350" i="3"/>
  <c r="J1350" i="3" s="1"/>
  <c r="M1350" i="3"/>
  <c r="G1351" i="3"/>
  <c r="I1351" i="3"/>
  <c r="J1351" i="3" s="1"/>
  <c r="M1351" i="3"/>
  <c r="G1352" i="3"/>
  <c r="I1352" i="3"/>
  <c r="J1352" i="3" s="1"/>
  <c r="M1352" i="3"/>
  <c r="G1353" i="3"/>
  <c r="I1353" i="3"/>
  <c r="J1353" i="3" s="1"/>
  <c r="M1353" i="3"/>
  <c r="G1354" i="3"/>
  <c r="I1354" i="3"/>
  <c r="J1354" i="3"/>
  <c r="M1354" i="3"/>
  <c r="G1355" i="3"/>
  <c r="I1355" i="3"/>
  <c r="J1355" i="3" s="1"/>
  <c r="M1355" i="3"/>
  <c r="G1356" i="3"/>
  <c r="I1356" i="3"/>
  <c r="J1356" i="3" s="1"/>
  <c r="M1356" i="3"/>
  <c r="G1357" i="3"/>
  <c r="I1357" i="3"/>
  <c r="J1357" i="3" s="1"/>
  <c r="M1357" i="3"/>
  <c r="G1358" i="3"/>
  <c r="I1358" i="3"/>
  <c r="J1358" i="3" s="1"/>
  <c r="M1358" i="3"/>
  <c r="G1359" i="3"/>
  <c r="I1359" i="3"/>
  <c r="J1359" i="3" s="1"/>
  <c r="M1359" i="3"/>
  <c r="G1360" i="3"/>
  <c r="I1360" i="3"/>
  <c r="J1360" i="3" s="1"/>
  <c r="M1360" i="3"/>
  <c r="G1361" i="3"/>
  <c r="I1361" i="3"/>
  <c r="J1361" i="3" s="1"/>
  <c r="M1361" i="3"/>
  <c r="G1362" i="3"/>
  <c r="I1362" i="3"/>
  <c r="J1362" i="3" s="1"/>
  <c r="M1362" i="3"/>
  <c r="G1363" i="3"/>
  <c r="I1363" i="3"/>
  <c r="J1363" i="3" s="1"/>
  <c r="M1363" i="3"/>
  <c r="G1364" i="3"/>
  <c r="I1364" i="3"/>
  <c r="J1364" i="3" s="1"/>
  <c r="M1364" i="3"/>
  <c r="G1365" i="3"/>
  <c r="I1365" i="3"/>
  <c r="J1365" i="3" s="1"/>
  <c r="M1365" i="3"/>
  <c r="G1366" i="3"/>
  <c r="I1366" i="3"/>
  <c r="J1366" i="3" s="1"/>
  <c r="M1366" i="3"/>
  <c r="G1367" i="3"/>
  <c r="I1367" i="3"/>
  <c r="J1367" i="3" s="1"/>
  <c r="M1367" i="3"/>
  <c r="G1368" i="3"/>
  <c r="I1368" i="3"/>
  <c r="J1368" i="3" s="1"/>
  <c r="M1368" i="3"/>
  <c r="G1369" i="3"/>
  <c r="I1369" i="3"/>
  <c r="J1369" i="3" s="1"/>
  <c r="M1369" i="3"/>
  <c r="G1370" i="3"/>
  <c r="I1370" i="3"/>
  <c r="J1370" i="3" s="1"/>
  <c r="M1370" i="3"/>
  <c r="G1371" i="3"/>
  <c r="I1371" i="3"/>
  <c r="J1371" i="3" s="1"/>
  <c r="M1371" i="3"/>
  <c r="G1372" i="3"/>
  <c r="I1372" i="3"/>
  <c r="J1372" i="3" s="1"/>
  <c r="M1372" i="3"/>
  <c r="G1373" i="3"/>
  <c r="I1373" i="3"/>
  <c r="J1373" i="3" s="1"/>
  <c r="M1373" i="3"/>
  <c r="G1374" i="3"/>
  <c r="I1374" i="3"/>
  <c r="J1374" i="3" s="1"/>
  <c r="M1374" i="3"/>
  <c r="G1375" i="3"/>
  <c r="I1375" i="3"/>
  <c r="J1375" i="3" s="1"/>
  <c r="M1375" i="3"/>
  <c r="G1376" i="3"/>
  <c r="I1376" i="3"/>
  <c r="J1376" i="3" s="1"/>
  <c r="M1376" i="3"/>
  <c r="G1377" i="3"/>
  <c r="I1377" i="3"/>
  <c r="J1377" i="3" s="1"/>
  <c r="M1377" i="3"/>
  <c r="G1378" i="3"/>
  <c r="I1378" i="3"/>
  <c r="J1378" i="3" s="1"/>
  <c r="M1378" i="3"/>
  <c r="G1379" i="3"/>
  <c r="I1379" i="3"/>
  <c r="J1379" i="3" s="1"/>
  <c r="M1379" i="3"/>
  <c r="G1380" i="3"/>
  <c r="I1380" i="3"/>
  <c r="J1380" i="3" s="1"/>
  <c r="M1380" i="3"/>
  <c r="G1381" i="3"/>
  <c r="I1381" i="3"/>
  <c r="J1381" i="3" s="1"/>
  <c r="M1381" i="3"/>
  <c r="G1382" i="3"/>
  <c r="I1382" i="3"/>
  <c r="J1382" i="3" s="1"/>
  <c r="M1382" i="3"/>
  <c r="G1383" i="3"/>
  <c r="I1383" i="3"/>
  <c r="J1383" i="3" s="1"/>
  <c r="M1383" i="3"/>
  <c r="G1384" i="3"/>
  <c r="I1384" i="3"/>
  <c r="J1384" i="3"/>
  <c r="M1384" i="3"/>
  <c r="G1385" i="3"/>
  <c r="I1385" i="3"/>
  <c r="J1385" i="3" s="1"/>
  <c r="M1385" i="3"/>
  <c r="G1386" i="3"/>
  <c r="I1386" i="3"/>
  <c r="J1386" i="3" s="1"/>
  <c r="M1386" i="3"/>
  <c r="G1387" i="3"/>
  <c r="I1387" i="3"/>
  <c r="J1387" i="3" s="1"/>
  <c r="M1387" i="3"/>
  <c r="G1388" i="3"/>
  <c r="I1388" i="3"/>
  <c r="J1388" i="3" s="1"/>
  <c r="M1388" i="3"/>
  <c r="G1389" i="3"/>
  <c r="I1389" i="3"/>
  <c r="J1389" i="3" s="1"/>
  <c r="M1389" i="3"/>
  <c r="G1390" i="3"/>
  <c r="I1390" i="3"/>
  <c r="J1390" i="3" s="1"/>
  <c r="M1390" i="3"/>
  <c r="G1391" i="3"/>
  <c r="I1391" i="3"/>
  <c r="J1391" i="3" s="1"/>
  <c r="M1391" i="3"/>
  <c r="G1392" i="3"/>
  <c r="I1392" i="3"/>
  <c r="J1392" i="3" s="1"/>
  <c r="M1392" i="3"/>
  <c r="G1393" i="3"/>
  <c r="I1393" i="3"/>
  <c r="J1393" i="3" s="1"/>
  <c r="M1393" i="3"/>
  <c r="G1394" i="3"/>
  <c r="I1394" i="3"/>
  <c r="J1394" i="3" s="1"/>
  <c r="M1394" i="3"/>
  <c r="G1395" i="3"/>
  <c r="I1395" i="3"/>
  <c r="J1395" i="3" s="1"/>
  <c r="M1395" i="3"/>
  <c r="G1396" i="3"/>
  <c r="I1396" i="3"/>
  <c r="J1396" i="3" s="1"/>
  <c r="M1396" i="3"/>
  <c r="G1397" i="3"/>
  <c r="I1397" i="3"/>
  <c r="J1397" i="3" s="1"/>
  <c r="M1397" i="3"/>
  <c r="G1398" i="3"/>
  <c r="I1398" i="3"/>
  <c r="J1398" i="3" s="1"/>
  <c r="M1398" i="3"/>
  <c r="G1399" i="3"/>
  <c r="I1399" i="3"/>
  <c r="J1399" i="3" s="1"/>
  <c r="M1399" i="3"/>
  <c r="G1400" i="3"/>
  <c r="I1400" i="3"/>
  <c r="J1400" i="3" s="1"/>
  <c r="M1400" i="3"/>
  <c r="G1401" i="3"/>
  <c r="I1401" i="3"/>
  <c r="J1401" i="3" s="1"/>
  <c r="M1401" i="3"/>
  <c r="G1402" i="3"/>
  <c r="I1402" i="3"/>
  <c r="J1402" i="3" s="1"/>
  <c r="M1402" i="3"/>
  <c r="G1403" i="3"/>
  <c r="I1403" i="3"/>
  <c r="J1403" i="3" s="1"/>
  <c r="M1403" i="3"/>
  <c r="G1404" i="3"/>
  <c r="I1404" i="3"/>
  <c r="J1404" i="3" s="1"/>
  <c r="M1404" i="3"/>
  <c r="G1405" i="3"/>
  <c r="I1405" i="3"/>
  <c r="J1405" i="3" s="1"/>
  <c r="M1405" i="3"/>
  <c r="G1406" i="3"/>
  <c r="I1406" i="3"/>
  <c r="J1406" i="3" s="1"/>
  <c r="M1406" i="3"/>
  <c r="G1407" i="3"/>
  <c r="I1407" i="3"/>
  <c r="J1407" i="3" s="1"/>
  <c r="M1407" i="3"/>
  <c r="G1408" i="3"/>
  <c r="I1408" i="3"/>
  <c r="J1408" i="3"/>
  <c r="M1408" i="3"/>
  <c r="G1409" i="3"/>
  <c r="I1409" i="3"/>
  <c r="J1409" i="3" s="1"/>
  <c r="M1409" i="3"/>
  <c r="G1410" i="3"/>
  <c r="I1410" i="3"/>
  <c r="J1410" i="3" s="1"/>
  <c r="M1410" i="3"/>
  <c r="G1411" i="3"/>
  <c r="I1411" i="3"/>
  <c r="J1411" i="3" s="1"/>
  <c r="M1411" i="3"/>
  <c r="G1412" i="3"/>
  <c r="I1412" i="3"/>
  <c r="J1412" i="3" s="1"/>
  <c r="M1412" i="3"/>
  <c r="G1413" i="3"/>
  <c r="I1413" i="3"/>
  <c r="J1413" i="3" s="1"/>
  <c r="M1413" i="3"/>
  <c r="G1414" i="3"/>
  <c r="I1414" i="3"/>
  <c r="J1414" i="3" s="1"/>
  <c r="M1414" i="3"/>
  <c r="G1415" i="3"/>
  <c r="I1415" i="3"/>
  <c r="J1415" i="3" s="1"/>
  <c r="M1415" i="3"/>
  <c r="G1416" i="3"/>
  <c r="I1416" i="3"/>
  <c r="J1416" i="3" s="1"/>
  <c r="M1416" i="3"/>
  <c r="G1417" i="3"/>
  <c r="I1417" i="3"/>
  <c r="J1417" i="3" s="1"/>
  <c r="M1417" i="3"/>
  <c r="G1418" i="3"/>
  <c r="I1418" i="3"/>
  <c r="J1418" i="3" s="1"/>
  <c r="M1418" i="3"/>
  <c r="G1419" i="3"/>
  <c r="I1419" i="3"/>
  <c r="J1419" i="3" s="1"/>
  <c r="M1419" i="3"/>
  <c r="G1420" i="3"/>
  <c r="I1420" i="3"/>
  <c r="J1420" i="3" s="1"/>
  <c r="M1420" i="3"/>
  <c r="G1421" i="3"/>
  <c r="I1421" i="3"/>
  <c r="J1421" i="3" s="1"/>
  <c r="M1421" i="3"/>
  <c r="G1422" i="3"/>
  <c r="I1422" i="3"/>
  <c r="J1422" i="3" s="1"/>
  <c r="M1422" i="3"/>
  <c r="G1423" i="3"/>
  <c r="I1423" i="3"/>
  <c r="J1423" i="3" s="1"/>
  <c r="M1423" i="3"/>
  <c r="G1424" i="3"/>
  <c r="I1424" i="3"/>
  <c r="J1424" i="3" s="1"/>
  <c r="M1424" i="3"/>
  <c r="G1425" i="3"/>
  <c r="I1425" i="3"/>
  <c r="J1425" i="3" s="1"/>
  <c r="M1425" i="3"/>
  <c r="G1426" i="3"/>
  <c r="I1426" i="3"/>
  <c r="J1426" i="3" s="1"/>
  <c r="M1426" i="3"/>
  <c r="G1427" i="3"/>
  <c r="I1427" i="3"/>
  <c r="J1427" i="3" s="1"/>
  <c r="M1427" i="3"/>
  <c r="G1428" i="3"/>
  <c r="I1428" i="3"/>
  <c r="J1428" i="3" s="1"/>
  <c r="M1428" i="3"/>
  <c r="G1429" i="3"/>
  <c r="I1429" i="3"/>
  <c r="J1429" i="3" s="1"/>
  <c r="M1429" i="3"/>
  <c r="G1430" i="3"/>
  <c r="I1430" i="3"/>
  <c r="J1430" i="3" s="1"/>
  <c r="M1430" i="3"/>
  <c r="G1431" i="3"/>
  <c r="I1431" i="3"/>
  <c r="J1431" i="3" s="1"/>
  <c r="M1431" i="3"/>
  <c r="G1432" i="3"/>
  <c r="I1432" i="3"/>
  <c r="J1432" i="3" s="1"/>
  <c r="M1432" i="3"/>
  <c r="G1433" i="3"/>
  <c r="I1433" i="3"/>
  <c r="J1433" i="3" s="1"/>
  <c r="M1433" i="3"/>
  <c r="G1434" i="3"/>
  <c r="I1434" i="3"/>
  <c r="J1434" i="3" s="1"/>
  <c r="M1434" i="3"/>
  <c r="G1435" i="3"/>
  <c r="I1435" i="3"/>
  <c r="J1435" i="3" s="1"/>
  <c r="M1435" i="3"/>
  <c r="G1436" i="3"/>
  <c r="I1436" i="3"/>
  <c r="J1436" i="3" s="1"/>
  <c r="M1436" i="3"/>
  <c r="G1437" i="3"/>
  <c r="I1437" i="3"/>
  <c r="J1437" i="3" s="1"/>
  <c r="M1437" i="3"/>
  <c r="G1438" i="3"/>
  <c r="I1438" i="3"/>
  <c r="J1438" i="3" s="1"/>
  <c r="M1438" i="3"/>
  <c r="G1439" i="3"/>
  <c r="I1439" i="3"/>
  <c r="J1439" i="3" s="1"/>
  <c r="M1439" i="3"/>
  <c r="G1440" i="3"/>
  <c r="I1440" i="3"/>
  <c r="J1440" i="3"/>
  <c r="M1440" i="3"/>
  <c r="G1441" i="3"/>
  <c r="I1441" i="3"/>
  <c r="J1441" i="3" s="1"/>
  <c r="M1441" i="3"/>
  <c r="G1442" i="3"/>
  <c r="I1442" i="3"/>
  <c r="J1442" i="3" s="1"/>
  <c r="M1442" i="3"/>
  <c r="G1443" i="3"/>
  <c r="I1443" i="3"/>
  <c r="J1443" i="3" s="1"/>
  <c r="M1443" i="3"/>
  <c r="G1444" i="3"/>
  <c r="I1444" i="3"/>
  <c r="J1444" i="3" s="1"/>
  <c r="M1444" i="3"/>
  <c r="G1445" i="3"/>
  <c r="I1445" i="3"/>
  <c r="J1445" i="3" s="1"/>
  <c r="M1445" i="3"/>
  <c r="G1446" i="3"/>
  <c r="I1446" i="3"/>
  <c r="J1446" i="3" s="1"/>
  <c r="M1446" i="3"/>
  <c r="G1447" i="3"/>
  <c r="I1447" i="3"/>
  <c r="J1447" i="3" s="1"/>
  <c r="M1447" i="3"/>
  <c r="G1448" i="3"/>
  <c r="I1448" i="3"/>
  <c r="J1448" i="3" s="1"/>
  <c r="M1448" i="3"/>
  <c r="G1449" i="3"/>
  <c r="I1449" i="3"/>
  <c r="J1449" i="3" s="1"/>
  <c r="M1449" i="3"/>
  <c r="G1450" i="3"/>
  <c r="I1450" i="3"/>
  <c r="J1450" i="3" s="1"/>
  <c r="M1450" i="3"/>
  <c r="G1451" i="3"/>
  <c r="I1451" i="3"/>
  <c r="J1451" i="3" s="1"/>
  <c r="M1451" i="3"/>
  <c r="G1452" i="3"/>
  <c r="I1452" i="3"/>
  <c r="J1452" i="3" s="1"/>
  <c r="M1452" i="3"/>
  <c r="G1453" i="3"/>
  <c r="I1453" i="3"/>
  <c r="J1453" i="3" s="1"/>
  <c r="M1453" i="3"/>
  <c r="G1454" i="3"/>
  <c r="I1454" i="3"/>
  <c r="J1454" i="3" s="1"/>
  <c r="M1454" i="3"/>
  <c r="G1455" i="3"/>
  <c r="I1455" i="3"/>
  <c r="J1455" i="3" s="1"/>
  <c r="M1455" i="3"/>
  <c r="G1456" i="3"/>
  <c r="I1456" i="3"/>
  <c r="J1456" i="3" s="1"/>
  <c r="M1456" i="3"/>
  <c r="G1457" i="3"/>
  <c r="I1457" i="3"/>
  <c r="J1457" i="3" s="1"/>
  <c r="M1457" i="3"/>
  <c r="G1458" i="3"/>
  <c r="I1458" i="3"/>
  <c r="J1458" i="3" s="1"/>
  <c r="M1458" i="3"/>
  <c r="G1459" i="3"/>
  <c r="I1459" i="3"/>
  <c r="J1459" i="3" s="1"/>
  <c r="M1459" i="3"/>
  <c r="G1460" i="3"/>
  <c r="I1460" i="3"/>
  <c r="J1460" i="3" s="1"/>
  <c r="M1460" i="3"/>
  <c r="G1461" i="3"/>
  <c r="I1461" i="3"/>
  <c r="J1461" i="3" s="1"/>
  <c r="M1461" i="3"/>
  <c r="G1462" i="3"/>
  <c r="I1462" i="3"/>
  <c r="J1462" i="3" s="1"/>
  <c r="M1462" i="3"/>
  <c r="G1463" i="3"/>
  <c r="I1463" i="3"/>
  <c r="J1463" i="3" s="1"/>
  <c r="M1463" i="3"/>
  <c r="G1464" i="3"/>
  <c r="I1464" i="3"/>
  <c r="J1464" i="3" s="1"/>
  <c r="M1464" i="3"/>
  <c r="G1465" i="3"/>
  <c r="I1465" i="3"/>
  <c r="J1465" i="3" s="1"/>
  <c r="M1465" i="3"/>
  <c r="G1466" i="3"/>
  <c r="I1466" i="3"/>
  <c r="J1466" i="3" s="1"/>
  <c r="M1466" i="3"/>
  <c r="G1467" i="3"/>
  <c r="I1467" i="3"/>
  <c r="J1467" i="3" s="1"/>
  <c r="M1467" i="3"/>
  <c r="G1468" i="3"/>
  <c r="I1468" i="3"/>
  <c r="J1468" i="3" s="1"/>
  <c r="M1468" i="3"/>
  <c r="G1469" i="3"/>
  <c r="I1469" i="3"/>
  <c r="J1469" i="3" s="1"/>
  <c r="M1469" i="3"/>
  <c r="G1470" i="3"/>
  <c r="I1470" i="3"/>
  <c r="J1470" i="3" s="1"/>
  <c r="M1470" i="3"/>
  <c r="G1471" i="3"/>
  <c r="I1471" i="3"/>
  <c r="J1471" i="3" s="1"/>
  <c r="M1471" i="3"/>
  <c r="G1472" i="3"/>
  <c r="I1472" i="3"/>
  <c r="J1472" i="3" s="1"/>
  <c r="M1472" i="3"/>
  <c r="G1473" i="3"/>
  <c r="I1473" i="3"/>
  <c r="J1473" i="3" s="1"/>
  <c r="M1473" i="3"/>
  <c r="G1474" i="3"/>
  <c r="I1474" i="3"/>
  <c r="J1474" i="3" s="1"/>
  <c r="M1474" i="3"/>
  <c r="G1475" i="3"/>
  <c r="I1475" i="3"/>
  <c r="J1475" i="3" s="1"/>
  <c r="M1475" i="3"/>
  <c r="G1476" i="3"/>
  <c r="I1476" i="3"/>
  <c r="J1476" i="3" s="1"/>
  <c r="M1476" i="3"/>
  <c r="G1477" i="3"/>
  <c r="I1477" i="3"/>
  <c r="J1477" i="3" s="1"/>
  <c r="M1477" i="3"/>
  <c r="G1478" i="3"/>
  <c r="I1478" i="3"/>
  <c r="J1478" i="3" s="1"/>
  <c r="M1478" i="3"/>
  <c r="G1479" i="3"/>
  <c r="I1479" i="3"/>
  <c r="J1479" i="3" s="1"/>
  <c r="M1479" i="3"/>
  <c r="G1480" i="3"/>
  <c r="I1480" i="3"/>
  <c r="J1480" i="3" s="1"/>
  <c r="M1480" i="3"/>
  <c r="G1481" i="3"/>
  <c r="I1481" i="3"/>
  <c r="J1481" i="3" s="1"/>
  <c r="M1481" i="3"/>
  <c r="G1482" i="3"/>
  <c r="I1482" i="3"/>
  <c r="J1482" i="3" s="1"/>
  <c r="M1482" i="3"/>
  <c r="G1483" i="3"/>
  <c r="I1483" i="3"/>
  <c r="J1483" i="3" s="1"/>
  <c r="M1483" i="3"/>
  <c r="G1484" i="3"/>
  <c r="I1484" i="3"/>
  <c r="J1484" i="3" s="1"/>
  <c r="M1484" i="3"/>
  <c r="G1485" i="3"/>
  <c r="I1485" i="3"/>
  <c r="J1485" i="3" s="1"/>
  <c r="M1485" i="3"/>
  <c r="G1486" i="3"/>
  <c r="I1486" i="3"/>
  <c r="J1486" i="3" s="1"/>
  <c r="M1486" i="3"/>
  <c r="G1487" i="3"/>
  <c r="I1487" i="3"/>
  <c r="J1487" i="3" s="1"/>
  <c r="M1487" i="3"/>
  <c r="G1488" i="3"/>
  <c r="I1488" i="3"/>
  <c r="J1488" i="3"/>
  <c r="M1488" i="3"/>
  <c r="G1489" i="3"/>
  <c r="I1489" i="3"/>
  <c r="J1489" i="3" s="1"/>
  <c r="M1489" i="3"/>
  <c r="G1490" i="3"/>
  <c r="I1490" i="3"/>
  <c r="J1490" i="3" s="1"/>
  <c r="M1490" i="3"/>
  <c r="G1491" i="3"/>
  <c r="I1491" i="3"/>
  <c r="J1491" i="3" s="1"/>
  <c r="M1491" i="3"/>
  <c r="G1492" i="3"/>
  <c r="I1492" i="3"/>
  <c r="J1492" i="3" s="1"/>
  <c r="M1492" i="3"/>
  <c r="G1493" i="3"/>
  <c r="I1493" i="3"/>
  <c r="J1493" i="3" s="1"/>
  <c r="M1493" i="3"/>
  <c r="G1494" i="3"/>
  <c r="I1494" i="3"/>
  <c r="J1494" i="3" s="1"/>
  <c r="M1494" i="3"/>
  <c r="G1495" i="3"/>
  <c r="I1495" i="3"/>
  <c r="J1495" i="3" s="1"/>
  <c r="M1495" i="3"/>
  <c r="G1496" i="3"/>
  <c r="I1496" i="3"/>
  <c r="J1496" i="3" s="1"/>
  <c r="M1496" i="3"/>
  <c r="G1497" i="3"/>
  <c r="I1497" i="3"/>
  <c r="J1497" i="3" s="1"/>
  <c r="M1497" i="3"/>
  <c r="G1498" i="3"/>
  <c r="I1498" i="3"/>
  <c r="J1498" i="3" s="1"/>
  <c r="M1498" i="3"/>
  <c r="G1499" i="3"/>
  <c r="I1499" i="3"/>
  <c r="J1499" i="3" s="1"/>
  <c r="M1499" i="3"/>
  <c r="G1500" i="3"/>
  <c r="I1500" i="3"/>
  <c r="J1500" i="3" s="1"/>
  <c r="M1500" i="3"/>
  <c r="G1501" i="3"/>
  <c r="I1501" i="3"/>
  <c r="J1501" i="3" s="1"/>
  <c r="M1501" i="3"/>
  <c r="G1502" i="3"/>
  <c r="I1502" i="3"/>
  <c r="J1502" i="3" s="1"/>
  <c r="M1502" i="3"/>
  <c r="G1503" i="3"/>
  <c r="I1503" i="3"/>
  <c r="J1503" i="3" s="1"/>
  <c r="M1503" i="3"/>
  <c r="G1504" i="3"/>
  <c r="I1504" i="3"/>
  <c r="J1504" i="3" s="1"/>
  <c r="M1504" i="3"/>
  <c r="G1505" i="3"/>
  <c r="I1505" i="3"/>
  <c r="J1505" i="3" s="1"/>
  <c r="M1505" i="3"/>
  <c r="G1506" i="3"/>
  <c r="I1506" i="3"/>
  <c r="J1506" i="3" s="1"/>
  <c r="M1506" i="3"/>
  <c r="G1507" i="3"/>
  <c r="I1507" i="3"/>
  <c r="J1507" i="3" s="1"/>
  <c r="M1507" i="3"/>
  <c r="G1508" i="3"/>
  <c r="I1508" i="3"/>
  <c r="J1508" i="3" s="1"/>
  <c r="M1508" i="3"/>
  <c r="G1509" i="3"/>
  <c r="I1509" i="3"/>
  <c r="J1509" i="3" s="1"/>
  <c r="M1509" i="3"/>
  <c r="G1510" i="3"/>
  <c r="I1510" i="3"/>
  <c r="J1510" i="3" s="1"/>
  <c r="M1510" i="3"/>
  <c r="G1511" i="3"/>
  <c r="I1511" i="3"/>
  <c r="J1511" i="3" s="1"/>
  <c r="M1511" i="3"/>
  <c r="G1512" i="3"/>
  <c r="I1512" i="3"/>
  <c r="J1512" i="3" s="1"/>
  <c r="M1512" i="3"/>
  <c r="G1513" i="3"/>
  <c r="I1513" i="3"/>
  <c r="J1513" i="3" s="1"/>
  <c r="M1513" i="3"/>
  <c r="G1514" i="3"/>
  <c r="I1514" i="3"/>
  <c r="J1514" i="3" s="1"/>
  <c r="M1514" i="3"/>
  <c r="G1515" i="3"/>
  <c r="I1515" i="3"/>
  <c r="J1515" i="3" s="1"/>
  <c r="M1515" i="3"/>
  <c r="G1516" i="3"/>
  <c r="I1516" i="3"/>
  <c r="J1516" i="3" s="1"/>
  <c r="M1516" i="3"/>
  <c r="G1517" i="3"/>
  <c r="I1517" i="3"/>
  <c r="J1517" i="3" s="1"/>
  <c r="M1517" i="3"/>
  <c r="G1518" i="3"/>
  <c r="I1518" i="3"/>
  <c r="J1518" i="3" s="1"/>
  <c r="M1518" i="3"/>
  <c r="G1519" i="3"/>
  <c r="I1519" i="3"/>
  <c r="J1519" i="3" s="1"/>
  <c r="M1519" i="3"/>
  <c r="G1520" i="3"/>
  <c r="I1520" i="3"/>
  <c r="J1520" i="3" s="1"/>
  <c r="M1520" i="3"/>
  <c r="G1521" i="3"/>
  <c r="I1521" i="3"/>
  <c r="J1521" i="3" s="1"/>
  <c r="M1521" i="3"/>
  <c r="G1522" i="3"/>
  <c r="I1522" i="3"/>
  <c r="J1522" i="3" s="1"/>
  <c r="M1522" i="3"/>
  <c r="G1523" i="3"/>
  <c r="I1523" i="3"/>
  <c r="J1523" i="3" s="1"/>
  <c r="M1523" i="3"/>
  <c r="G1524" i="3"/>
  <c r="I1524" i="3"/>
  <c r="J1524" i="3" s="1"/>
  <c r="M1524" i="3"/>
  <c r="G1525" i="3"/>
  <c r="I1525" i="3"/>
  <c r="J1525" i="3" s="1"/>
  <c r="M1525" i="3"/>
  <c r="G1526" i="3"/>
  <c r="I1526" i="3"/>
  <c r="J1526" i="3" s="1"/>
  <c r="M1526" i="3"/>
  <c r="G1527" i="3"/>
  <c r="I1527" i="3"/>
  <c r="J1527" i="3" s="1"/>
  <c r="M1527" i="3"/>
  <c r="G1528" i="3"/>
  <c r="I1528" i="3"/>
  <c r="J1528" i="3" s="1"/>
  <c r="M1528" i="3"/>
  <c r="G1529" i="3"/>
  <c r="I1529" i="3"/>
  <c r="J1529" i="3" s="1"/>
  <c r="M1529" i="3"/>
  <c r="G1530" i="3"/>
  <c r="I1530" i="3"/>
  <c r="J1530" i="3" s="1"/>
  <c r="M1530" i="3"/>
  <c r="G1531" i="3"/>
  <c r="I1531" i="3"/>
  <c r="J1531" i="3" s="1"/>
  <c r="M1531" i="3"/>
  <c r="G1532" i="3"/>
  <c r="I1532" i="3"/>
  <c r="J1532" i="3" s="1"/>
  <c r="M1532" i="3"/>
  <c r="G1533" i="3"/>
  <c r="I1533" i="3"/>
  <c r="J1533" i="3" s="1"/>
  <c r="M1533" i="3"/>
  <c r="G1534" i="3"/>
  <c r="I1534" i="3"/>
  <c r="J1534" i="3" s="1"/>
  <c r="M1534" i="3"/>
  <c r="G1535" i="3"/>
  <c r="I1535" i="3"/>
  <c r="J1535" i="3" s="1"/>
  <c r="M1535" i="3"/>
  <c r="G1536" i="3"/>
  <c r="I1536" i="3"/>
  <c r="J1536" i="3" s="1"/>
  <c r="M1536" i="3"/>
  <c r="G1537" i="3"/>
  <c r="I1537" i="3"/>
  <c r="J1537" i="3" s="1"/>
  <c r="M1537" i="3"/>
  <c r="G1538" i="3"/>
  <c r="I1538" i="3"/>
  <c r="J1538" i="3" s="1"/>
  <c r="M1538" i="3"/>
  <c r="G1539" i="3"/>
  <c r="I1539" i="3"/>
  <c r="J1539" i="3" s="1"/>
  <c r="M1539" i="3"/>
  <c r="G1540" i="3"/>
  <c r="I1540" i="3"/>
  <c r="J1540" i="3" s="1"/>
  <c r="M1540" i="3"/>
  <c r="G1541" i="3"/>
  <c r="I1541" i="3"/>
  <c r="J1541" i="3" s="1"/>
  <c r="M1541" i="3"/>
  <c r="G1542" i="3"/>
  <c r="I1542" i="3"/>
  <c r="J1542" i="3" s="1"/>
  <c r="M1542" i="3"/>
  <c r="G1543" i="3"/>
  <c r="I1543" i="3"/>
  <c r="J1543" i="3" s="1"/>
  <c r="M1543" i="3"/>
  <c r="G1544" i="3"/>
  <c r="I1544" i="3"/>
  <c r="J1544" i="3" s="1"/>
  <c r="M1544" i="3"/>
  <c r="G1545" i="3"/>
  <c r="I1545" i="3"/>
  <c r="J1545" i="3" s="1"/>
  <c r="M1545" i="3"/>
  <c r="G1546" i="3"/>
  <c r="I1546" i="3"/>
  <c r="J1546" i="3" s="1"/>
  <c r="M1546" i="3"/>
  <c r="G1547" i="3"/>
  <c r="I1547" i="3"/>
  <c r="J1547" i="3" s="1"/>
  <c r="M1547" i="3"/>
  <c r="G1548" i="3"/>
  <c r="I1548" i="3"/>
  <c r="J1548" i="3" s="1"/>
  <c r="M1548" i="3"/>
  <c r="G1549" i="3"/>
  <c r="I1549" i="3"/>
  <c r="J1549" i="3" s="1"/>
  <c r="M1549" i="3"/>
  <c r="G1550" i="3"/>
  <c r="I1550" i="3"/>
  <c r="J1550" i="3" s="1"/>
  <c r="M1550" i="3"/>
  <c r="G1551" i="3"/>
  <c r="I1551" i="3"/>
  <c r="J1551" i="3" s="1"/>
  <c r="M1551" i="3"/>
  <c r="G1552" i="3"/>
  <c r="I1552" i="3"/>
  <c r="J1552" i="3" s="1"/>
  <c r="M1552" i="3"/>
  <c r="G1553" i="3"/>
  <c r="I1553" i="3"/>
  <c r="J1553" i="3" s="1"/>
  <c r="M1553" i="3"/>
  <c r="G1554" i="3"/>
  <c r="I1554" i="3"/>
  <c r="J1554" i="3" s="1"/>
  <c r="M1554" i="3"/>
  <c r="G1555" i="3"/>
  <c r="I1555" i="3"/>
  <c r="J1555" i="3" s="1"/>
  <c r="M1555" i="3"/>
  <c r="G1556" i="3"/>
  <c r="I1556" i="3"/>
  <c r="J1556" i="3" s="1"/>
  <c r="M1556" i="3"/>
  <c r="G1557" i="3"/>
  <c r="I1557" i="3"/>
  <c r="J1557" i="3" s="1"/>
  <c r="M1557" i="3"/>
  <c r="G1558" i="3"/>
  <c r="I1558" i="3"/>
  <c r="J1558" i="3" s="1"/>
  <c r="M1558" i="3"/>
  <c r="G1559" i="3"/>
  <c r="I1559" i="3"/>
  <c r="J1559" i="3" s="1"/>
  <c r="M1559" i="3"/>
  <c r="G1560" i="3"/>
  <c r="I1560" i="3"/>
  <c r="J1560" i="3" s="1"/>
  <c r="M1560" i="3"/>
  <c r="G1561" i="3"/>
  <c r="I1561" i="3"/>
  <c r="J1561" i="3" s="1"/>
  <c r="M1561" i="3"/>
  <c r="G1562" i="3"/>
  <c r="I1562" i="3"/>
  <c r="J1562" i="3" s="1"/>
  <c r="M1562" i="3"/>
  <c r="G1563" i="3"/>
  <c r="I1563" i="3"/>
  <c r="J1563" i="3" s="1"/>
  <c r="M1563" i="3"/>
  <c r="G1564" i="3"/>
  <c r="I1564" i="3"/>
  <c r="J1564" i="3" s="1"/>
  <c r="M1564" i="3"/>
  <c r="G1565" i="3"/>
  <c r="I1565" i="3"/>
  <c r="J1565" i="3" s="1"/>
  <c r="M1565" i="3"/>
  <c r="G1566" i="3"/>
  <c r="I1566" i="3"/>
  <c r="J1566" i="3" s="1"/>
  <c r="M1566" i="3"/>
  <c r="G1567" i="3"/>
  <c r="I1567" i="3"/>
  <c r="J1567" i="3" s="1"/>
  <c r="M1567" i="3"/>
  <c r="G1568" i="3"/>
  <c r="I1568" i="3"/>
  <c r="J1568" i="3" s="1"/>
  <c r="M1568" i="3"/>
  <c r="G1569" i="3"/>
  <c r="I1569" i="3"/>
  <c r="J1569" i="3" s="1"/>
  <c r="M1569" i="3"/>
  <c r="G1570" i="3"/>
  <c r="I1570" i="3"/>
  <c r="J1570" i="3" s="1"/>
  <c r="M1570" i="3"/>
  <c r="G1571" i="3"/>
  <c r="I1571" i="3"/>
  <c r="J1571" i="3" s="1"/>
  <c r="M1571" i="3"/>
  <c r="G1572" i="3"/>
  <c r="I1572" i="3"/>
  <c r="J1572" i="3" s="1"/>
  <c r="M1572" i="3"/>
  <c r="G1573" i="3"/>
  <c r="I1573" i="3"/>
  <c r="J1573" i="3" s="1"/>
  <c r="M1573" i="3"/>
  <c r="G1574" i="3"/>
  <c r="I1574" i="3"/>
  <c r="J1574" i="3" s="1"/>
  <c r="M1574" i="3"/>
  <c r="G1575" i="3"/>
  <c r="I1575" i="3"/>
  <c r="J1575" i="3" s="1"/>
  <c r="M1575" i="3"/>
  <c r="G1576" i="3"/>
  <c r="I1576" i="3"/>
  <c r="J1576" i="3" s="1"/>
  <c r="M1576" i="3"/>
  <c r="G1577" i="3"/>
  <c r="I1577" i="3"/>
  <c r="J1577" i="3" s="1"/>
  <c r="M1577" i="3"/>
  <c r="G1578" i="3"/>
  <c r="I1578" i="3"/>
  <c r="J1578" i="3" s="1"/>
  <c r="M1578" i="3"/>
  <c r="G1579" i="3"/>
  <c r="I1579" i="3"/>
  <c r="J1579" i="3" s="1"/>
  <c r="M1579" i="3"/>
  <c r="G1580" i="3"/>
  <c r="I1580" i="3"/>
  <c r="J1580" i="3" s="1"/>
  <c r="M1580" i="3"/>
  <c r="G1581" i="3"/>
  <c r="I1581" i="3"/>
  <c r="J1581" i="3" s="1"/>
  <c r="M1581" i="3"/>
  <c r="G1582" i="3"/>
  <c r="I1582" i="3"/>
  <c r="J1582" i="3" s="1"/>
  <c r="M1582" i="3"/>
  <c r="G1583" i="3"/>
  <c r="I1583" i="3"/>
  <c r="J1583" i="3" s="1"/>
  <c r="M1583" i="3"/>
  <c r="G1584" i="3"/>
  <c r="I1584" i="3"/>
  <c r="J1584" i="3" s="1"/>
  <c r="M1584" i="3"/>
  <c r="G1585" i="3"/>
  <c r="I1585" i="3"/>
  <c r="J1585" i="3" s="1"/>
  <c r="M1585" i="3"/>
  <c r="G1586" i="3"/>
  <c r="I1586" i="3"/>
  <c r="J1586" i="3" s="1"/>
  <c r="M1586" i="3"/>
  <c r="G1587" i="3"/>
  <c r="I1587" i="3"/>
  <c r="J1587" i="3" s="1"/>
  <c r="M1587" i="3"/>
  <c r="G1588" i="3"/>
  <c r="I1588" i="3"/>
  <c r="J1588" i="3" s="1"/>
  <c r="M1588" i="3"/>
  <c r="G1589" i="3"/>
  <c r="I1589" i="3"/>
  <c r="J1589" i="3" s="1"/>
  <c r="M1589" i="3"/>
  <c r="G1590" i="3"/>
  <c r="I1590" i="3"/>
  <c r="J1590" i="3" s="1"/>
  <c r="M1590" i="3"/>
  <c r="G1591" i="3"/>
  <c r="I1591" i="3"/>
  <c r="J1591" i="3" s="1"/>
  <c r="M1591" i="3"/>
  <c r="G1592" i="3"/>
  <c r="I1592" i="3"/>
  <c r="J1592" i="3" s="1"/>
  <c r="M1592" i="3"/>
  <c r="G1593" i="3"/>
  <c r="I1593" i="3"/>
  <c r="J1593" i="3" s="1"/>
  <c r="M1593" i="3"/>
  <c r="G1594" i="3"/>
  <c r="I1594" i="3"/>
  <c r="J1594" i="3" s="1"/>
  <c r="M1594" i="3"/>
  <c r="G1595" i="3"/>
  <c r="I1595" i="3"/>
  <c r="J1595" i="3" s="1"/>
  <c r="M1595" i="3"/>
  <c r="G1596" i="3"/>
  <c r="I1596" i="3"/>
  <c r="J1596" i="3" s="1"/>
  <c r="M1596" i="3"/>
  <c r="G1597" i="3"/>
  <c r="I1597" i="3"/>
  <c r="J1597" i="3" s="1"/>
  <c r="M1597" i="3"/>
  <c r="G1598" i="3"/>
  <c r="I1598" i="3"/>
  <c r="J1598" i="3" s="1"/>
  <c r="M1598" i="3"/>
  <c r="G1599" i="3"/>
  <c r="I1599" i="3"/>
  <c r="J1599" i="3" s="1"/>
  <c r="M1599" i="3"/>
  <c r="G1600" i="3"/>
  <c r="I1600" i="3"/>
  <c r="J1600" i="3" s="1"/>
  <c r="M1600" i="3"/>
  <c r="G1601" i="3"/>
  <c r="I1601" i="3"/>
  <c r="J1601" i="3" s="1"/>
  <c r="M1601" i="3"/>
  <c r="G1602" i="3"/>
  <c r="I1602" i="3"/>
  <c r="J1602" i="3" s="1"/>
  <c r="M1602" i="3"/>
  <c r="G1603" i="3"/>
  <c r="I1603" i="3"/>
  <c r="J1603" i="3" s="1"/>
  <c r="M1603" i="3"/>
  <c r="G1604" i="3"/>
  <c r="I1604" i="3"/>
  <c r="J1604" i="3" s="1"/>
  <c r="M1604" i="3"/>
  <c r="G1605" i="3"/>
  <c r="I1605" i="3"/>
  <c r="J1605" i="3" s="1"/>
  <c r="M1605" i="3"/>
  <c r="G1606" i="3"/>
  <c r="I1606" i="3"/>
  <c r="J1606" i="3" s="1"/>
  <c r="M1606" i="3"/>
  <c r="G1607" i="3"/>
  <c r="I1607" i="3"/>
  <c r="J1607" i="3" s="1"/>
  <c r="M1607" i="3"/>
  <c r="G1608" i="3"/>
  <c r="I1608" i="3"/>
  <c r="J1608" i="3" s="1"/>
  <c r="M1608" i="3"/>
  <c r="G1609" i="3"/>
  <c r="I1609" i="3"/>
  <c r="J1609" i="3" s="1"/>
  <c r="M1609" i="3"/>
  <c r="G1610" i="3"/>
  <c r="I1610" i="3"/>
  <c r="J1610" i="3" s="1"/>
  <c r="M1610" i="3"/>
  <c r="G1611" i="3"/>
  <c r="I1611" i="3"/>
  <c r="J1611" i="3" s="1"/>
  <c r="M1611" i="3"/>
  <c r="G1612" i="3"/>
  <c r="I1612" i="3"/>
  <c r="J1612" i="3" s="1"/>
  <c r="M1612" i="3"/>
  <c r="G1613" i="3"/>
  <c r="I1613" i="3"/>
  <c r="J1613" i="3" s="1"/>
  <c r="M1613" i="3"/>
  <c r="G1614" i="3"/>
  <c r="I1614" i="3"/>
  <c r="J1614" i="3" s="1"/>
  <c r="M1614" i="3"/>
  <c r="G1615" i="3"/>
  <c r="I1615" i="3"/>
  <c r="J1615" i="3" s="1"/>
  <c r="M1615" i="3"/>
  <c r="G1616" i="3"/>
  <c r="I1616" i="3"/>
  <c r="J1616" i="3" s="1"/>
  <c r="M1616" i="3"/>
  <c r="G1617" i="3"/>
  <c r="I1617" i="3"/>
  <c r="J1617" i="3" s="1"/>
  <c r="M1617" i="3"/>
  <c r="G1618" i="3"/>
  <c r="I1618" i="3"/>
  <c r="J1618" i="3" s="1"/>
  <c r="M1618" i="3"/>
  <c r="G1619" i="3"/>
  <c r="I1619" i="3"/>
  <c r="J1619" i="3" s="1"/>
  <c r="M1619" i="3"/>
  <c r="G1620" i="3"/>
  <c r="I1620" i="3"/>
  <c r="J1620" i="3" s="1"/>
  <c r="M1620" i="3"/>
  <c r="G1621" i="3"/>
  <c r="I1621" i="3"/>
  <c r="J1621" i="3" s="1"/>
  <c r="M1621" i="3"/>
  <c r="G1622" i="3"/>
  <c r="I1622" i="3"/>
  <c r="J1622" i="3" s="1"/>
  <c r="M1622" i="3"/>
  <c r="G1623" i="3"/>
  <c r="I1623" i="3"/>
  <c r="J1623" i="3" s="1"/>
  <c r="M1623" i="3"/>
  <c r="G1624" i="3"/>
  <c r="I1624" i="3"/>
  <c r="J1624" i="3" s="1"/>
  <c r="M1624" i="3"/>
  <c r="G1625" i="3"/>
  <c r="I1625" i="3"/>
  <c r="J1625" i="3" s="1"/>
  <c r="M1625" i="3"/>
  <c r="G1626" i="3"/>
  <c r="I1626" i="3"/>
  <c r="J1626" i="3" s="1"/>
  <c r="M1626" i="3"/>
  <c r="G1627" i="3"/>
  <c r="I1627" i="3"/>
  <c r="J1627" i="3" s="1"/>
  <c r="M1627" i="3"/>
  <c r="G1628" i="3"/>
  <c r="I1628" i="3"/>
  <c r="J1628" i="3" s="1"/>
  <c r="M1628" i="3"/>
  <c r="G1629" i="3"/>
  <c r="I1629" i="3"/>
  <c r="J1629" i="3" s="1"/>
  <c r="M1629" i="3"/>
  <c r="G1630" i="3"/>
  <c r="I1630" i="3"/>
  <c r="J1630" i="3" s="1"/>
  <c r="M1630" i="3"/>
  <c r="G1631" i="3"/>
  <c r="I1631" i="3"/>
  <c r="J1631" i="3" s="1"/>
  <c r="M1631" i="3"/>
  <c r="G1632" i="3"/>
  <c r="I1632" i="3"/>
  <c r="J1632" i="3" s="1"/>
  <c r="M1632" i="3"/>
  <c r="G1633" i="3"/>
  <c r="I1633" i="3"/>
  <c r="J1633" i="3" s="1"/>
  <c r="M1633" i="3"/>
  <c r="G1634" i="3"/>
  <c r="I1634" i="3"/>
  <c r="J1634" i="3" s="1"/>
  <c r="M1634" i="3"/>
  <c r="G1635" i="3"/>
  <c r="I1635" i="3"/>
  <c r="J1635" i="3" s="1"/>
  <c r="M1635" i="3"/>
  <c r="G1636" i="3"/>
  <c r="I1636" i="3"/>
  <c r="J1636" i="3" s="1"/>
  <c r="M1636" i="3"/>
  <c r="G1637" i="3"/>
  <c r="I1637" i="3"/>
  <c r="J1637" i="3" s="1"/>
  <c r="M1637" i="3"/>
  <c r="G1638" i="3"/>
  <c r="I1638" i="3"/>
  <c r="J1638" i="3" s="1"/>
  <c r="M1638" i="3"/>
  <c r="G1639" i="3"/>
  <c r="I1639" i="3"/>
  <c r="J1639" i="3" s="1"/>
  <c r="M1639" i="3"/>
  <c r="G1640" i="3"/>
  <c r="I1640" i="3"/>
  <c r="J1640" i="3" s="1"/>
  <c r="M1640" i="3"/>
  <c r="G1641" i="3"/>
  <c r="I1641" i="3"/>
  <c r="J1641" i="3" s="1"/>
  <c r="M1641" i="3"/>
  <c r="G1642" i="3"/>
  <c r="I1642" i="3"/>
  <c r="J1642" i="3" s="1"/>
  <c r="M1642" i="3"/>
  <c r="G1643" i="3"/>
  <c r="I1643" i="3"/>
  <c r="J1643" i="3" s="1"/>
  <c r="M1643" i="3"/>
  <c r="G1644" i="3"/>
  <c r="I1644" i="3"/>
  <c r="J1644" i="3" s="1"/>
  <c r="M1644" i="3"/>
  <c r="G1645" i="3"/>
  <c r="I1645" i="3"/>
  <c r="J1645" i="3" s="1"/>
  <c r="M1645" i="3"/>
  <c r="G1646" i="3"/>
  <c r="I1646" i="3"/>
  <c r="J1646" i="3" s="1"/>
  <c r="M1646" i="3"/>
  <c r="G1647" i="3"/>
  <c r="I1647" i="3"/>
  <c r="J1647" i="3" s="1"/>
  <c r="M1647" i="3"/>
  <c r="G1648" i="3"/>
  <c r="I1648" i="3"/>
  <c r="J1648" i="3" s="1"/>
  <c r="M1648" i="3"/>
  <c r="G1649" i="3"/>
  <c r="I1649" i="3"/>
  <c r="J1649" i="3" s="1"/>
  <c r="M1649" i="3"/>
  <c r="G1650" i="3"/>
  <c r="I1650" i="3"/>
  <c r="J1650" i="3" s="1"/>
  <c r="M1650" i="3"/>
  <c r="G1651" i="3"/>
  <c r="I1651" i="3"/>
  <c r="J1651" i="3" s="1"/>
  <c r="M1651" i="3"/>
  <c r="G1652" i="3"/>
  <c r="I1652" i="3"/>
  <c r="J1652" i="3" s="1"/>
  <c r="M1652" i="3"/>
  <c r="G1653" i="3"/>
  <c r="I1653" i="3"/>
  <c r="J1653" i="3" s="1"/>
  <c r="M1653" i="3"/>
  <c r="G1654" i="3"/>
  <c r="I1654" i="3"/>
  <c r="J1654" i="3" s="1"/>
  <c r="M1654" i="3"/>
  <c r="G1655" i="3"/>
  <c r="I1655" i="3"/>
  <c r="J1655" i="3" s="1"/>
  <c r="M1655" i="3"/>
  <c r="G1656" i="3"/>
  <c r="I1656" i="3"/>
  <c r="J1656" i="3" s="1"/>
  <c r="M1656" i="3"/>
  <c r="G1657" i="3"/>
  <c r="I1657" i="3"/>
  <c r="J1657" i="3" s="1"/>
  <c r="M1657" i="3"/>
  <c r="G1658" i="3"/>
  <c r="I1658" i="3"/>
  <c r="J1658" i="3" s="1"/>
  <c r="M1658" i="3"/>
  <c r="G1659" i="3"/>
  <c r="I1659" i="3"/>
  <c r="J1659" i="3" s="1"/>
  <c r="M1659" i="3"/>
  <c r="G1660" i="3"/>
  <c r="I1660" i="3"/>
  <c r="J1660" i="3" s="1"/>
  <c r="M1660" i="3"/>
  <c r="G1661" i="3"/>
  <c r="I1661" i="3"/>
  <c r="J1661" i="3" s="1"/>
  <c r="M1661" i="3"/>
  <c r="G1662" i="3"/>
  <c r="I1662" i="3"/>
  <c r="J1662" i="3" s="1"/>
  <c r="M1662" i="3"/>
  <c r="G1663" i="3"/>
  <c r="I1663" i="3"/>
  <c r="J1663" i="3" s="1"/>
  <c r="M1663" i="3"/>
  <c r="G1664" i="3"/>
  <c r="I1664" i="3"/>
  <c r="J1664" i="3" s="1"/>
  <c r="M1664" i="3"/>
  <c r="G1665" i="3"/>
  <c r="I1665" i="3"/>
  <c r="J1665" i="3" s="1"/>
  <c r="M1665" i="3"/>
  <c r="G1666" i="3"/>
  <c r="I1666" i="3"/>
  <c r="J1666" i="3" s="1"/>
  <c r="M1666" i="3"/>
  <c r="G1667" i="3"/>
  <c r="I1667" i="3"/>
  <c r="J1667" i="3" s="1"/>
  <c r="M1667" i="3"/>
  <c r="G1668" i="3"/>
  <c r="I1668" i="3"/>
  <c r="J1668" i="3" s="1"/>
  <c r="M1668" i="3"/>
  <c r="G1669" i="3"/>
  <c r="I1669" i="3"/>
  <c r="J1669" i="3" s="1"/>
  <c r="M1669" i="3"/>
  <c r="G1670" i="3"/>
  <c r="I1670" i="3"/>
  <c r="J1670" i="3" s="1"/>
  <c r="M1670" i="3"/>
  <c r="G1671" i="3"/>
  <c r="I1671" i="3"/>
  <c r="J1671" i="3" s="1"/>
  <c r="M1671" i="3"/>
  <c r="G1672" i="3"/>
  <c r="I1672" i="3"/>
  <c r="J1672" i="3" s="1"/>
  <c r="M1672" i="3"/>
  <c r="G1673" i="3"/>
  <c r="I1673" i="3"/>
  <c r="J1673" i="3" s="1"/>
  <c r="M1673" i="3"/>
  <c r="G1674" i="3"/>
  <c r="I1674" i="3"/>
  <c r="J1674" i="3" s="1"/>
  <c r="M1674" i="3"/>
  <c r="G1675" i="3"/>
  <c r="I1675" i="3"/>
  <c r="J1675" i="3" s="1"/>
  <c r="M1675" i="3"/>
  <c r="G1676" i="3"/>
  <c r="I1676" i="3"/>
  <c r="J1676" i="3" s="1"/>
  <c r="M1676" i="3"/>
  <c r="G1677" i="3"/>
  <c r="I1677" i="3"/>
  <c r="J1677" i="3" s="1"/>
  <c r="M1677" i="3"/>
  <c r="G1678" i="3"/>
  <c r="I1678" i="3"/>
  <c r="J1678" i="3" s="1"/>
  <c r="M1678" i="3"/>
  <c r="G1679" i="3"/>
  <c r="I1679" i="3"/>
  <c r="J1679" i="3" s="1"/>
  <c r="M1679" i="3"/>
  <c r="G1680" i="3"/>
  <c r="I1680" i="3"/>
  <c r="J1680" i="3" s="1"/>
  <c r="M1680" i="3"/>
  <c r="G1681" i="3"/>
  <c r="I1681" i="3"/>
  <c r="J1681" i="3" s="1"/>
  <c r="M1681" i="3"/>
  <c r="G1682" i="3"/>
  <c r="I1682" i="3"/>
  <c r="J1682" i="3" s="1"/>
  <c r="M1682" i="3"/>
  <c r="G1683" i="3"/>
  <c r="I1683" i="3"/>
  <c r="J1683" i="3" s="1"/>
  <c r="M1683" i="3"/>
  <c r="G1684" i="3"/>
  <c r="I1684" i="3"/>
  <c r="J1684" i="3" s="1"/>
  <c r="M1684" i="3"/>
  <c r="G1685" i="3"/>
  <c r="I1685" i="3"/>
  <c r="J1685" i="3" s="1"/>
  <c r="M1685" i="3"/>
  <c r="G1686" i="3"/>
  <c r="I1686" i="3"/>
  <c r="J1686" i="3" s="1"/>
  <c r="M1686" i="3"/>
  <c r="G1687" i="3"/>
  <c r="I1687" i="3"/>
  <c r="J1687" i="3" s="1"/>
  <c r="M1687" i="3"/>
  <c r="G1688" i="3"/>
  <c r="I1688" i="3"/>
  <c r="J1688" i="3" s="1"/>
  <c r="M1688" i="3"/>
  <c r="G1689" i="3"/>
  <c r="I1689" i="3"/>
  <c r="J1689" i="3" s="1"/>
  <c r="M1689" i="3"/>
  <c r="G1690" i="3"/>
  <c r="I1690" i="3"/>
  <c r="J1690" i="3" s="1"/>
  <c r="M1690" i="3"/>
  <c r="G1691" i="3"/>
  <c r="I1691" i="3"/>
  <c r="J1691" i="3" s="1"/>
  <c r="M1691" i="3"/>
  <c r="G1692" i="3"/>
  <c r="I1692" i="3"/>
  <c r="J1692" i="3" s="1"/>
  <c r="M1692" i="3"/>
  <c r="G1693" i="3"/>
  <c r="I1693" i="3"/>
  <c r="J1693" i="3" s="1"/>
  <c r="M1693" i="3"/>
  <c r="G1694" i="3"/>
  <c r="I1694" i="3"/>
  <c r="J1694" i="3" s="1"/>
  <c r="M1694" i="3"/>
  <c r="G1695" i="3"/>
  <c r="I1695" i="3"/>
  <c r="J1695" i="3" s="1"/>
  <c r="M1695" i="3"/>
  <c r="G1696" i="3"/>
  <c r="I1696" i="3"/>
  <c r="J1696" i="3" s="1"/>
  <c r="M1696" i="3"/>
  <c r="G1697" i="3"/>
  <c r="I1697" i="3"/>
  <c r="J1697" i="3" s="1"/>
  <c r="M1697" i="3"/>
  <c r="G1698" i="3"/>
  <c r="I1698" i="3"/>
  <c r="J1698" i="3" s="1"/>
  <c r="M1698" i="3"/>
  <c r="G1699" i="3"/>
  <c r="I1699" i="3"/>
  <c r="J1699" i="3" s="1"/>
  <c r="M1699" i="3"/>
  <c r="G1700" i="3"/>
  <c r="I1700" i="3"/>
  <c r="J1700" i="3" s="1"/>
  <c r="M1700" i="3"/>
  <c r="G1701" i="3"/>
  <c r="I1701" i="3"/>
  <c r="J1701" i="3" s="1"/>
  <c r="M1701" i="3"/>
  <c r="G1702" i="3"/>
  <c r="I1702" i="3"/>
  <c r="J1702" i="3" s="1"/>
  <c r="M1702" i="3"/>
  <c r="G1703" i="3"/>
  <c r="I1703" i="3"/>
  <c r="J1703" i="3" s="1"/>
  <c r="M1703" i="3"/>
  <c r="G1704" i="3"/>
  <c r="I1704" i="3"/>
  <c r="J1704" i="3" s="1"/>
  <c r="M1704" i="3"/>
  <c r="G1705" i="3"/>
  <c r="I1705" i="3"/>
  <c r="J1705" i="3" s="1"/>
  <c r="M1705" i="3"/>
  <c r="G1706" i="3"/>
  <c r="I1706" i="3"/>
  <c r="J1706" i="3" s="1"/>
  <c r="M1706" i="3"/>
  <c r="G1707" i="3"/>
  <c r="I1707" i="3"/>
  <c r="J1707" i="3" s="1"/>
  <c r="M1707" i="3"/>
  <c r="G1708" i="3"/>
  <c r="I1708" i="3"/>
  <c r="J1708" i="3"/>
  <c r="M1708" i="3"/>
  <c r="G1709" i="3"/>
  <c r="I1709" i="3"/>
  <c r="J1709" i="3" s="1"/>
  <c r="M1709" i="3"/>
  <c r="G1710" i="3"/>
  <c r="I1710" i="3"/>
  <c r="J1710" i="3" s="1"/>
  <c r="M1710" i="3"/>
  <c r="G1711" i="3"/>
  <c r="I1711" i="3"/>
  <c r="J1711" i="3" s="1"/>
  <c r="M1711" i="3"/>
  <c r="G1712" i="3"/>
  <c r="I1712" i="3"/>
  <c r="J1712" i="3" s="1"/>
  <c r="M1712" i="3"/>
  <c r="G1713" i="3"/>
  <c r="I1713" i="3"/>
  <c r="J1713" i="3" s="1"/>
  <c r="M1713" i="3"/>
  <c r="G1714" i="3"/>
  <c r="I1714" i="3"/>
  <c r="J1714" i="3" s="1"/>
  <c r="M1714" i="3"/>
  <c r="G1715" i="3"/>
  <c r="I1715" i="3"/>
  <c r="J1715" i="3" s="1"/>
  <c r="M1715" i="3"/>
  <c r="G1716" i="3"/>
  <c r="I1716" i="3"/>
  <c r="J1716" i="3" s="1"/>
  <c r="M1716" i="3"/>
  <c r="G1717" i="3"/>
  <c r="I1717" i="3"/>
  <c r="J1717" i="3" s="1"/>
  <c r="M1717" i="3"/>
  <c r="G1718" i="3"/>
  <c r="I1718" i="3"/>
  <c r="J1718" i="3" s="1"/>
  <c r="M1718" i="3"/>
  <c r="G1719" i="3"/>
  <c r="I1719" i="3"/>
  <c r="J1719" i="3" s="1"/>
  <c r="M1719" i="3"/>
  <c r="G1720" i="3"/>
  <c r="I1720" i="3"/>
  <c r="J1720" i="3" s="1"/>
  <c r="M1720" i="3"/>
  <c r="G1721" i="3"/>
  <c r="I1721" i="3"/>
  <c r="J1721" i="3" s="1"/>
  <c r="M1721" i="3"/>
  <c r="G1722" i="3"/>
  <c r="I1722" i="3"/>
  <c r="J1722" i="3" s="1"/>
  <c r="M1722" i="3"/>
  <c r="G1723" i="3"/>
  <c r="I1723" i="3"/>
  <c r="J1723" i="3" s="1"/>
  <c r="M1723" i="3"/>
  <c r="G1724" i="3"/>
  <c r="I1724" i="3"/>
  <c r="J1724" i="3" s="1"/>
  <c r="M1724" i="3"/>
  <c r="G1725" i="3"/>
  <c r="I1725" i="3"/>
  <c r="J1725" i="3" s="1"/>
  <c r="M1725" i="3"/>
  <c r="G1726" i="3"/>
  <c r="I1726" i="3"/>
  <c r="J1726" i="3" s="1"/>
  <c r="M1726" i="3"/>
  <c r="G1727" i="3"/>
  <c r="I1727" i="3"/>
  <c r="J1727" i="3" s="1"/>
  <c r="M1727" i="3"/>
  <c r="G1728" i="3"/>
  <c r="I1728" i="3"/>
  <c r="J1728" i="3" s="1"/>
  <c r="M1728" i="3"/>
  <c r="G1729" i="3"/>
  <c r="I1729" i="3"/>
  <c r="J1729" i="3" s="1"/>
  <c r="M1729" i="3"/>
  <c r="G1730" i="3"/>
  <c r="I1730" i="3"/>
  <c r="J1730" i="3" s="1"/>
  <c r="M1730" i="3"/>
  <c r="G1731" i="3"/>
  <c r="I1731" i="3"/>
  <c r="J1731" i="3" s="1"/>
  <c r="M1731" i="3"/>
  <c r="G1732" i="3"/>
  <c r="I1732" i="3"/>
  <c r="J1732" i="3" s="1"/>
  <c r="M1732" i="3"/>
  <c r="G1733" i="3"/>
  <c r="I1733" i="3"/>
  <c r="J1733" i="3" s="1"/>
  <c r="M1733" i="3"/>
  <c r="G1734" i="3"/>
  <c r="I1734" i="3"/>
  <c r="J1734" i="3" s="1"/>
  <c r="M1734" i="3"/>
  <c r="G1735" i="3"/>
  <c r="I1735" i="3"/>
  <c r="J1735" i="3" s="1"/>
  <c r="M1735" i="3"/>
  <c r="G1736" i="3"/>
  <c r="I1736" i="3"/>
  <c r="J1736" i="3"/>
  <c r="M1736" i="3"/>
  <c r="G1737" i="3"/>
  <c r="I1737" i="3"/>
  <c r="J1737" i="3" s="1"/>
  <c r="M1737" i="3"/>
  <c r="G1738" i="3"/>
  <c r="I1738" i="3"/>
  <c r="J1738" i="3" s="1"/>
  <c r="M1738" i="3"/>
  <c r="G1739" i="3"/>
  <c r="I1739" i="3"/>
  <c r="J1739" i="3" s="1"/>
  <c r="M1739" i="3"/>
  <c r="G1740" i="3"/>
  <c r="I1740" i="3"/>
  <c r="J1740" i="3" s="1"/>
  <c r="M1740" i="3"/>
  <c r="G1741" i="3"/>
  <c r="I1741" i="3"/>
  <c r="J1741" i="3" s="1"/>
  <c r="M1741" i="3"/>
  <c r="G1742" i="3"/>
  <c r="I1742" i="3"/>
  <c r="J1742" i="3" s="1"/>
  <c r="M1742" i="3"/>
  <c r="G1743" i="3"/>
  <c r="I1743" i="3"/>
  <c r="J1743" i="3" s="1"/>
  <c r="M1743" i="3"/>
  <c r="G1744" i="3"/>
  <c r="I1744" i="3"/>
  <c r="J1744" i="3" s="1"/>
  <c r="M1744" i="3"/>
  <c r="G1745" i="3"/>
  <c r="I1745" i="3"/>
  <c r="J1745" i="3" s="1"/>
  <c r="M1745" i="3"/>
  <c r="G1746" i="3"/>
  <c r="I1746" i="3"/>
  <c r="J1746" i="3" s="1"/>
  <c r="M1746" i="3"/>
  <c r="G1747" i="3"/>
  <c r="I1747" i="3"/>
  <c r="J1747" i="3" s="1"/>
  <c r="M1747" i="3"/>
  <c r="G1748" i="3"/>
  <c r="I1748" i="3"/>
  <c r="J1748" i="3" s="1"/>
  <c r="M1748" i="3"/>
  <c r="G1749" i="3"/>
  <c r="I1749" i="3"/>
  <c r="J1749" i="3" s="1"/>
  <c r="M1749" i="3"/>
  <c r="G1750" i="3"/>
  <c r="I1750" i="3"/>
  <c r="J1750" i="3" s="1"/>
  <c r="M1750" i="3"/>
  <c r="G1751" i="3"/>
  <c r="I1751" i="3"/>
  <c r="J1751" i="3" s="1"/>
  <c r="M1751" i="3"/>
  <c r="G1752" i="3"/>
  <c r="I1752" i="3"/>
  <c r="J1752" i="3" s="1"/>
  <c r="M1752" i="3"/>
  <c r="G1753" i="3"/>
  <c r="I1753" i="3"/>
  <c r="J1753" i="3" s="1"/>
  <c r="M1753" i="3"/>
  <c r="G1754" i="3"/>
  <c r="I1754" i="3"/>
  <c r="J1754" i="3" s="1"/>
  <c r="M1754" i="3"/>
  <c r="G1755" i="3"/>
  <c r="I1755" i="3"/>
  <c r="J1755" i="3" s="1"/>
  <c r="M1755" i="3"/>
  <c r="G1756" i="3"/>
  <c r="I1756" i="3"/>
  <c r="J1756" i="3" s="1"/>
  <c r="M1756" i="3"/>
  <c r="G1757" i="3"/>
  <c r="I1757" i="3"/>
  <c r="J1757" i="3" s="1"/>
  <c r="M1757" i="3"/>
  <c r="G1758" i="3"/>
  <c r="I1758" i="3"/>
  <c r="J1758" i="3" s="1"/>
  <c r="M1758" i="3"/>
  <c r="G1759" i="3"/>
  <c r="I1759" i="3"/>
  <c r="J1759" i="3" s="1"/>
  <c r="M1759" i="3"/>
  <c r="G1760" i="3"/>
  <c r="I1760" i="3"/>
  <c r="J1760" i="3" s="1"/>
  <c r="M1760" i="3"/>
  <c r="G1761" i="3"/>
  <c r="I1761" i="3"/>
  <c r="J1761" i="3" s="1"/>
  <c r="M1761" i="3"/>
  <c r="G1762" i="3"/>
  <c r="I1762" i="3"/>
  <c r="J1762" i="3" s="1"/>
  <c r="M1762" i="3"/>
  <c r="G1763" i="3"/>
  <c r="I1763" i="3"/>
  <c r="J1763" i="3" s="1"/>
  <c r="M1763" i="3"/>
  <c r="G1764" i="3"/>
  <c r="I1764" i="3"/>
  <c r="J1764" i="3" s="1"/>
  <c r="M1764" i="3"/>
  <c r="G1765" i="3"/>
  <c r="I1765" i="3"/>
  <c r="J1765" i="3" s="1"/>
  <c r="M1765" i="3"/>
  <c r="G1766" i="3"/>
  <c r="I1766" i="3"/>
  <c r="J1766" i="3" s="1"/>
  <c r="M1766" i="3"/>
  <c r="G1767" i="3"/>
  <c r="I1767" i="3"/>
  <c r="J1767" i="3" s="1"/>
  <c r="M1767" i="3"/>
  <c r="G1768" i="3"/>
  <c r="I1768" i="3"/>
  <c r="J1768" i="3" s="1"/>
  <c r="M1768" i="3"/>
  <c r="G1769" i="3"/>
  <c r="I1769" i="3"/>
  <c r="J1769" i="3" s="1"/>
  <c r="M1769" i="3"/>
  <c r="G1770" i="3"/>
  <c r="I1770" i="3"/>
  <c r="J1770" i="3" s="1"/>
  <c r="M1770" i="3"/>
  <c r="G1771" i="3"/>
  <c r="I1771" i="3"/>
  <c r="J1771" i="3" s="1"/>
  <c r="M1771" i="3"/>
  <c r="G1772" i="3"/>
  <c r="I1772" i="3"/>
  <c r="J1772" i="3" s="1"/>
  <c r="M1772" i="3"/>
  <c r="G1773" i="3"/>
  <c r="I1773" i="3"/>
  <c r="J1773" i="3" s="1"/>
  <c r="M1773" i="3"/>
  <c r="G1774" i="3"/>
  <c r="I1774" i="3"/>
  <c r="J1774" i="3" s="1"/>
  <c r="M1774" i="3"/>
  <c r="G1775" i="3"/>
  <c r="I1775" i="3"/>
  <c r="J1775" i="3" s="1"/>
  <c r="M1775" i="3"/>
  <c r="G1776" i="3"/>
  <c r="I1776" i="3"/>
  <c r="J1776" i="3" s="1"/>
  <c r="M1776" i="3"/>
  <c r="G1777" i="3"/>
  <c r="I1777" i="3"/>
  <c r="J1777" i="3" s="1"/>
  <c r="M1777" i="3"/>
  <c r="G1778" i="3"/>
  <c r="I1778" i="3"/>
  <c r="J1778" i="3" s="1"/>
  <c r="M1778" i="3"/>
  <c r="G1779" i="3"/>
  <c r="I1779" i="3"/>
  <c r="J1779" i="3" s="1"/>
  <c r="M1779" i="3"/>
  <c r="G1780" i="3"/>
  <c r="I1780" i="3"/>
  <c r="J1780" i="3" s="1"/>
  <c r="M1780" i="3"/>
  <c r="G1781" i="3"/>
  <c r="I1781" i="3"/>
  <c r="J1781" i="3" s="1"/>
  <c r="M1781" i="3"/>
  <c r="G1782" i="3"/>
  <c r="I1782" i="3"/>
  <c r="J1782" i="3" s="1"/>
  <c r="M1782" i="3"/>
  <c r="G1783" i="3"/>
  <c r="I1783" i="3"/>
  <c r="J1783" i="3" s="1"/>
  <c r="M1783" i="3"/>
  <c r="G1784" i="3"/>
  <c r="I1784" i="3"/>
  <c r="J1784" i="3" s="1"/>
  <c r="M1784" i="3"/>
  <c r="G1785" i="3"/>
  <c r="I1785" i="3"/>
  <c r="J1785" i="3" s="1"/>
  <c r="M1785" i="3"/>
  <c r="G1786" i="3"/>
  <c r="I1786" i="3"/>
  <c r="J1786" i="3" s="1"/>
  <c r="M1786" i="3"/>
  <c r="G1787" i="3"/>
  <c r="I1787" i="3"/>
  <c r="J1787" i="3" s="1"/>
  <c r="M1787" i="3"/>
  <c r="G1788" i="3"/>
  <c r="I1788" i="3"/>
  <c r="J1788" i="3" s="1"/>
  <c r="M1788" i="3"/>
  <c r="G1789" i="3"/>
  <c r="I1789" i="3"/>
  <c r="J1789" i="3" s="1"/>
  <c r="M1789" i="3"/>
  <c r="G1790" i="3"/>
  <c r="I1790" i="3"/>
  <c r="J1790" i="3" s="1"/>
  <c r="M1790" i="3"/>
  <c r="G1791" i="3"/>
  <c r="I1791" i="3"/>
  <c r="J1791" i="3" s="1"/>
  <c r="M1791" i="3"/>
  <c r="G1792" i="3"/>
  <c r="I1792" i="3"/>
  <c r="J1792" i="3" s="1"/>
  <c r="M1792" i="3"/>
  <c r="G1793" i="3"/>
  <c r="I1793" i="3"/>
  <c r="J1793" i="3" s="1"/>
  <c r="M1793" i="3"/>
  <c r="G1794" i="3"/>
  <c r="I1794" i="3"/>
  <c r="J1794" i="3" s="1"/>
  <c r="M1794" i="3"/>
  <c r="G1795" i="3"/>
  <c r="I1795" i="3"/>
  <c r="J1795" i="3" s="1"/>
  <c r="M1795" i="3"/>
  <c r="G1796" i="3"/>
  <c r="I1796" i="3"/>
  <c r="J1796" i="3" s="1"/>
  <c r="M1796" i="3"/>
  <c r="G1797" i="3"/>
  <c r="I1797" i="3"/>
  <c r="J1797" i="3" s="1"/>
  <c r="M1797" i="3"/>
  <c r="G1798" i="3"/>
  <c r="I1798" i="3"/>
  <c r="J1798" i="3" s="1"/>
  <c r="M1798" i="3"/>
  <c r="G1799" i="3"/>
  <c r="I1799" i="3"/>
  <c r="J1799" i="3" s="1"/>
  <c r="M1799" i="3"/>
  <c r="G1800" i="3"/>
  <c r="I1800" i="3"/>
  <c r="J1800" i="3" s="1"/>
  <c r="M1800" i="3"/>
  <c r="G1801" i="3"/>
  <c r="I1801" i="3"/>
  <c r="J1801" i="3" s="1"/>
  <c r="M1801" i="3"/>
  <c r="G1802" i="3"/>
  <c r="I1802" i="3"/>
  <c r="J1802" i="3" s="1"/>
  <c r="M1802" i="3"/>
  <c r="G1803" i="3"/>
  <c r="I1803" i="3"/>
  <c r="J1803" i="3" s="1"/>
  <c r="M1803" i="3"/>
  <c r="G1804" i="3"/>
  <c r="I1804" i="3"/>
  <c r="J1804" i="3" s="1"/>
  <c r="M1804" i="3"/>
  <c r="G1805" i="3"/>
  <c r="I1805" i="3"/>
  <c r="J1805" i="3" s="1"/>
  <c r="M1805" i="3"/>
  <c r="G1806" i="3"/>
  <c r="I1806" i="3"/>
  <c r="J1806" i="3" s="1"/>
  <c r="M1806" i="3"/>
  <c r="G1807" i="3"/>
  <c r="I1807" i="3"/>
  <c r="J1807" i="3" s="1"/>
  <c r="M1807" i="3"/>
  <c r="G1808" i="3"/>
  <c r="I1808" i="3"/>
  <c r="J1808" i="3" s="1"/>
  <c r="M1808" i="3"/>
  <c r="G1809" i="3"/>
  <c r="I1809" i="3"/>
  <c r="J1809" i="3" s="1"/>
  <c r="M1809" i="3"/>
  <c r="G1810" i="3"/>
  <c r="I1810" i="3"/>
  <c r="J1810" i="3" s="1"/>
  <c r="M1810" i="3"/>
  <c r="G1811" i="3"/>
  <c r="I1811" i="3"/>
  <c r="J1811" i="3" s="1"/>
  <c r="M1811" i="3"/>
  <c r="G1812" i="3"/>
  <c r="I1812" i="3"/>
  <c r="J1812" i="3" s="1"/>
  <c r="M1812" i="3"/>
  <c r="G1813" i="3"/>
  <c r="I1813" i="3"/>
  <c r="J1813" i="3" s="1"/>
  <c r="M1813" i="3"/>
  <c r="G1814" i="3"/>
  <c r="I1814" i="3"/>
  <c r="J1814" i="3" s="1"/>
  <c r="M1814" i="3"/>
  <c r="G1815" i="3"/>
  <c r="I1815" i="3"/>
  <c r="J1815" i="3" s="1"/>
  <c r="M1815" i="3"/>
  <c r="G1816" i="3"/>
  <c r="I1816" i="3"/>
  <c r="J1816" i="3" s="1"/>
  <c r="M1816" i="3"/>
  <c r="G1817" i="3"/>
  <c r="I1817" i="3"/>
  <c r="J1817" i="3" s="1"/>
  <c r="M1817" i="3"/>
  <c r="G1818" i="3"/>
  <c r="I1818" i="3"/>
  <c r="J1818" i="3" s="1"/>
  <c r="M1818" i="3"/>
  <c r="G1819" i="3"/>
  <c r="I1819" i="3"/>
  <c r="J1819" i="3" s="1"/>
  <c r="M1819" i="3"/>
  <c r="G1820" i="3"/>
  <c r="I1820" i="3"/>
  <c r="J1820" i="3" s="1"/>
  <c r="M1820" i="3"/>
  <c r="G1821" i="3"/>
  <c r="I1821" i="3"/>
  <c r="J1821" i="3" s="1"/>
  <c r="M1821" i="3"/>
  <c r="G1822" i="3"/>
  <c r="I1822" i="3"/>
  <c r="J1822" i="3" s="1"/>
  <c r="M1822" i="3"/>
  <c r="G1823" i="3"/>
  <c r="I1823" i="3"/>
  <c r="J1823" i="3" s="1"/>
  <c r="M1823" i="3"/>
  <c r="G1824" i="3"/>
  <c r="I1824" i="3"/>
  <c r="J1824" i="3" s="1"/>
  <c r="M1824" i="3"/>
  <c r="G1825" i="3"/>
  <c r="I1825" i="3"/>
  <c r="J1825" i="3" s="1"/>
  <c r="M1825" i="3"/>
  <c r="G1826" i="3"/>
  <c r="I1826" i="3"/>
  <c r="J1826" i="3" s="1"/>
  <c r="M1826" i="3"/>
  <c r="G1827" i="3"/>
  <c r="I1827" i="3"/>
  <c r="J1827" i="3" s="1"/>
  <c r="M1827" i="3"/>
  <c r="G1828" i="3"/>
  <c r="I1828" i="3"/>
  <c r="J1828" i="3" s="1"/>
  <c r="M1828" i="3"/>
  <c r="G1829" i="3"/>
  <c r="I1829" i="3"/>
  <c r="J1829" i="3" s="1"/>
  <c r="M1829" i="3"/>
  <c r="G1830" i="3"/>
  <c r="I1830" i="3"/>
  <c r="J1830" i="3" s="1"/>
  <c r="M1830" i="3"/>
  <c r="G1831" i="3"/>
  <c r="I1831" i="3"/>
  <c r="J1831" i="3" s="1"/>
  <c r="M1831" i="3"/>
  <c r="G1832" i="3"/>
  <c r="I1832" i="3"/>
  <c r="J1832" i="3" s="1"/>
  <c r="M1832" i="3"/>
  <c r="G1833" i="3"/>
  <c r="I1833" i="3"/>
  <c r="J1833" i="3" s="1"/>
  <c r="M1833" i="3"/>
  <c r="G1834" i="3"/>
  <c r="I1834" i="3"/>
  <c r="J1834" i="3" s="1"/>
  <c r="M1834" i="3"/>
  <c r="G1835" i="3"/>
  <c r="I1835" i="3"/>
  <c r="J1835" i="3" s="1"/>
  <c r="M1835" i="3"/>
  <c r="G1836" i="3"/>
  <c r="I1836" i="3"/>
  <c r="J1836" i="3" s="1"/>
  <c r="M1836" i="3"/>
  <c r="G1837" i="3"/>
  <c r="I1837" i="3"/>
  <c r="J1837" i="3" s="1"/>
  <c r="M1837" i="3"/>
  <c r="G1838" i="3"/>
  <c r="I1838" i="3"/>
  <c r="J1838" i="3" s="1"/>
  <c r="M1838" i="3"/>
  <c r="G1839" i="3"/>
  <c r="I1839" i="3"/>
  <c r="J1839" i="3" s="1"/>
  <c r="M1839" i="3"/>
  <c r="G1840" i="3"/>
  <c r="I1840" i="3"/>
  <c r="J1840" i="3" s="1"/>
  <c r="M1840" i="3"/>
  <c r="G1841" i="3"/>
  <c r="I1841" i="3"/>
  <c r="J1841" i="3" s="1"/>
  <c r="M1841" i="3"/>
  <c r="G1842" i="3"/>
  <c r="I1842" i="3"/>
  <c r="J1842" i="3" s="1"/>
  <c r="M1842" i="3"/>
  <c r="G1843" i="3"/>
  <c r="I1843" i="3"/>
  <c r="J1843" i="3" s="1"/>
  <c r="M1843" i="3"/>
  <c r="G1844" i="3"/>
  <c r="I1844" i="3"/>
  <c r="J1844" i="3" s="1"/>
  <c r="M1844" i="3"/>
  <c r="G1845" i="3"/>
  <c r="I1845" i="3"/>
  <c r="J1845" i="3" s="1"/>
  <c r="M1845" i="3"/>
  <c r="G1846" i="3"/>
  <c r="I1846" i="3"/>
  <c r="J1846" i="3" s="1"/>
  <c r="M1846" i="3"/>
  <c r="G1847" i="3"/>
  <c r="I1847" i="3"/>
  <c r="J1847" i="3" s="1"/>
  <c r="M1847" i="3"/>
  <c r="G1848" i="3"/>
  <c r="I1848" i="3"/>
  <c r="J1848" i="3" s="1"/>
  <c r="M1848" i="3"/>
  <c r="G1849" i="3"/>
  <c r="I1849" i="3"/>
  <c r="J1849" i="3" s="1"/>
  <c r="M1849" i="3"/>
  <c r="G1850" i="3"/>
  <c r="I1850" i="3"/>
  <c r="J1850" i="3" s="1"/>
  <c r="M1850" i="3"/>
  <c r="G1851" i="3"/>
  <c r="I1851" i="3"/>
  <c r="J1851" i="3" s="1"/>
  <c r="M1851" i="3"/>
  <c r="G1852" i="3"/>
  <c r="I1852" i="3"/>
  <c r="J1852" i="3" s="1"/>
  <c r="M1852" i="3"/>
  <c r="G1853" i="3"/>
  <c r="I1853" i="3"/>
  <c r="J1853" i="3" s="1"/>
  <c r="M1853" i="3"/>
  <c r="G1854" i="3"/>
  <c r="I1854" i="3"/>
  <c r="J1854" i="3" s="1"/>
  <c r="M1854" i="3"/>
  <c r="G1855" i="3"/>
  <c r="I1855" i="3"/>
  <c r="J1855" i="3" s="1"/>
  <c r="M1855" i="3"/>
  <c r="G1856" i="3"/>
  <c r="I1856" i="3"/>
  <c r="J1856" i="3" s="1"/>
  <c r="M1856" i="3"/>
  <c r="G1857" i="3"/>
  <c r="I1857" i="3"/>
  <c r="J1857" i="3" s="1"/>
  <c r="M1857" i="3"/>
  <c r="G1858" i="3"/>
  <c r="I1858" i="3"/>
  <c r="J1858" i="3" s="1"/>
  <c r="M1858" i="3"/>
  <c r="G1859" i="3"/>
  <c r="I1859" i="3"/>
  <c r="J1859" i="3" s="1"/>
  <c r="M1859" i="3"/>
  <c r="G1860" i="3"/>
  <c r="I1860" i="3"/>
  <c r="J1860" i="3" s="1"/>
  <c r="M1860" i="3"/>
  <c r="G1861" i="3"/>
  <c r="I1861" i="3"/>
  <c r="J1861" i="3" s="1"/>
  <c r="M1861" i="3"/>
  <c r="G1862" i="3"/>
  <c r="I1862" i="3"/>
  <c r="J1862" i="3" s="1"/>
  <c r="M1862" i="3"/>
  <c r="G1863" i="3"/>
  <c r="I1863" i="3"/>
  <c r="J1863" i="3" s="1"/>
  <c r="M1863" i="3"/>
  <c r="G1864" i="3"/>
  <c r="I1864" i="3"/>
  <c r="J1864" i="3" s="1"/>
  <c r="M1864" i="3"/>
  <c r="G1865" i="3"/>
  <c r="I1865" i="3"/>
  <c r="J1865" i="3" s="1"/>
  <c r="M1865" i="3"/>
  <c r="G1866" i="3"/>
  <c r="I1866" i="3"/>
  <c r="J1866" i="3" s="1"/>
  <c r="M1866" i="3"/>
  <c r="G1867" i="3"/>
  <c r="I1867" i="3"/>
  <c r="J1867" i="3" s="1"/>
  <c r="M1867" i="3"/>
  <c r="G1868" i="3"/>
  <c r="I1868" i="3"/>
  <c r="J1868" i="3" s="1"/>
  <c r="M1868" i="3"/>
  <c r="G1869" i="3"/>
  <c r="I1869" i="3"/>
  <c r="J1869" i="3" s="1"/>
  <c r="M1869" i="3"/>
  <c r="G1870" i="3"/>
  <c r="I1870" i="3"/>
  <c r="J1870" i="3" s="1"/>
  <c r="M1870" i="3"/>
  <c r="G1871" i="3"/>
  <c r="I1871" i="3"/>
  <c r="J1871" i="3" s="1"/>
  <c r="M1871" i="3"/>
  <c r="G1872" i="3"/>
  <c r="I1872" i="3"/>
  <c r="J1872" i="3" s="1"/>
  <c r="M1872" i="3"/>
  <c r="G1873" i="3"/>
  <c r="I1873" i="3"/>
  <c r="J1873" i="3" s="1"/>
  <c r="M1873" i="3"/>
  <c r="G1874" i="3"/>
  <c r="I1874" i="3"/>
  <c r="J1874" i="3" s="1"/>
  <c r="M1874" i="3"/>
  <c r="G1875" i="3"/>
  <c r="I1875" i="3"/>
  <c r="J1875" i="3" s="1"/>
  <c r="M1875" i="3"/>
  <c r="G1876" i="3"/>
  <c r="I1876" i="3"/>
  <c r="J1876" i="3" s="1"/>
  <c r="M1876" i="3"/>
  <c r="G1877" i="3"/>
  <c r="I1877" i="3"/>
  <c r="J1877" i="3" s="1"/>
  <c r="M1877" i="3"/>
  <c r="G1878" i="3"/>
  <c r="I1878" i="3"/>
  <c r="J1878" i="3" s="1"/>
  <c r="M1878" i="3"/>
  <c r="G1879" i="3"/>
  <c r="I1879" i="3"/>
  <c r="J1879" i="3" s="1"/>
  <c r="M1879" i="3"/>
  <c r="G1880" i="3"/>
  <c r="I1880" i="3"/>
  <c r="J1880" i="3" s="1"/>
  <c r="M1880" i="3"/>
  <c r="G1881" i="3"/>
  <c r="I1881" i="3"/>
  <c r="J1881" i="3" s="1"/>
  <c r="M1881" i="3"/>
  <c r="G1882" i="3"/>
  <c r="I1882" i="3"/>
  <c r="J1882" i="3" s="1"/>
  <c r="M1882" i="3"/>
  <c r="G1883" i="3"/>
  <c r="I1883" i="3"/>
  <c r="J1883" i="3" s="1"/>
  <c r="M1883" i="3"/>
  <c r="G1884" i="3"/>
  <c r="I1884" i="3"/>
  <c r="J1884" i="3" s="1"/>
  <c r="M1884" i="3"/>
  <c r="G1885" i="3"/>
  <c r="I1885" i="3"/>
  <c r="J1885" i="3" s="1"/>
  <c r="M1885" i="3"/>
  <c r="G1886" i="3"/>
  <c r="I1886" i="3"/>
  <c r="J1886" i="3" s="1"/>
  <c r="M1886" i="3"/>
  <c r="G1887" i="3"/>
  <c r="I1887" i="3"/>
  <c r="J1887" i="3" s="1"/>
  <c r="M1887" i="3"/>
  <c r="G1888" i="3"/>
  <c r="I1888" i="3"/>
  <c r="J1888" i="3" s="1"/>
  <c r="M1888" i="3"/>
  <c r="G1889" i="3"/>
  <c r="I1889" i="3"/>
  <c r="J1889" i="3" s="1"/>
  <c r="M1889" i="3"/>
  <c r="G1890" i="3"/>
  <c r="I1890" i="3"/>
  <c r="J1890" i="3" s="1"/>
  <c r="M1890" i="3"/>
  <c r="G1891" i="3"/>
  <c r="I1891" i="3"/>
  <c r="J1891" i="3" s="1"/>
  <c r="M1891" i="3"/>
  <c r="G1892" i="3"/>
  <c r="I1892" i="3"/>
  <c r="J1892" i="3"/>
  <c r="M1892" i="3"/>
  <c r="G1893" i="3"/>
  <c r="I1893" i="3"/>
  <c r="J1893" i="3" s="1"/>
  <c r="M1893" i="3"/>
  <c r="G1894" i="3"/>
  <c r="I1894" i="3"/>
  <c r="J1894" i="3" s="1"/>
  <c r="M1894" i="3"/>
  <c r="G1895" i="3"/>
  <c r="I1895" i="3"/>
  <c r="J1895" i="3" s="1"/>
  <c r="M1895" i="3"/>
  <c r="G1896" i="3"/>
  <c r="I1896" i="3"/>
  <c r="J1896" i="3" s="1"/>
  <c r="M1896" i="3"/>
  <c r="G1897" i="3"/>
  <c r="I1897" i="3"/>
  <c r="J1897" i="3" s="1"/>
  <c r="M1897" i="3"/>
  <c r="G1898" i="3"/>
  <c r="I1898" i="3"/>
  <c r="J1898" i="3" s="1"/>
  <c r="M1898" i="3"/>
  <c r="G1899" i="3"/>
  <c r="I1899" i="3"/>
  <c r="J1899" i="3" s="1"/>
  <c r="M1899" i="3"/>
  <c r="G1900" i="3"/>
  <c r="I1900" i="3"/>
  <c r="J1900" i="3" s="1"/>
  <c r="M1900" i="3"/>
  <c r="G1901" i="3"/>
  <c r="I1901" i="3"/>
  <c r="J1901" i="3" s="1"/>
  <c r="M1901" i="3"/>
  <c r="G1902" i="3"/>
  <c r="I1902" i="3"/>
  <c r="J1902" i="3"/>
  <c r="M1902" i="3"/>
  <c r="G1903" i="3"/>
  <c r="I1903" i="3"/>
  <c r="J1903" i="3" s="1"/>
  <c r="M1903" i="3"/>
  <c r="G1904" i="3"/>
  <c r="I1904" i="3"/>
  <c r="J1904" i="3" s="1"/>
  <c r="M1904" i="3"/>
  <c r="G1905" i="3"/>
  <c r="I1905" i="3"/>
  <c r="J1905" i="3" s="1"/>
  <c r="M1905" i="3"/>
  <c r="G1906" i="3"/>
  <c r="I1906" i="3"/>
  <c r="J1906" i="3" s="1"/>
  <c r="M1906" i="3"/>
  <c r="G1907" i="3"/>
  <c r="I1907" i="3"/>
  <c r="J1907" i="3" s="1"/>
  <c r="M1907" i="3"/>
  <c r="G1908" i="3"/>
  <c r="I1908" i="3"/>
  <c r="J1908" i="3" s="1"/>
  <c r="M1908" i="3"/>
  <c r="G1909" i="3"/>
  <c r="I1909" i="3"/>
  <c r="J1909" i="3" s="1"/>
  <c r="M1909" i="3"/>
  <c r="G1910" i="3"/>
  <c r="I1910" i="3"/>
  <c r="J1910" i="3" s="1"/>
  <c r="M1910" i="3"/>
  <c r="G1911" i="3"/>
  <c r="I1911" i="3"/>
  <c r="J1911" i="3" s="1"/>
  <c r="M1911" i="3"/>
  <c r="G1912" i="3"/>
  <c r="I1912" i="3"/>
  <c r="J1912" i="3" s="1"/>
  <c r="M1912" i="3"/>
  <c r="G1913" i="3"/>
  <c r="I1913" i="3"/>
  <c r="J1913" i="3" s="1"/>
  <c r="M1913" i="3"/>
  <c r="G1914" i="3"/>
  <c r="I1914" i="3"/>
  <c r="J1914" i="3" s="1"/>
  <c r="M1914" i="3"/>
  <c r="G1915" i="3"/>
  <c r="I1915" i="3"/>
  <c r="J1915" i="3" s="1"/>
  <c r="M1915" i="3"/>
  <c r="G1916" i="3"/>
  <c r="I1916" i="3"/>
  <c r="J1916" i="3" s="1"/>
  <c r="M1916" i="3"/>
  <c r="G1917" i="3"/>
  <c r="I1917" i="3"/>
  <c r="J1917" i="3" s="1"/>
  <c r="M1917" i="3"/>
  <c r="G1918" i="3"/>
  <c r="I1918" i="3"/>
  <c r="J1918" i="3" s="1"/>
  <c r="M1918" i="3"/>
  <c r="G1919" i="3"/>
  <c r="I1919" i="3"/>
  <c r="J1919" i="3" s="1"/>
  <c r="M1919" i="3"/>
  <c r="G1920" i="3"/>
  <c r="I1920" i="3"/>
  <c r="J1920" i="3" s="1"/>
  <c r="M1920" i="3"/>
  <c r="G1921" i="3"/>
  <c r="I1921" i="3"/>
  <c r="J1921" i="3" s="1"/>
  <c r="M1921" i="3"/>
  <c r="G1922" i="3"/>
  <c r="I1922" i="3"/>
  <c r="J1922" i="3" s="1"/>
  <c r="M1922" i="3"/>
  <c r="G1923" i="3"/>
  <c r="I1923" i="3"/>
  <c r="J1923" i="3" s="1"/>
  <c r="M1923" i="3"/>
  <c r="G1924" i="3"/>
  <c r="I1924" i="3"/>
  <c r="J1924" i="3"/>
  <c r="M1924" i="3"/>
  <c r="G1925" i="3"/>
  <c r="I1925" i="3"/>
  <c r="J1925" i="3" s="1"/>
  <c r="M1925" i="3"/>
  <c r="G1926" i="3"/>
  <c r="I1926" i="3"/>
  <c r="J1926" i="3" s="1"/>
  <c r="M1926" i="3"/>
  <c r="G1927" i="3"/>
  <c r="I1927" i="3"/>
  <c r="J1927" i="3" s="1"/>
  <c r="M1927" i="3"/>
  <c r="G1928" i="3"/>
  <c r="I1928" i="3"/>
  <c r="J1928" i="3" s="1"/>
  <c r="M1928" i="3"/>
  <c r="G1929" i="3"/>
  <c r="I1929" i="3"/>
  <c r="J1929" i="3" s="1"/>
  <c r="M1929" i="3"/>
  <c r="G1930" i="3"/>
  <c r="I1930" i="3"/>
  <c r="J1930" i="3" s="1"/>
  <c r="M1930" i="3"/>
  <c r="G1931" i="3"/>
  <c r="I1931" i="3"/>
  <c r="J1931" i="3" s="1"/>
  <c r="M1931" i="3"/>
  <c r="G1932" i="3"/>
  <c r="I1932" i="3"/>
  <c r="J1932" i="3" s="1"/>
  <c r="M1932" i="3"/>
  <c r="G1933" i="3"/>
  <c r="I1933" i="3"/>
  <c r="J1933" i="3" s="1"/>
  <c r="M1933" i="3"/>
  <c r="G1934" i="3"/>
  <c r="I1934" i="3"/>
  <c r="J1934" i="3" s="1"/>
  <c r="M1934" i="3"/>
  <c r="G1935" i="3"/>
  <c r="I1935" i="3"/>
  <c r="J1935" i="3" s="1"/>
  <c r="M1935" i="3"/>
  <c r="G1936" i="3"/>
  <c r="I1936" i="3"/>
  <c r="J1936" i="3" s="1"/>
  <c r="M1936" i="3"/>
  <c r="G1937" i="3"/>
  <c r="I1937" i="3"/>
  <c r="J1937" i="3" s="1"/>
  <c r="M1937" i="3"/>
  <c r="G1938" i="3"/>
  <c r="I1938" i="3"/>
  <c r="J1938" i="3" s="1"/>
  <c r="M1938" i="3"/>
  <c r="G1939" i="3"/>
  <c r="I1939" i="3"/>
  <c r="J1939" i="3" s="1"/>
  <c r="M1939" i="3"/>
  <c r="G1940" i="3"/>
  <c r="I1940" i="3"/>
  <c r="J1940" i="3" s="1"/>
  <c r="M1940" i="3"/>
  <c r="G1941" i="3"/>
  <c r="I1941" i="3"/>
  <c r="J1941" i="3" s="1"/>
  <c r="M1941" i="3"/>
  <c r="G1942" i="3"/>
  <c r="I1942" i="3"/>
  <c r="J1942" i="3" s="1"/>
  <c r="M1942" i="3"/>
  <c r="G1943" i="3"/>
  <c r="I1943" i="3"/>
  <c r="J1943" i="3" s="1"/>
  <c r="M1943" i="3"/>
  <c r="G1944" i="3"/>
  <c r="I1944" i="3"/>
  <c r="J1944" i="3" s="1"/>
  <c r="M1944" i="3"/>
  <c r="G1945" i="3"/>
  <c r="I1945" i="3"/>
  <c r="J1945" i="3" s="1"/>
  <c r="M1945" i="3"/>
  <c r="G1946" i="3"/>
  <c r="I1946" i="3"/>
  <c r="J1946" i="3" s="1"/>
  <c r="M1946" i="3"/>
  <c r="G1947" i="3"/>
  <c r="I1947" i="3"/>
  <c r="J1947" i="3" s="1"/>
  <c r="M1947" i="3"/>
  <c r="G1948" i="3"/>
  <c r="I1948" i="3"/>
  <c r="J1948" i="3" s="1"/>
  <c r="M1948" i="3"/>
  <c r="G1949" i="3"/>
  <c r="I1949" i="3"/>
  <c r="J1949" i="3" s="1"/>
  <c r="M1949" i="3"/>
  <c r="G1950" i="3"/>
  <c r="I1950" i="3"/>
  <c r="J1950" i="3" s="1"/>
  <c r="M1950" i="3"/>
  <c r="G1951" i="3"/>
  <c r="I1951" i="3"/>
  <c r="J1951" i="3" s="1"/>
  <c r="M1951" i="3"/>
  <c r="G1952" i="3"/>
  <c r="I1952" i="3"/>
  <c r="J1952" i="3" s="1"/>
  <c r="M1952" i="3"/>
  <c r="G1953" i="3"/>
  <c r="I1953" i="3"/>
  <c r="J1953" i="3" s="1"/>
  <c r="M1953" i="3"/>
  <c r="G1954" i="3"/>
  <c r="I1954" i="3"/>
  <c r="J1954" i="3" s="1"/>
  <c r="M1954" i="3"/>
  <c r="G1955" i="3"/>
  <c r="I1955" i="3"/>
  <c r="J1955" i="3" s="1"/>
  <c r="M1955" i="3"/>
  <c r="G1956" i="3"/>
  <c r="I1956" i="3"/>
  <c r="J1956" i="3" s="1"/>
  <c r="M1956" i="3"/>
  <c r="G1957" i="3"/>
  <c r="I1957" i="3"/>
  <c r="J1957" i="3" s="1"/>
  <c r="M1957" i="3"/>
  <c r="G1958" i="3"/>
  <c r="I1958" i="3"/>
  <c r="J1958" i="3" s="1"/>
  <c r="M1958" i="3"/>
  <c r="G1959" i="3"/>
  <c r="I1959" i="3"/>
  <c r="J1959" i="3" s="1"/>
  <c r="M1959" i="3"/>
  <c r="G1960" i="3"/>
  <c r="I1960" i="3"/>
  <c r="J1960" i="3" s="1"/>
  <c r="M1960" i="3"/>
  <c r="G1961" i="3"/>
  <c r="I1961" i="3"/>
  <c r="J1961" i="3" s="1"/>
  <c r="M1961" i="3"/>
  <c r="G1962" i="3"/>
  <c r="I1962" i="3"/>
  <c r="J1962" i="3" s="1"/>
  <c r="M1962" i="3"/>
  <c r="G1963" i="3"/>
  <c r="I1963" i="3"/>
  <c r="J1963" i="3" s="1"/>
  <c r="M1963" i="3"/>
  <c r="G1964" i="3"/>
  <c r="I1964" i="3"/>
  <c r="J1964" i="3" s="1"/>
  <c r="M1964" i="3"/>
  <c r="G1965" i="3"/>
  <c r="I1965" i="3"/>
  <c r="J1965" i="3" s="1"/>
  <c r="M1965" i="3"/>
  <c r="G1966" i="3"/>
  <c r="I1966" i="3"/>
  <c r="J1966" i="3" s="1"/>
  <c r="M1966" i="3"/>
  <c r="G1967" i="3"/>
  <c r="I1967" i="3"/>
  <c r="J1967" i="3" s="1"/>
  <c r="M1967" i="3"/>
  <c r="G1968" i="3"/>
  <c r="I1968" i="3"/>
  <c r="J1968" i="3" s="1"/>
  <c r="M1968" i="3"/>
  <c r="G1969" i="3"/>
  <c r="I1969" i="3"/>
  <c r="J1969" i="3" s="1"/>
  <c r="M1969" i="3"/>
  <c r="G1970" i="3"/>
  <c r="I1970" i="3"/>
  <c r="J1970" i="3" s="1"/>
  <c r="M1970" i="3"/>
  <c r="G1971" i="3"/>
  <c r="I1971" i="3"/>
  <c r="J1971" i="3" s="1"/>
  <c r="M1971" i="3"/>
  <c r="G1972" i="3"/>
  <c r="I1972" i="3"/>
  <c r="J1972" i="3" s="1"/>
  <c r="M1972" i="3"/>
  <c r="G1973" i="3"/>
  <c r="I1973" i="3"/>
  <c r="J1973" i="3" s="1"/>
  <c r="M1973" i="3"/>
  <c r="G1974" i="3"/>
  <c r="I1974" i="3"/>
  <c r="J1974" i="3" s="1"/>
  <c r="M1974" i="3"/>
  <c r="G1975" i="3"/>
  <c r="I1975" i="3"/>
  <c r="J1975" i="3" s="1"/>
  <c r="M1975" i="3"/>
  <c r="G1976" i="3"/>
  <c r="I1976" i="3"/>
  <c r="J1976" i="3" s="1"/>
  <c r="M1976" i="3"/>
  <c r="G1977" i="3"/>
  <c r="I1977" i="3"/>
  <c r="J1977" i="3" s="1"/>
  <c r="M1977" i="3"/>
  <c r="G1978" i="3"/>
  <c r="I1978" i="3"/>
  <c r="J1978" i="3" s="1"/>
  <c r="M1978" i="3"/>
  <c r="G1979" i="3"/>
  <c r="I1979" i="3"/>
  <c r="J1979" i="3" s="1"/>
  <c r="M1979" i="3"/>
  <c r="G1980" i="3"/>
  <c r="I1980" i="3"/>
  <c r="J1980" i="3" s="1"/>
  <c r="M1980" i="3"/>
  <c r="G1981" i="3"/>
  <c r="I1981" i="3"/>
  <c r="J1981" i="3" s="1"/>
  <c r="M1981" i="3"/>
  <c r="G1982" i="3"/>
  <c r="I1982" i="3"/>
  <c r="J1982" i="3" s="1"/>
  <c r="M1982" i="3"/>
  <c r="G1983" i="3"/>
  <c r="I1983" i="3"/>
  <c r="J1983" i="3" s="1"/>
  <c r="M1983" i="3"/>
  <c r="G1984" i="3"/>
  <c r="I1984" i="3"/>
  <c r="J1984" i="3" s="1"/>
  <c r="M1984" i="3"/>
  <c r="G1985" i="3"/>
  <c r="I1985" i="3"/>
  <c r="J1985" i="3" s="1"/>
  <c r="M1985" i="3"/>
  <c r="G1986" i="3"/>
  <c r="I1986" i="3"/>
  <c r="J1986" i="3" s="1"/>
  <c r="M1986" i="3"/>
  <c r="G1987" i="3"/>
  <c r="I1987" i="3"/>
  <c r="J1987" i="3" s="1"/>
  <c r="M1987" i="3"/>
  <c r="G1988" i="3"/>
  <c r="I1988" i="3"/>
  <c r="J1988" i="3" s="1"/>
  <c r="M1988" i="3"/>
  <c r="G1989" i="3"/>
  <c r="I1989" i="3"/>
  <c r="J1989" i="3" s="1"/>
  <c r="M1989" i="3"/>
  <c r="G1990" i="3"/>
  <c r="I1990" i="3"/>
  <c r="J1990" i="3" s="1"/>
  <c r="M1990" i="3"/>
  <c r="G1991" i="3"/>
  <c r="I1991" i="3"/>
  <c r="J1991" i="3" s="1"/>
  <c r="M1991" i="3"/>
  <c r="G1992" i="3"/>
  <c r="I1992" i="3"/>
  <c r="J1992" i="3" s="1"/>
  <c r="M1992" i="3"/>
  <c r="G1993" i="3"/>
  <c r="I1993" i="3"/>
  <c r="J1993" i="3" s="1"/>
  <c r="M1993" i="3"/>
  <c r="G1994" i="3"/>
  <c r="I1994" i="3"/>
  <c r="J1994" i="3" s="1"/>
  <c r="M1994" i="3"/>
  <c r="G1995" i="3"/>
  <c r="I1995" i="3"/>
  <c r="J1995" i="3" s="1"/>
  <c r="M1995" i="3"/>
  <c r="G1996" i="3"/>
  <c r="I1996" i="3"/>
  <c r="J1996" i="3" s="1"/>
  <c r="M1996" i="3"/>
  <c r="G1997" i="3"/>
  <c r="I1997" i="3"/>
  <c r="J1997" i="3" s="1"/>
  <c r="M1997" i="3"/>
  <c r="G1998" i="3"/>
  <c r="I1998" i="3"/>
  <c r="J1998" i="3"/>
  <c r="M1998" i="3"/>
  <c r="G1999" i="3"/>
  <c r="I1999" i="3"/>
  <c r="J1999" i="3" s="1"/>
  <c r="M1999" i="3"/>
  <c r="G2000" i="3"/>
  <c r="I2000" i="3"/>
  <c r="J2000" i="3" s="1"/>
  <c r="M2000" i="3"/>
  <c r="A2" i="3" a="1"/>
  <c r="A2" i="3" s="1"/>
  <c r="C1603" i="3"/>
  <c r="C1611" i="3"/>
  <c r="C1619" i="3"/>
  <c r="C1627" i="3"/>
  <c r="C1635" i="3"/>
  <c r="C1643" i="3"/>
  <c r="C1651" i="3"/>
  <c r="C1659" i="3"/>
  <c r="C1667" i="3"/>
  <c r="C1675" i="3"/>
  <c r="C1683" i="3"/>
  <c r="C1691" i="3"/>
  <c r="C1699" i="3"/>
  <c r="C1707" i="3"/>
  <c r="C1715" i="3"/>
  <c r="C1723" i="3"/>
  <c r="C1731" i="3"/>
  <c r="C1739" i="3"/>
  <c r="C1747" i="3"/>
  <c r="C1755" i="3"/>
  <c r="C1761" i="3"/>
  <c r="B1764" i="3"/>
  <c r="C1765" i="3"/>
  <c r="B1768" i="3"/>
  <c r="C1769" i="3"/>
  <c r="C1771" i="3"/>
  <c r="C1783" i="3"/>
  <c r="B1784" i="3"/>
  <c r="C1787" i="3"/>
  <c r="C1788" i="3"/>
  <c r="B1789" i="3"/>
  <c r="C1791" i="3"/>
  <c r="C1799" i="3"/>
  <c r="B1800" i="3"/>
  <c r="C1803" i="3"/>
  <c r="C1804" i="3"/>
  <c r="B1805" i="3"/>
  <c r="C1807" i="3"/>
  <c r="C1810" i="3"/>
  <c r="C1811" i="3"/>
  <c r="C1814" i="3"/>
  <c r="C1815" i="3"/>
  <c r="B1816" i="3"/>
  <c r="C1819" i="3"/>
  <c r="C1820" i="3"/>
  <c r="B1821" i="3"/>
  <c r="C1823" i="3"/>
  <c r="C1826" i="3"/>
  <c r="C1830" i="3"/>
  <c r="C1831" i="3"/>
  <c r="B1832" i="3"/>
  <c r="C1835" i="3"/>
  <c r="C1836" i="3"/>
  <c r="B1837" i="3"/>
  <c r="C1839" i="3"/>
  <c r="C1842" i="3"/>
  <c r="C1843" i="3"/>
  <c r="C1846" i="3"/>
  <c r="C1847" i="3"/>
  <c r="B1848" i="3"/>
  <c r="C1851" i="3"/>
  <c r="C1852" i="3"/>
  <c r="B1853" i="3"/>
  <c r="C1855" i="3"/>
  <c r="C1858" i="3"/>
  <c r="C1862" i="3"/>
  <c r="C1863" i="3"/>
  <c r="B1864" i="3"/>
  <c r="C1867" i="3"/>
  <c r="C1868" i="3"/>
  <c r="B1869" i="3"/>
  <c r="C1871" i="3"/>
  <c r="C1874" i="3"/>
  <c r="C1875" i="3"/>
  <c r="C1878" i="3"/>
  <c r="C1879" i="3"/>
  <c r="B1880" i="3"/>
  <c r="C1883" i="3"/>
  <c r="C1884" i="3"/>
  <c r="B1885" i="3"/>
  <c r="C1887" i="3"/>
  <c r="C1890" i="3"/>
  <c r="B1891" i="3"/>
  <c r="C1894" i="3"/>
  <c r="C1895" i="3"/>
  <c r="B1896" i="3"/>
  <c r="C1899" i="3"/>
  <c r="C1900" i="3"/>
  <c r="B1901" i="3"/>
  <c r="C1903" i="3"/>
  <c r="C1906" i="3"/>
  <c r="C1907" i="3"/>
  <c r="C1910" i="3"/>
  <c r="C1911" i="3"/>
  <c r="B1912" i="3"/>
  <c r="C1915" i="3"/>
  <c r="C1916" i="3"/>
  <c r="B1917" i="3"/>
  <c r="C1919" i="3"/>
  <c r="C1922" i="3"/>
  <c r="B1923" i="3"/>
  <c r="C1926" i="3"/>
  <c r="C1927" i="3"/>
  <c r="C1931" i="3"/>
  <c r="C1932" i="3"/>
  <c r="B1933" i="3"/>
  <c r="C1935" i="3"/>
  <c r="C1936" i="3"/>
  <c r="C1938" i="3"/>
  <c r="C1939" i="3"/>
  <c r="C1942" i="3"/>
  <c r="C1943" i="3"/>
  <c r="C1947" i="3"/>
  <c r="C1948" i="3"/>
  <c r="B1949" i="3"/>
  <c r="C1951" i="3"/>
  <c r="C1952" i="3"/>
  <c r="C1954" i="3"/>
  <c r="B1955" i="3"/>
  <c r="C1958" i="3"/>
  <c r="C1959" i="3"/>
  <c r="C1963" i="3"/>
  <c r="C1964" i="3"/>
  <c r="B1965" i="3"/>
  <c r="C1967" i="3"/>
  <c r="C1968" i="3"/>
  <c r="C1970" i="3"/>
  <c r="C1971" i="3"/>
  <c r="C1974" i="3"/>
  <c r="C1975" i="3"/>
  <c r="B1981" i="3"/>
  <c r="C1983" i="3"/>
  <c r="C1984" i="3"/>
  <c r="C1986" i="3"/>
  <c r="C1990" i="3"/>
  <c r="C1991" i="3"/>
  <c r="B1997" i="3"/>
  <c r="C1999" i="3"/>
  <c r="C2000" i="3"/>
  <c r="G4" i="3"/>
  <c r="G7" i="3"/>
  <c r="G8" i="3"/>
  <c r="G12" i="3"/>
  <c r="G15" i="3"/>
  <c r="G16" i="3"/>
  <c r="G20" i="3"/>
  <c r="G23" i="3"/>
  <c r="G24" i="3"/>
  <c r="G26" i="3"/>
  <c r="G28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I72" i="3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I80" i="3"/>
  <c r="J80" i="3" s="1"/>
  <c r="I81" i="3"/>
  <c r="J81" i="3" s="1"/>
  <c r="I82" i="3"/>
  <c r="J82" i="3" s="1"/>
  <c r="I83" i="3"/>
  <c r="J83" i="3" s="1"/>
  <c r="I84" i="3"/>
  <c r="J84" i="3" s="1"/>
  <c r="I85" i="3"/>
  <c r="I86" i="3"/>
  <c r="J86" i="3" s="1"/>
  <c r="I87" i="3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I96" i="3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I126" i="3"/>
  <c r="J126" i="3" s="1"/>
  <c r="I127" i="3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I144" i="3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I168" i="3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I264" i="3"/>
  <c r="J264" i="3" s="1"/>
  <c r="I265" i="3"/>
  <c r="J265" i="3" s="1"/>
  <c r="I266" i="3"/>
  <c r="J266" i="3" s="1"/>
  <c r="I267" i="3"/>
  <c r="J267" i="3" s="1"/>
  <c r="I268" i="3"/>
  <c r="I269" i="3"/>
  <c r="J269" i="3" s="1"/>
  <c r="I270" i="3"/>
  <c r="J270" i="3" s="1"/>
  <c r="I271" i="3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I302" i="3"/>
  <c r="J302" i="3" s="1"/>
  <c r="I303" i="3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I376" i="3"/>
  <c r="J376" i="3" s="1"/>
  <c r="I377" i="3"/>
  <c r="J377" i="3" s="1"/>
  <c r="I378" i="3"/>
  <c r="J378" i="3" s="1"/>
  <c r="I379" i="3"/>
  <c r="J379" i="3" s="1"/>
  <c r="I380" i="3"/>
  <c r="J380" i="3" s="1"/>
  <c r="I381" i="3"/>
  <c r="J381" i="3" s="1"/>
  <c r="I382" i="3"/>
  <c r="J382" i="3" s="1"/>
  <c r="I383" i="3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I424" i="3"/>
  <c r="J424" i="3" s="1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I440" i="3"/>
  <c r="J440" i="3" s="1"/>
  <c r="I441" i="3"/>
  <c r="J441" i="3" s="1"/>
  <c r="I442" i="3"/>
  <c r="J442" i="3" s="1"/>
  <c r="I443" i="3"/>
  <c r="J443" i="3" s="1"/>
  <c r="I444" i="3"/>
  <c r="J444" i="3" s="1"/>
  <c r="I445" i="3"/>
  <c r="J445" i="3" s="1"/>
  <c r="I446" i="3"/>
  <c r="J446" i="3" s="1"/>
  <c r="I447" i="3"/>
  <c r="I448" i="3"/>
  <c r="J448" i="3" s="1"/>
  <c r="I449" i="3"/>
  <c r="J449" i="3" s="1"/>
  <c r="I450" i="3"/>
  <c r="J450" i="3" s="1"/>
  <c r="I451" i="3"/>
  <c r="J451" i="3" s="1"/>
  <c r="I452" i="3"/>
  <c r="J452" i="3" s="1"/>
  <c r="I453" i="3"/>
  <c r="J453" i="3" s="1"/>
  <c r="I454" i="3"/>
  <c r="J454" i="3" s="1"/>
  <c r="I455" i="3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 s="1"/>
  <c r="I478" i="3"/>
  <c r="J478" i="3" s="1"/>
  <c r="I479" i="3"/>
  <c r="I480" i="3"/>
  <c r="J480" i="3" s="1"/>
  <c r="I481" i="3"/>
  <c r="J481" i="3" s="1"/>
  <c r="I482" i="3"/>
  <c r="J482" i="3" s="1"/>
  <c r="I483" i="3"/>
  <c r="J483" i="3" s="1"/>
  <c r="I484" i="3"/>
  <c r="J484" i="3" s="1"/>
  <c r="I485" i="3"/>
  <c r="J485" i="3" s="1"/>
  <c r="I486" i="3"/>
  <c r="J486" i="3" s="1"/>
  <c r="I487" i="3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I504" i="3"/>
  <c r="J504" i="3" s="1"/>
  <c r="I505" i="3"/>
  <c r="J505" i="3" s="1"/>
  <c r="I506" i="3"/>
  <c r="J506" i="3" s="1"/>
  <c r="I507" i="3"/>
  <c r="J507" i="3" s="1"/>
  <c r="I508" i="3"/>
  <c r="J508" i="3" s="1"/>
  <c r="I509" i="3"/>
  <c r="J509" i="3" s="1"/>
  <c r="I510" i="3"/>
  <c r="J510" i="3" s="1"/>
  <c r="I511" i="3"/>
  <c r="I512" i="3"/>
  <c r="J512" i="3" s="1"/>
  <c r="I513" i="3"/>
  <c r="J513" i="3" s="1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I520" i="3"/>
  <c r="J520" i="3" s="1"/>
  <c r="I521" i="3"/>
  <c r="J521" i="3" s="1"/>
  <c r="I522" i="3"/>
  <c r="J522" i="3" s="1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 s="1"/>
  <c r="I532" i="3"/>
  <c r="J532" i="3" s="1"/>
  <c r="I533" i="3"/>
  <c r="J533" i="3" s="1"/>
  <c r="I534" i="3"/>
  <c r="J534" i="3" s="1"/>
  <c r="I535" i="3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559" i="3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I592" i="3"/>
  <c r="J592" i="3" s="1"/>
  <c r="I593" i="3"/>
  <c r="J593" i="3" s="1"/>
  <c r="I594" i="3"/>
  <c r="J594" i="3" s="1"/>
  <c r="I595" i="3"/>
  <c r="J595" i="3" s="1"/>
  <c r="I596" i="3"/>
  <c r="J596" i="3" s="1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I616" i="3"/>
  <c r="J616" i="3" s="1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I632" i="3"/>
  <c r="J632" i="3" s="1"/>
  <c r="I633" i="3"/>
  <c r="J633" i="3" s="1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I640" i="3"/>
  <c r="J640" i="3" s="1"/>
  <c r="I641" i="3"/>
  <c r="J641" i="3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 s="1"/>
  <c r="I654" i="3"/>
  <c r="J654" i="3" s="1"/>
  <c r="I655" i="3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 s="1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 s="1"/>
  <c r="I716" i="3"/>
  <c r="J716" i="3" s="1"/>
  <c r="I717" i="3"/>
  <c r="J717" i="3" s="1"/>
  <c r="I718" i="3"/>
  <c r="J718" i="3" s="1"/>
  <c r="I719" i="3"/>
  <c r="I720" i="3"/>
  <c r="J720" i="3" s="1"/>
  <c r="I721" i="3"/>
  <c r="J721" i="3" s="1"/>
  <c r="I722" i="3"/>
  <c r="J722" i="3" s="1"/>
  <c r="I723" i="3"/>
  <c r="J723" i="3" s="1"/>
  <c r="I724" i="3"/>
  <c r="J724" i="3" s="1"/>
  <c r="I725" i="3"/>
  <c r="J725" i="3" s="1"/>
  <c r="I726" i="3"/>
  <c r="J726" i="3" s="1"/>
  <c r="I727" i="3"/>
  <c r="I728" i="3"/>
  <c r="J728" i="3" s="1"/>
  <c r="I729" i="3"/>
  <c r="J729" i="3" s="1"/>
  <c r="I730" i="3"/>
  <c r="J730" i="3" s="1"/>
  <c r="I731" i="3"/>
  <c r="J731" i="3" s="1"/>
  <c r="I732" i="3"/>
  <c r="J732" i="3" s="1"/>
  <c r="I733" i="3"/>
  <c r="J733" i="3" s="1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I752" i="3"/>
  <c r="J752" i="3" s="1"/>
  <c r="I753" i="3"/>
  <c r="J753" i="3" s="1"/>
  <c r="I754" i="3"/>
  <c r="J754" i="3" s="1"/>
  <c r="I755" i="3"/>
  <c r="J755" i="3" s="1"/>
  <c r="I756" i="3"/>
  <c r="J756" i="3" s="1"/>
  <c r="I757" i="3"/>
  <c r="J757" i="3" s="1"/>
  <c r="I758" i="3"/>
  <c r="J758" i="3" s="1"/>
  <c r="I759" i="3"/>
  <c r="I760" i="3"/>
  <c r="J760" i="3" s="1"/>
  <c r="I761" i="3"/>
  <c r="J761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I768" i="3"/>
  <c r="J768" i="3" s="1"/>
  <c r="I769" i="3"/>
  <c r="J769" i="3" s="1"/>
  <c r="I770" i="3"/>
  <c r="J770" i="3" s="1"/>
  <c r="I771" i="3"/>
  <c r="J771" i="3" s="1"/>
  <c r="I772" i="3"/>
  <c r="J772" i="3" s="1"/>
  <c r="I773" i="3"/>
  <c r="J773" i="3" s="1"/>
  <c r="I774" i="3"/>
  <c r="J774" i="3" s="1"/>
  <c r="I775" i="3"/>
  <c r="J775" i="3" s="1"/>
  <c r="I776" i="3"/>
  <c r="J776" i="3" s="1"/>
  <c r="I777" i="3"/>
  <c r="J777" i="3" s="1"/>
  <c r="I778" i="3"/>
  <c r="J778" i="3" s="1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 s="1"/>
  <c r="I790" i="3"/>
  <c r="J790" i="3" s="1"/>
  <c r="I791" i="3"/>
  <c r="I792" i="3"/>
  <c r="J792" i="3" s="1"/>
  <c r="I793" i="3"/>
  <c r="J793" i="3" s="1"/>
  <c r="I794" i="3"/>
  <c r="J794" i="3" s="1"/>
  <c r="I795" i="3"/>
  <c r="J795" i="3" s="1"/>
  <c r="I796" i="3"/>
  <c r="J796" i="3" s="1"/>
  <c r="I797" i="3"/>
  <c r="J797" i="3" s="1"/>
  <c r="I798" i="3"/>
  <c r="J798" i="3" s="1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 s="1"/>
  <c r="I819" i="3"/>
  <c r="J819" i="3" s="1"/>
  <c r="I820" i="3"/>
  <c r="J820" i="3" s="1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 s="1"/>
  <c r="I827" i="3"/>
  <c r="J827" i="3" s="1"/>
  <c r="I828" i="3"/>
  <c r="J828" i="3" s="1"/>
  <c r="I829" i="3"/>
  <c r="J829" i="3" s="1"/>
  <c r="I830" i="3"/>
  <c r="J830" i="3" s="1"/>
  <c r="I831" i="3"/>
  <c r="J831" i="3" s="1"/>
  <c r="I832" i="3"/>
  <c r="J832" i="3" s="1"/>
  <c r="I833" i="3"/>
  <c r="J833" i="3" s="1"/>
  <c r="I834" i="3"/>
  <c r="J834" i="3" s="1"/>
  <c r="I835" i="3"/>
  <c r="J835" i="3" s="1"/>
  <c r="I836" i="3"/>
  <c r="J836" i="3" s="1"/>
  <c r="I837" i="3"/>
  <c r="J837" i="3" s="1"/>
  <c r="I838" i="3"/>
  <c r="J838" i="3" s="1"/>
  <c r="I839" i="3"/>
  <c r="J839" i="3" s="1"/>
  <c r="I840" i="3"/>
  <c r="J840" i="3" s="1"/>
  <c r="I841" i="3"/>
  <c r="J841" i="3" s="1"/>
  <c r="I842" i="3"/>
  <c r="J842" i="3" s="1"/>
  <c r="I843" i="3"/>
  <c r="J843" i="3" s="1"/>
  <c r="I844" i="3"/>
  <c r="J844" i="3" s="1"/>
  <c r="I845" i="3"/>
  <c r="J845" i="3" s="1"/>
  <c r="I846" i="3"/>
  <c r="J846" i="3" s="1"/>
  <c r="I847" i="3"/>
  <c r="J847" i="3" s="1"/>
  <c r="I848" i="3"/>
  <c r="J848" i="3" s="1"/>
  <c r="I849" i="3"/>
  <c r="J849" i="3" s="1"/>
  <c r="I850" i="3"/>
  <c r="J850" i="3" s="1"/>
  <c r="I851" i="3"/>
  <c r="J851" i="3" s="1"/>
  <c r="I852" i="3"/>
  <c r="J852" i="3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I864" i="3"/>
  <c r="J864" i="3" s="1"/>
  <c r="I865" i="3"/>
  <c r="J865" i="3" s="1"/>
  <c r="I866" i="3"/>
  <c r="J866" i="3" s="1"/>
  <c r="I867" i="3"/>
  <c r="J867" i="3" s="1"/>
  <c r="I868" i="3"/>
  <c r="J868" i="3" s="1"/>
  <c r="I869" i="3"/>
  <c r="J869" i="3" s="1"/>
  <c r="I870" i="3"/>
  <c r="J870" i="3" s="1"/>
  <c r="I871" i="3"/>
  <c r="J871" i="3" s="1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881" i="3"/>
  <c r="J881" i="3" s="1"/>
  <c r="I882" i="3"/>
  <c r="J882" i="3" s="1"/>
  <c r="I883" i="3"/>
  <c r="J883" i="3" s="1"/>
  <c r="I884" i="3"/>
  <c r="J884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 s="1"/>
  <c r="I892" i="3"/>
  <c r="J892" i="3" s="1"/>
  <c r="I893" i="3"/>
  <c r="J893" i="3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 s="1"/>
  <c r="I900" i="3"/>
  <c r="J900" i="3" s="1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J907" i="3" s="1"/>
  <c r="I908" i="3"/>
  <c r="J908" i="3" s="1"/>
  <c r="I909" i="3"/>
  <c r="J909" i="3" s="1"/>
  <c r="I910" i="3"/>
  <c r="J910" i="3" s="1"/>
  <c r="I911" i="3"/>
  <c r="J911" i="3" s="1"/>
  <c r="I912" i="3"/>
  <c r="J912" i="3" s="1"/>
  <c r="I913" i="3"/>
  <c r="J913" i="3" s="1"/>
  <c r="I914" i="3"/>
  <c r="J914" i="3" s="1"/>
  <c r="I915" i="3"/>
  <c r="J915" i="3" s="1"/>
  <c r="I916" i="3"/>
  <c r="J916" i="3" s="1"/>
  <c r="I917" i="3"/>
  <c r="J917" i="3" s="1"/>
  <c r="I918" i="3"/>
  <c r="J918" i="3" s="1"/>
  <c r="I919" i="3"/>
  <c r="J919" i="3" s="1"/>
  <c r="I920" i="3"/>
  <c r="J920" i="3" s="1"/>
  <c r="I921" i="3"/>
  <c r="J921" i="3" s="1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J928" i="3" s="1"/>
  <c r="I929" i="3"/>
  <c r="J929" i="3" s="1"/>
  <c r="I930" i="3"/>
  <c r="J930" i="3" s="1"/>
  <c r="I931" i="3"/>
  <c r="J931" i="3" s="1"/>
  <c r="I932" i="3"/>
  <c r="J932" i="3" s="1"/>
  <c r="I933" i="3"/>
  <c r="J933" i="3" s="1"/>
  <c r="I934" i="3"/>
  <c r="J934" i="3" s="1"/>
  <c r="I935" i="3"/>
  <c r="J935" i="3" s="1"/>
  <c r="I936" i="3"/>
  <c r="J936" i="3" s="1"/>
  <c r="I937" i="3"/>
  <c r="J937" i="3" s="1"/>
  <c r="I938" i="3"/>
  <c r="J938" i="3" s="1"/>
  <c r="I939" i="3"/>
  <c r="J939" i="3" s="1"/>
  <c r="I940" i="3"/>
  <c r="J940" i="3" s="1"/>
  <c r="I941" i="3"/>
  <c r="J941" i="3" s="1"/>
  <c r="I942" i="3"/>
  <c r="J942" i="3" s="1"/>
  <c r="I943" i="3"/>
  <c r="J943" i="3" s="1"/>
  <c r="I944" i="3"/>
  <c r="J944" i="3" s="1"/>
  <c r="I945" i="3"/>
  <c r="J945" i="3" s="1"/>
  <c r="I946" i="3"/>
  <c r="J946" i="3" s="1"/>
  <c r="I947" i="3"/>
  <c r="J947" i="3" s="1"/>
  <c r="I948" i="3"/>
  <c r="J948" i="3" s="1"/>
  <c r="I949" i="3"/>
  <c r="J949" i="3" s="1"/>
  <c r="I950" i="3"/>
  <c r="J950" i="3" s="1"/>
  <c r="I951" i="3"/>
  <c r="J951" i="3" s="1"/>
  <c r="I952" i="3"/>
  <c r="J952" i="3" s="1"/>
  <c r="I953" i="3"/>
  <c r="J953" i="3" s="1"/>
  <c r="I954" i="3"/>
  <c r="J954" i="3" s="1"/>
  <c r="I955" i="3"/>
  <c r="J955" i="3" s="1"/>
  <c r="I956" i="3"/>
  <c r="J956" i="3" s="1"/>
  <c r="I957" i="3"/>
  <c r="J957" i="3" s="1"/>
  <c r="I958" i="3"/>
  <c r="J958" i="3" s="1"/>
  <c r="I959" i="3"/>
  <c r="J959" i="3" s="1"/>
  <c r="I960" i="3"/>
  <c r="J960" i="3" s="1"/>
  <c r="I961" i="3"/>
  <c r="J961" i="3" s="1"/>
  <c r="I962" i="3"/>
  <c r="J962" i="3" s="1"/>
  <c r="I963" i="3"/>
  <c r="J963" i="3" s="1"/>
  <c r="I964" i="3"/>
  <c r="J964" i="3" s="1"/>
  <c r="I965" i="3"/>
  <c r="J965" i="3" s="1"/>
  <c r="I966" i="3"/>
  <c r="J966" i="3" s="1"/>
  <c r="I967" i="3"/>
  <c r="J967" i="3" s="1"/>
  <c r="I968" i="3"/>
  <c r="J968" i="3" s="1"/>
  <c r="I969" i="3"/>
  <c r="J969" i="3" s="1"/>
  <c r="I970" i="3"/>
  <c r="J970" i="3" s="1"/>
  <c r="I971" i="3"/>
  <c r="J971" i="3" s="1"/>
  <c r="I972" i="3"/>
  <c r="J972" i="3" s="1"/>
  <c r="I973" i="3"/>
  <c r="J973" i="3" s="1"/>
  <c r="I974" i="3"/>
  <c r="J974" i="3" s="1"/>
  <c r="I975" i="3"/>
  <c r="J975" i="3" s="1"/>
  <c r="I976" i="3"/>
  <c r="J976" i="3" s="1"/>
  <c r="I977" i="3"/>
  <c r="J977" i="3" s="1"/>
  <c r="I978" i="3"/>
  <c r="J978" i="3" s="1"/>
  <c r="I979" i="3"/>
  <c r="J979" i="3" s="1"/>
  <c r="I980" i="3"/>
  <c r="J980" i="3" s="1"/>
  <c r="I981" i="3"/>
  <c r="J981" i="3" s="1"/>
  <c r="I982" i="3"/>
  <c r="J982" i="3" s="1"/>
  <c r="I983" i="3"/>
  <c r="I984" i="3"/>
  <c r="J984" i="3" s="1"/>
  <c r="I985" i="3"/>
  <c r="J985" i="3" s="1"/>
  <c r="I986" i="3"/>
  <c r="J986" i="3" s="1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J993" i="3" s="1"/>
  <c r="I994" i="3"/>
  <c r="J994" i="3" s="1"/>
  <c r="I995" i="3"/>
  <c r="J995" i="3" s="1"/>
  <c r="I996" i="3"/>
  <c r="J996" i="3" s="1"/>
  <c r="I997" i="3"/>
  <c r="J997" i="3" s="1"/>
  <c r="I998" i="3"/>
  <c r="J998" i="3" s="1"/>
  <c r="I999" i="3"/>
  <c r="J999" i="3" s="1"/>
  <c r="I1000" i="3"/>
  <c r="J1000" i="3" s="1"/>
  <c r="J23" i="3"/>
  <c r="J31" i="3"/>
  <c r="J39" i="3"/>
  <c r="J55" i="3"/>
  <c r="J63" i="3"/>
  <c r="J71" i="3"/>
  <c r="J72" i="3"/>
  <c r="J79" i="3"/>
  <c r="J85" i="3"/>
  <c r="J87" i="3"/>
  <c r="J95" i="3"/>
  <c r="J96" i="3"/>
  <c r="J103" i="3"/>
  <c r="J111" i="3"/>
  <c r="J119" i="3"/>
  <c r="J125" i="3"/>
  <c r="J127" i="3"/>
  <c r="J135" i="3"/>
  <c r="J143" i="3"/>
  <c r="J144" i="3"/>
  <c r="J159" i="3"/>
  <c r="J167" i="3"/>
  <c r="J168" i="3"/>
  <c r="J175" i="3"/>
  <c r="J183" i="3"/>
  <c r="J191" i="3"/>
  <c r="J199" i="3"/>
  <c r="J215" i="3"/>
  <c r="J223" i="3"/>
  <c r="J239" i="3"/>
  <c r="J247" i="3"/>
  <c r="J255" i="3"/>
  <c r="J263" i="3"/>
  <c r="J268" i="3"/>
  <c r="J271" i="3"/>
  <c r="J279" i="3"/>
  <c r="J295" i="3"/>
  <c r="J301" i="3"/>
  <c r="J303" i="3"/>
  <c r="J311" i="3"/>
  <c r="J319" i="3"/>
  <c r="J327" i="3"/>
  <c r="J335" i="3"/>
  <c r="J351" i="3"/>
  <c r="J359" i="3"/>
  <c r="J367" i="3"/>
  <c r="J375" i="3"/>
  <c r="J383" i="3"/>
  <c r="J391" i="3"/>
  <c r="J407" i="3"/>
  <c r="J415" i="3"/>
  <c r="J423" i="3"/>
  <c r="J431" i="3"/>
  <c r="J439" i="3"/>
  <c r="J447" i="3"/>
  <c r="J455" i="3"/>
  <c r="J463" i="3"/>
  <c r="J471" i="3"/>
  <c r="J479" i="3"/>
  <c r="J487" i="3"/>
  <c r="J495" i="3"/>
  <c r="J503" i="3"/>
  <c r="J511" i="3"/>
  <c r="J519" i="3"/>
  <c r="J535" i="3"/>
  <c r="J543" i="3"/>
  <c r="J551" i="3"/>
  <c r="J559" i="3"/>
  <c r="J567" i="3"/>
  <c r="J575" i="3"/>
  <c r="J583" i="3"/>
  <c r="J591" i="3"/>
  <c r="J615" i="3"/>
  <c r="J623" i="3"/>
  <c r="J631" i="3"/>
  <c r="J639" i="3"/>
  <c r="J647" i="3"/>
  <c r="J655" i="3"/>
  <c r="J663" i="3"/>
  <c r="J671" i="3"/>
  <c r="J679" i="3"/>
  <c r="J687" i="3"/>
  <c r="J695" i="3"/>
  <c r="J719" i="3"/>
  <c r="J727" i="3"/>
  <c r="J743" i="3"/>
  <c r="J751" i="3"/>
  <c r="J759" i="3"/>
  <c r="J767" i="3"/>
  <c r="J791" i="3"/>
  <c r="J863" i="3"/>
  <c r="J983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F26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H2" i="3" a="1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4" i="3"/>
  <c r="C1605" i="3"/>
  <c r="C1606" i="3"/>
  <c r="C1607" i="3"/>
  <c r="C1608" i="3"/>
  <c r="C1609" i="3"/>
  <c r="C1610" i="3"/>
  <c r="C1612" i="3"/>
  <c r="C1613" i="3"/>
  <c r="C1614" i="3"/>
  <c r="C1615" i="3"/>
  <c r="C1616" i="3"/>
  <c r="C1617" i="3"/>
  <c r="C1618" i="3"/>
  <c r="C1620" i="3"/>
  <c r="C1621" i="3"/>
  <c r="C1622" i="3"/>
  <c r="C1623" i="3"/>
  <c r="C1624" i="3"/>
  <c r="C1625" i="3"/>
  <c r="C1626" i="3"/>
  <c r="C1628" i="3"/>
  <c r="C1629" i="3"/>
  <c r="C1630" i="3"/>
  <c r="C1631" i="3"/>
  <c r="C1632" i="3"/>
  <c r="C1633" i="3"/>
  <c r="C1634" i="3"/>
  <c r="C1637" i="3"/>
  <c r="C1638" i="3"/>
  <c r="C1639" i="3"/>
  <c r="C1640" i="3"/>
  <c r="C1641" i="3"/>
  <c r="C1642" i="3"/>
  <c r="C1645" i="3"/>
  <c r="C1646" i="3"/>
  <c r="C1647" i="3"/>
  <c r="C1648" i="3"/>
  <c r="C1649" i="3"/>
  <c r="C1650" i="3"/>
  <c r="C1653" i="3"/>
  <c r="C1654" i="3"/>
  <c r="C1655" i="3"/>
  <c r="C1656" i="3"/>
  <c r="C1657" i="3"/>
  <c r="C1658" i="3"/>
  <c r="C1661" i="3"/>
  <c r="C1662" i="3"/>
  <c r="C1663" i="3"/>
  <c r="C1664" i="3"/>
  <c r="C1665" i="3"/>
  <c r="C1666" i="3"/>
  <c r="C1669" i="3"/>
  <c r="C1670" i="3"/>
  <c r="C1671" i="3"/>
  <c r="C1672" i="3"/>
  <c r="C1673" i="3"/>
  <c r="C1674" i="3"/>
  <c r="C1677" i="3"/>
  <c r="C1678" i="3"/>
  <c r="C1680" i="3"/>
  <c r="C1681" i="3"/>
  <c r="C1682" i="3"/>
  <c r="C1685" i="3"/>
  <c r="C1686" i="3"/>
  <c r="C1688" i="3"/>
  <c r="C1689" i="3"/>
  <c r="C1690" i="3"/>
  <c r="C1693" i="3"/>
  <c r="C1694" i="3"/>
  <c r="C1696" i="3"/>
  <c r="C1697" i="3"/>
  <c r="C1698" i="3"/>
  <c r="C1701" i="3"/>
  <c r="C1702" i="3"/>
  <c r="C1704" i="3"/>
  <c r="C1705" i="3"/>
  <c r="C1706" i="3"/>
  <c r="C1709" i="3"/>
  <c r="C1710" i="3"/>
  <c r="C1713" i="3"/>
  <c r="C1714" i="3"/>
  <c r="C1717" i="3"/>
  <c r="C1718" i="3"/>
  <c r="C1721" i="3"/>
  <c r="C1722" i="3"/>
  <c r="C1725" i="3"/>
  <c r="C1726" i="3"/>
  <c r="C1729" i="3"/>
  <c r="C1730" i="3"/>
  <c r="C1733" i="3"/>
  <c r="C1734" i="3"/>
  <c r="C1737" i="3"/>
  <c r="C1738" i="3"/>
  <c r="C1741" i="3"/>
  <c r="C1742" i="3"/>
  <c r="C1745" i="3"/>
  <c r="C1746" i="3"/>
  <c r="C1749" i="3"/>
  <c r="C1750" i="3"/>
  <c r="C1753" i="3"/>
  <c r="C1754" i="3"/>
  <c r="C1757" i="3"/>
  <c r="C1758" i="3"/>
  <c r="C1762" i="3"/>
  <c r="C1763" i="3"/>
  <c r="C1764" i="3"/>
  <c r="C1766" i="3"/>
  <c r="C1768" i="3"/>
  <c r="C1770" i="3"/>
  <c r="C1773" i="3"/>
  <c r="C1774" i="3"/>
  <c r="C1778" i="3"/>
  <c r="C1779" i="3"/>
  <c r="C1780" i="3"/>
  <c r="C1782" i="3"/>
  <c r="C1784" i="3"/>
  <c r="C1786" i="3"/>
  <c r="C1789" i="3"/>
  <c r="C1790" i="3"/>
  <c r="C1794" i="3"/>
  <c r="C1795" i="3"/>
  <c r="C1796" i="3"/>
  <c r="C1798" i="3"/>
  <c r="C1800" i="3"/>
  <c r="C1802" i="3"/>
  <c r="C1805" i="3"/>
  <c r="C1806" i="3"/>
  <c r="C1812" i="3"/>
  <c r="C1816" i="3"/>
  <c r="C1818" i="3"/>
  <c r="C1821" i="3"/>
  <c r="C1822" i="3"/>
  <c r="C1827" i="3"/>
  <c r="C1828" i="3"/>
  <c r="C1832" i="3"/>
  <c r="C1834" i="3"/>
  <c r="C1837" i="3"/>
  <c r="C1838" i="3"/>
  <c r="C1844" i="3"/>
  <c r="C1848" i="3"/>
  <c r="C1850" i="3"/>
  <c r="C1853" i="3"/>
  <c r="C1854" i="3"/>
  <c r="C1859" i="3"/>
  <c r="C1860" i="3"/>
  <c r="C1864" i="3"/>
  <c r="C1866" i="3"/>
  <c r="C1869" i="3"/>
  <c r="C1870" i="3"/>
  <c r="C1876" i="3"/>
  <c r="C1880" i="3"/>
  <c r="C1882" i="3"/>
  <c r="C1885" i="3"/>
  <c r="C1886" i="3"/>
  <c r="C1891" i="3"/>
  <c r="C1892" i="3"/>
  <c r="C1896" i="3"/>
  <c r="C1898" i="3"/>
  <c r="C1901" i="3"/>
  <c r="C1902" i="3"/>
  <c r="C1908" i="3"/>
  <c r="C1912" i="3"/>
  <c r="C1914" i="3"/>
  <c r="C1917" i="3"/>
  <c r="C1918" i="3"/>
  <c r="C1923" i="3"/>
  <c r="C1924" i="3"/>
  <c r="C1928" i="3"/>
  <c r="C1930" i="3"/>
  <c r="C1933" i="3"/>
  <c r="C1934" i="3"/>
  <c r="C1940" i="3"/>
  <c r="C1944" i="3"/>
  <c r="C1946" i="3"/>
  <c r="C1949" i="3"/>
  <c r="C1950" i="3"/>
  <c r="C1955" i="3"/>
  <c r="C1956" i="3"/>
  <c r="C1960" i="3"/>
  <c r="C1962" i="3"/>
  <c r="C1965" i="3"/>
  <c r="C1966" i="3"/>
  <c r="C1976" i="3"/>
  <c r="C1978" i="3"/>
  <c r="C1981" i="3"/>
  <c r="C1982" i="3"/>
  <c r="C1992" i="3"/>
  <c r="C1994" i="3"/>
  <c r="C1997" i="3"/>
  <c r="C1998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7" i="3"/>
  <c r="B1638" i="3"/>
  <c r="B1639" i="3"/>
  <c r="B1640" i="3"/>
  <c r="B1641" i="3"/>
  <c r="B1642" i="3"/>
  <c r="B1643" i="3"/>
  <c r="B1645" i="3"/>
  <c r="B1646" i="3"/>
  <c r="B1647" i="3"/>
  <c r="B1648" i="3"/>
  <c r="B1649" i="3"/>
  <c r="B1650" i="3"/>
  <c r="B1651" i="3"/>
  <c r="B1653" i="3"/>
  <c r="B1654" i="3"/>
  <c r="B1655" i="3"/>
  <c r="B1656" i="3"/>
  <c r="B1657" i="3"/>
  <c r="B1658" i="3"/>
  <c r="B1659" i="3"/>
  <c r="B1661" i="3"/>
  <c r="B1662" i="3"/>
  <c r="B1663" i="3"/>
  <c r="B1664" i="3"/>
  <c r="B1665" i="3"/>
  <c r="B1666" i="3"/>
  <c r="B1667" i="3"/>
  <c r="B1669" i="3"/>
  <c r="B1670" i="3"/>
  <c r="B1671" i="3"/>
  <c r="B1672" i="3"/>
  <c r="B1673" i="3"/>
  <c r="B1674" i="3"/>
  <c r="B1675" i="3"/>
  <c r="B1677" i="3"/>
  <c r="B1678" i="3"/>
  <c r="B1680" i="3"/>
  <c r="B1681" i="3"/>
  <c r="B1682" i="3"/>
  <c r="B1683" i="3"/>
  <c r="B1685" i="3"/>
  <c r="B1686" i="3"/>
  <c r="B1688" i="3"/>
  <c r="B1689" i="3"/>
  <c r="B1690" i="3"/>
  <c r="B1691" i="3"/>
  <c r="B1693" i="3"/>
  <c r="B1694" i="3"/>
  <c r="B1696" i="3"/>
  <c r="B1697" i="3"/>
  <c r="B1698" i="3"/>
  <c r="B1699" i="3"/>
  <c r="B1701" i="3"/>
  <c r="B1702" i="3"/>
  <c r="B1704" i="3"/>
  <c r="B1705" i="3"/>
  <c r="B1706" i="3"/>
  <c r="B1707" i="3"/>
  <c r="B1709" i="3"/>
  <c r="B1710" i="3"/>
  <c r="B1713" i="3"/>
  <c r="B1714" i="3"/>
  <c r="B1715" i="3"/>
  <c r="B1717" i="3"/>
  <c r="B1718" i="3"/>
  <c r="B1721" i="3"/>
  <c r="B1722" i="3"/>
  <c r="B1723" i="3"/>
  <c r="B1725" i="3"/>
  <c r="B1726" i="3"/>
  <c r="B1729" i="3"/>
  <c r="B1730" i="3"/>
  <c r="B1731" i="3"/>
  <c r="B1733" i="3"/>
  <c r="B1734" i="3"/>
  <c r="B1737" i="3"/>
  <c r="B1738" i="3"/>
  <c r="B1739" i="3"/>
  <c r="B1741" i="3"/>
  <c r="B1742" i="3"/>
  <c r="B1745" i="3"/>
  <c r="B1746" i="3"/>
  <c r="B1747" i="3"/>
  <c r="B1749" i="3"/>
  <c r="B1750" i="3"/>
  <c r="B1753" i="3"/>
  <c r="B1754" i="3"/>
  <c r="B1755" i="3"/>
  <c r="B1757" i="3"/>
  <c r="B1758" i="3"/>
  <c r="B1761" i="3"/>
  <c r="B1762" i="3"/>
  <c r="B1763" i="3"/>
  <c r="B1765" i="3"/>
  <c r="B1766" i="3"/>
  <c r="B1769" i="3"/>
  <c r="B1770" i="3"/>
  <c r="B1771" i="3"/>
  <c r="B1773" i="3"/>
  <c r="B1774" i="3"/>
  <c r="B1778" i="3"/>
  <c r="B1779" i="3"/>
  <c r="B1780" i="3"/>
  <c r="B1782" i="3"/>
  <c r="B1783" i="3"/>
  <c r="B1786" i="3"/>
  <c r="B1787" i="3"/>
  <c r="B1788" i="3"/>
  <c r="B1790" i="3"/>
  <c r="B1791" i="3"/>
  <c r="B1794" i="3"/>
  <c r="B1795" i="3"/>
  <c r="B1796" i="3"/>
  <c r="B1798" i="3"/>
  <c r="B1799" i="3"/>
  <c r="B1802" i="3"/>
  <c r="B1803" i="3"/>
  <c r="B1804" i="3"/>
  <c r="B1806" i="3"/>
  <c r="B1807" i="3"/>
  <c r="B1810" i="3"/>
  <c r="B1811" i="3"/>
  <c r="B1812" i="3"/>
  <c r="B1814" i="3"/>
  <c r="B1815" i="3"/>
  <c r="B1818" i="3"/>
  <c r="B1819" i="3"/>
  <c r="B1820" i="3"/>
  <c r="B1822" i="3"/>
  <c r="B1823" i="3"/>
  <c r="B1826" i="3"/>
  <c r="B1827" i="3"/>
  <c r="B1828" i="3"/>
  <c r="B1830" i="3"/>
  <c r="B1831" i="3"/>
  <c r="B1834" i="3"/>
  <c r="B1835" i="3"/>
  <c r="B1836" i="3"/>
  <c r="B1838" i="3"/>
  <c r="B1839" i="3"/>
  <c r="B1842" i="3"/>
  <c r="B1843" i="3"/>
  <c r="B1844" i="3"/>
  <c r="B1846" i="3"/>
  <c r="B1847" i="3"/>
  <c r="B1850" i="3"/>
  <c r="B1851" i="3"/>
  <c r="B1852" i="3"/>
  <c r="B1854" i="3"/>
  <c r="B1855" i="3"/>
  <c r="B1858" i="3"/>
  <c r="B1859" i="3"/>
  <c r="B1860" i="3"/>
  <c r="B1862" i="3"/>
  <c r="B1863" i="3"/>
  <c r="B1866" i="3"/>
  <c r="B1867" i="3"/>
  <c r="B1868" i="3"/>
  <c r="B1870" i="3"/>
  <c r="B1871" i="3"/>
  <c r="B1874" i="3"/>
  <c r="B1875" i="3"/>
  <c r="B1876" i="3"/>
  <c r="B1878" i="3"/>
  <c r="B1879" i="3"/>
  <c r="B1882" i="3"/>
  <c r="B1883" i="3"/>
  <c r="B1884" i="3"/>
  <c r="B1886" i="3"/>
  <c r="B1887" i="3"/>
  <c r="B1890" i="3"/>
  <c r="B1892" i="3"/>
  <c r="B1894" i="3"/>
  <c r="B1895" i="3"/>
  <c r="B1898" i="3"/>
  <c r="B1899" i="3"/>
  <c r="B1900" i="3"/>
  <c r="B1902" i="3"/>
  <c r="B1903" i="3"/>
  <c r="B1906" i="3"/>
  <c r="B1907" i="3"/>
  <c r="B1908" i="3"/>
  <c r="B1910" i="3"/>
  <c r="B1911" i="3"/>
  <c r="B1914" i="3"/>
  <c r="B1915" i="3"/>
  <c r="B1916" i="3"/>
  <c r="B1918" i="3"/>
  <c r="B1919" i="3"/>
  <c r="B1922" i="3"/>
  <c r="B1924" i="3"/>
  <c r="B1926" i="3"/>
  <c r="B1927" i="3"/>
  <c r="B1928" i="3"/>
  <c r="B1930" i="3"/>
  <c r="B1931" i="3"/>
  <c r="B1932" i="3"/>
  <c r="B1934" i="3"/>
  <c r="B1935" i="3"/>
  <c r="B1936" i="3"/>
  <c r="B1938" i="3"/>
  <c r="B1940" i="3"/>
  <c r="B1942" i="3"/>
  <c r="B1943" i="3"/>
  <c r="B1944" i="3"/>
  <c r="B1946" i="3"/>
  <c r="B1947" i="3"/>
  <c r="B1948" i="3"/>
  <c r="B1950" i="3"/>
  <c r="B1951" i="3"/>
  <c r="B1952" i="3"/>
  <c r="B1954" i="3"/>
  <c r="B1956" i="3"/>
  <c r="B1958" i="3"/>
  <c r="B1959" i="3"/>
  <c r="B1960" i="3"/>
  <c r="B1962" i="3"/>
  <c r="B1963" i="3"/>
  <c r="B1964" i="3"/>
  <c r="B1966" i="3"/>
  <c r="B1967" i="3"/>
  <c r="B1968" i="3"/>
  <c r="B1970" i="3"/>
  <c r="B1974" i="3"/>
  <c r="B1975" i="3"/>
  <c r="B1976" i="3"/>
  <c r="B1978" i="3"/>
  <c r="B1982" i="3"/>
  <c r="B1983" i="3"/>
  <c r="B1984" i="3"/>
  <c r="B1986" i="3"/>
  <c r="B1990" i="3"/>
  <c r="B1991" i="3"/>
  <c r="B1992" i="3"/>
  <c r="B1994" i="3"/>
  <c r="B1998" i="3"/>
  <c r="B1999" i="3"/>
  <c r="B2000" i="3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2" i="1"/>
  <c r="L2" i="1" s="1"/>
  <c r="H79" i="1" l="1"/>
  <c r="H87" i="1"/>
  <c r="H95" i="1"/>
  <c r="H103" i="1"/>
  <c r="H111" i="1"/>
  <c r="H50" i="1"/>
  <c r="H5" i="1"/>
  <c r="H13" i="1"/>
  <c r="H21" i="1"/>
  <c r="H29" i="1"/>
  <c r="H37" i="1"/>
  <c r="H45" i="1"/>
  <c r="H121" i="1"/>
  <c r="H129" i="1"/>
  <c r="H137" i="1"/>
  <c r="H145" i="1"/>
  <c r="H153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1" i="1"/>
  <c r="H289" i="1"/>
  <c r="H297" i="1"/>
  <c r="H305" i="1"/>
  <c r="H313" i="1"/>
  <c r="H321" i="1"/>
  <c r="H329" i="1"/>
  <c r="H337" i="1"/>
  <c r="H345" i="1"/>
  <c r="H353" i="1"/>
  <c r="H361" i="1"/>
  <c r="H369" i="1"/>
  <c r="H377" i="1"/>
  <c r="H385" i="1"/>
  <c r="H393" i="1"/>
  <c r="H401" i="1"/>
  <c r="H409" i="1"/>
  <c r="H417" i="1"/>
  <c r="H425" i="1"/>
  <c r="H433" i="1"/>
  <c r="H441" i="1"/>
  <c r="H449" i="1"/>
  <c r="H457" i="1"/>
  <c r="H465" i="1"/>
  <c r="H473" i="1"/>
  <c r="H481" i="1"/>
  <c r="H489" i="1"/>
  <c r="H497" i="1"/>
  <c r="H505" i="1"/>
  <c r="H513" i="1"/>
  <c r="H521" i="1"/>
  <c r="H529" i="1"/>
  <c r="H537" i="1"/>
  <c r="H545" i="1"/>
  <c r="H553" i="1"/>
  <c r="H561" i="1"/>
  <c r="H569" i="1"/>
  <c r="H577" i="1"/>
  <c r="H585" i="1"/>
  <c r="H593" i="1"/>
  <c r="H601" i="1"/>
  <c r="H609" i="1"/>
  <c r="H617" i="1"/>
  <c r="H625" i="1"/>
  <c r="H633" i="1"/>
  <c r="H72" i="1"/>
  <c r="H80" i="1"/>
  <c r="H88" i="1"/>
  <c r="H96" i="1"/>
  <c r="H104" i="1"/>
  <c r="H112" i="1"/>
  <c r="H51" i="1"/>
  <c r="H6" i="1"/>
  <c r="H14" i="1"/>
  <c r="H22" i="1"/>
  <c r="H30" i="1"/>
  <c r="H38" i="1"/>
  <c r="H46" i="1"/>
  <c r="H122" i="1"/>
  <c r="H130" i="1"/>
  <c r="H138" i="1"/>
  <c r="H146" i="1"/>
  <c r="H154" i="1"/>
  <c r="H162" i="1"/>
  <c r="H170" i="1"/>
  <c r="H178" i="1"/>
  <c r="H186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H298" i="1"/>
  <c r="H306" i="1"/>
  <c r="H314" i="1"/>
  <c r="H322" i="1"/>
  <c r="H330" i="1"/>
  <c r="H338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8" i="1"/>
  <c r="H546" i="1"/>
  <c r="H554" i="1"/>
  <c r="H562" i="1"/>
  <c r="H570" i="1"/>
  <c r="H578" i="1"/>
  <c r="H586" i="1"/>
  <c r="H594" i="1"/>
  <c r="H602" i="1"/>
  <c r="H610" i="1"/>
  <c r="H618" i="1"/>
  <c r="H73" i="1"/>
  <c r="H81" i="1"/>
  <c r="H89" i="1"/>
  <c r="H97" i="1"/>
  <c r="H105" i="1"/>
  <c r="H113" i="1"/>
  <c r="H52" i="1"/>
  <c r="H7" i="1"/>
  <c r="H15" i="1"/>
  <c r="H23" i="1"/>
  <c r="H31" i="1"/>
  <c r="H39" i="1"/>
  <c r="H47" i="1"/>
  <c r="H123" i="1"/>
  <c r="H131" i="1"/>
  <c r="H139" i="1"/>
  <c r="H147" i="1"/>
  <c r="H155" i="1"/>
  <c r="H163" i="1"/>
  <c r="H171" i="1"/>
  <c r="H179" i="1"/>
  <c r="H187" i="1"/>
  <c r="H195" i="1"/>
  <c r="H203" i="1"/>
  <c r="H211" i="1"/>
  <c r="H219" i="1"/>
  <c r="H227" i="1"/>
  <c r="H235" i="1"/>
  <c r="H243" i="1"/>
  <c r="H251" i="1"/>
  <c r="H259" i="1"/>
  <c r="H267" i="1"/>
  <c r="H275" i="1"/>
  <c r="H283" i="1"/>
  <c r="H291" i="1"/>
  <c r="H299" i="1"/>
  <c r="H307" i="1"/>
  <c r="H315" i="1"/>
  <c r="H323" i="1"/>
  <c r="H331" i="1"/>
  <c r="H339" i="1"/>
  <c r="H347" i="1"/>
  <c r="H355" i="1"/>
  <c r="H363" i="1"/>
  <c r="H371" i="1"/>
  <c r="H379" i="1"/>
  <c r="H387" i="1"/>
  <c r="H395" i="1"/>
  <c r="H403" i="1"/>
  <c r="H411" i="1"/>
  <c r="H419" i="1"/>
  <c r="H427" i="1"/>
  <c r="H435" i="1"/>
  <c r="H443" i="1"/>
  <c r="H451" i="1"/>
  <c r="H459" i="1"/>
  <c r="H467" i="1"/>
  <c r="H475" i="1"/>
  <c r="H483" i="1"/>
  <c r="H491" i="1"/>
  <c r="H499" i="1"/>
  <c r="H507" i="1"/>
  <c r="H515" i="1"/>
  <c r="H523" i="1"/>
  <c r="H531" i="1"/>
  <c r="H539" i="1"/>
  <c r="H547" i="1"/>
  <c r="H555" i="1"/>
  <c r="H563" i="1"/>
  <c r="H571" i="1"/>
  <c r="H579" i="1"/>
  <c r="H587" i="1"/>
  <c r="H595" i="1"/>
  <c r="H603" i="1"/>
  <c r="H611" i="1"/>
  <c r="H619" i="1"/>
  <c r="H74" i="1"/>
  <c r="H82" i="1"/>
  <c r="H90" i="1"/>
  <c r="H98" i="1"/>
  <c r="H106" i="1"/>
  <c r="H114" i="1"/>
  <c r="H53" i="1"/>
  <c r="H8" i="1"/>
  <c r="H16" i="1"/>
  <c r="H24" i="1"/>
  <c r="H32" i="1"/>
  <c r="H40" i="1"/>
  <c r="H2" i="1"/>
  <c r="H124" i="1"/>
  <c r="H132" i="1"/>
  <c r="H140" i="1"/>
  <c r="H148" i="1"/>
  <c r="H156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75" i="1"/>
  <c r="H83" i="1"/>
  <c r="H91" i="1"/>
  <c r="H99" i="1"/>
  <c r="H107" i="1"/>
  <c r="H115" i="1"/>
  <c r="H54" i="1"/>
  <c r="H9" i="1"/>
  <c r="H17" i="1"/>
  <c r="H25" i="1"/>
  <c r="H33" i="1"/>
  <c r="H41" i="1"/>
  <c r="H117" i="1"/>
  <c r="H125" i="1"/>
  <c r="H133" i="1"/>
  <c r="H141" i="1"/>
  <c r="H149" i="1"/>
  <c r="H157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381" i="1"/>
  <c r="H389" i="1"/>
  <c r="H397" i="1"/>
  <c r="H405" i="1"/>
  <c r="H413" i="1"/>
  <c r="H421" i="1"/>
  <c r="H429" i="1"/>
  <c r="H437" i="1"/>
  <c r="H445" i="1"/>
  <c r="H453" i="1"/>
  <c r="H461" i="1"/>
  <c r="H469" i="1"/>
  <c r="H477" i="1"/>
  <c r="H485" i="1"/>
  <c r="H493" i="1"/>
  <c r="H501" i="1"/>
  <c r="H509" i="1"/>
  <c r="H517" i="1"/>
  <c r="H525" i="1"/>
  <c r="H533" i="1"/>
  <c r="H541" i="1"/>
  <c r="H549" i="1"/>
  <c r="H557" i="1"/>
  <c r="H565" i="1"/>
  <c r="H573" i="1"/>
  <c r="H581" i="1"/>
  <c r="H589" i="1"/>
  <c r="H76" i="1"/>
  <c r="H84" i="1"/>
  <c r="H92" i="1"/>
  <c r="H100" i="1"/>
  <c r="H108" i="1"/>
  <c r="H71" i="1"/>
  <c r="H49" i="1"/>
  <c r="H10" i="1"/>
  <c r="H18" i="1"/>
  <c r="H26" i="1"/>
  <c r="H34" i="1"/>
  <c r="H42" i="1"/>
  <c r="H118" i="1"/>
  <c r="H126" i="1"/>
  <c r="H134" i="1"/>
  <c r="H142" i="1"/>
  <c r="H150" i="1"/>
  <c r="H158" i="1"/>
  <c r="H166" i="1"/>
  <c r="H174" i="1"/>
  <c r="H182" i="1"/>
  <c r="H190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302" i="1"/>
  <c r="H310" i="1"/>
  <c r="H318" i="1"/>
  <c r="H326" i="1"/>
  <c r="H334" i="1"/>
  <c r="H342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534" i="1"/>
  <c r="H542" i="1"/>
  <c r="H550" i="1"/>
  <c r="H558" i="1"/>
  <c r="H566" i="1"/>
  <c r="H574" i="1"/>
  <c r="H582" i="1"/>
  <c r="H590" i="1"/>
  <c r="H598" i="1"/>
  <c r="H606" i="1"/>
  <c r="H614" i="1"/>
  <c r="H622" i="1"/>
  <c r="H630" i="1"/>
  <c r="H77" i="1"/>
  <c r="H85" i="1"/>
  <c r="H93" i="1"/>
  <c r="H101" i="1"/>
  <c r="H109" i="1"/>
  <c r="H68" i="1"/>
  <c r="H3" i="1"/>
  <c r="H11" i="1"/>
  <c r="H19" i="1"/>
  <c r="H102" i="1"/>
  <c r="H35" i="1"/>
  <c r="H135" i="1"/>
  <c r="H167" i="1"/>
  <c r="H199" i="1"/>
  <c r="H231" i="1"/>
  <c r="H263" i="1"/>
  <c r="H295" i="1"/>
  <c r="H327" i="1"/>
  <c r="H359" i="1"/>
  <c r="H391" i="1"/>
  <c r="H423" i="1"/>
  <c r="H455" i="1"/>
  <c r="H487" i="1"/>
  <c r="H519" i="1"/>
  <c r="H551" i="1"/>
  <c r="H583" i="1"/>
  <c r="H607" i="1"/>
  <c r="H626" i="1"/>
  <c r="H638" i="1"/>
  <c r="H646" i="1"/>
  <c r="H654" i="1"/>
  <c r="H662" i="1"/>
  <c r="H670" i="1"/>
  <c r="H678" i="1"/>
  <c r="H686" i="1"/>
  <c r="H694" i="1"/>
  <c r="H702" i="1"/>
  <c r="H710" i="1"/>
  <c r="H718" i="1"/>
  <c r="H726" i="1"/>
  <c r="H734" i="1"/>
  <c r="H742" i="1"/>
  <c r="H750" i="1"/>
  <c r="H758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10" i="1"/>
  <c r="H36" i="1"/>
  <c r="H136" i="1"/>
  <c r="H168" i="1"/>
  <c r="H200" i="1"/>
  <c r="H232" i="1"/>
  <c r="H264" i="1"/>
  <c r="H296" i="1"/>
  <c r="H328" i="1"/>
  <c r="H360" i="1"/>
  <c r="H392" i="1"/>
  <c r="H424" i="1"/>
  <c r="H456" i="1"/>
  <c r="H488" i="1"/>
  <c r="H520" i="1"/>
  <c r="H552" i="1"/>
  <c r="H584" i="1"/>
  <c r="H608" i="1"/>
  <c r="H627" i="1"/>
  <c r="H639" i="1"/>
  <c r="H647" i="1"/>
  <c r="H655" i="1"/>
  <c r="H663" i="1"/>
  <c r="H671" i="1"/>
  <c r="H679" i="1"/>
  <c r="H687" i="1"/>
  <c r="H695" i="1"/>
  <c r="H703" i="1"/>
  <c r="H711" i="1"/>
  <c r="H719" i="1"/>
  <c r="H727" i="1"/>
  <c r="H735" i="1"/>
  <c r="H743" i="1"/>
  <c r="H751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927" i="1"/>
  <c r="H935" i="1"/>
  <c r="H943" i="1"/>
  <c r="H951" i="1"/>
  <c r="H959" i="1"/>
  <c r="H967" i="1"/>
  <c r="H975" i="1"/>
  <c r="H983" i="1"/>
  <c r="H991" i="1"/>
  <c r="H999" i="1"/>
  <c r="H1007" i="1"/>
  <c r="H1015" i="1"/>
  <c r="H55" i="1"/>
  <c r="H43" i="1"/>
  <c r="H143" i="1"/>
  <c r="H175" i="1"/>
  <c r="H207" i="1"/>
  <c r="H239" i="1"/>
  <c r="H271" i="1"/>
  <c r="H303" i="1"/>
  <c r="H335" i="1"/>
  <c r="H367" i="1"/>
  <c r="H399" i="1"/>
  <c r="H431" i="1"/>
  <c r="H463" i="1"/>
  <c r="H495" i="1"/>
  <c r="H527" i="1"/>
  <c r="H559" i="1"/>
  <c r="H591" i="1"/>
  <c r="H613" i="1"/>
  <c r="H629" i="1"/>
  <c r="H640" i="1"/>
  <c r="H648" i="1"/>
  <c r="H656" i="1"/>
  <c r="H664" i="1"/>
  <c r="H672" i="1"/>
  <c r="H680" i="1"/>
  <c r="H688" i="1"/>
  <c r="H696" i="1"/>
  <c r="H704" i="1"/>
  <c r="H712" i="1"/>
  <c r="H720" i="1"/>
  <c r="H728" i="1"/>
  <c r="H736" i="1"/>
  <c r="H744" i="1"/>
  <c r="H752" i="1"/>
  <c r="H760" i="1"/>
  <c r="H768" i="1"/>
  <c r="H776" i="1"/>
  <c r="H784" i="1"/>
  <c r="H792" i="1"/>
  <c r="H800" i="1"/>
  <c r="H808" i="1"/>
  <c r="H816" i="1"/>
  <c r="H824" i="1"/>
  <c r="H832" i="1"/>
  <c r="H840" i="1"/>
  <c r="H848" i="1"/>
  <c r="H856" i="1"/>
  <c r="H864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8" i="1"/>
  <c r="H976" i="1"/>
  <c r="H984" i="1"/>
  <c r="H992" i="1"/>
  <c r="H1000" i="1"/>
  <c r="H1008" i="1"/>
  <c r="H1016" i="1"/>
  <c r="H1024" i="1"/>
  <c r="H1032" i="1"/>
  <c r="H1040" i="1"/>
  <c r="H1048" i="1"/>
  <c r="H1056" i="1"/>
  <c r="H1064" i="1"/>
  <c r="H1072" i="1"/>
  <c r="H1080" i="1"/>
  <c r="H1088" i="1"/>
  <c r="H1096" i="1"/>
  <c r="H1104" i="1"/>
  <c r="H1112" i="1"/>
  <c r="H1120" i="1"/>
  <c r="H1128" i="1"/>
  <c r="H4" i="1"/>
  <c r="H44" i="1"/>
  <c r="H144" i="1"/>
  <c r="H176" i="1"/>
  <c r="H208" i="1"/>
  <c r="H240" i="1"/>
  <c r="H272" i="1"/>
  <c r="H304" i="1"/>
  <c r="H336" i="1"/>
  <c r="H368" i="1"/>
  <c r="H400" i="1"/>
  <c r="H432" i="1"/>
  <c r="H464" i="1"/>
  <c r="H496" i="1"/>
  <c r="H528" i="1"/>
  <c r="H560" i="1"/>
  <c r="H592" i="1"/>
  <c r="H615" i="1"/>
  <c r="H631" i="1"/>
  <c r="H641" i="1"/>
  <c r="H649" i="1"/>
  <c r="H657" i="1"/>
  <c r="H665" i="1"/>
  <c r="H673" i="1"/>
  <c r="H681" i="1"/>
  <c r="H689" i="1"/>
  <c r="H697" i="1"/>
  <c r="H705" i="1"/>
  <c r="H713" i="1"/>
  <c r="H721" i="1"/>
  <c r="H729" i="1"/>
  <c r="H737" i="1"/>
  <c r="H745" i="1"/>
  <c r="H753" i="1"/>
  <c r="H761" i="1"/>
  <c r="H769" i="1"/>
  <c r="H777" i="1"/>
  <c r="H785" i="1"/>
  <c r="H793" i="1"/>
  <c r="H801" i="1"/>
  <c r="H809" i="1"/>
  <c r="H817" i="1"/>
  <c r="H825" i="1"/>
  <c r="H833" i="1"/>
  <c r="H841" i="1"/>
  <c r="H849" i="1"/>
  <c r="H857" i="1"/>
  <c r="H865" i="1"/>
  <c r="H873" i="1"/>
  <c r="H881" i="1"/>
  <c r="H889" i="1"/>
  <c r="H897" i="1"/>
  <c r="H905" i="1"/>
  <c r="H913" i="1"/>
  <c r="H921" i="1"/>
  <c r="H929" i="1"/>
  <c r="H937" i="1"/>
  <c r="H945" i="1"/>
  <c r="H953" i="1"/>
  <c r="H961" i="1"/>
  <c r="H969" i="1"/>
  <c r="H977" i="1"/>
  <c r="H985" i="1"/>
  <c r="H993" i="1"/>
  <c r="H1001" i="1"/>
  <c r="H1009" i="1"/>
  <c r="H1017" i="1"/>
  <c r="H1025" i="1"/>
  <c r="H1033" i="1"/>
  <c r="H1041" i="1"/>
  <c r="H1049" i="1"/>
  <c r="H1057" i="1"/>
  <c r="H1065" i="1"/>
  <c r="H1073" i="1"/>
  <c r="H1081" i="1"/>
  <c r="H1089" i="1"/>
  <c r="H1097" i="1"/>
  <c r="H1105" i="1"/>
  <c r="H1113" i="1"/>
  <c r="H1121" i="1"/>
  <c r="H1129" i="1"/>
  <c r="H1137" i="1"/>
  <c r="H1145" i="1"/>
  <c r="H1153" i="1"/>
  <c r="H1161" i="1"/>
  <c r="H12" i="1"/>
  <c r="H119" i="1"/>
  <c r="H151" i="1"/>
  <c r="H183" i="1"/>
  <c r="H215" i="1"/>
  <c r="H247" i="1"/>
  <c r="H279" i="1"/>
  <c r="H311" i="1"/>
  <c r="H343" i="1"/>
  <c r="H375" i="1"/>
  <c r="H407" i="1"/>
  <c r="H439" i="1"/>
  <c r="H471" i="1"/>
  <c r="H503" i="1"/>
  <c r="H535" i="1"/>
  <c r="H567" i="1"/>
  <c r="H597" i="1"/>
  <c r="H616" i="1"/>
  <c r="H632" i="1"/>
  <c r="H642" i="1"/>
  <c r="H650" i="1"/>
  <c r="H658" i="1"/>
  <c r="H666" i="1"/>
  <c r="H674" i="1"/>
  <c r="H682" i="1"/>
  <c r="H690" i="1"/>
  <c r="H698" i="1"/>
  <c r="H706" i="1"/>
  <c r="H714" i="1"/>
  <c r="H722" i="1"/>
  <c r="H730" i="1"/>
  <c r="H738" i="1"/>
  <c r="H746" i="1"/>
  <c r="H754" i="1"/>
  <c r="H762" i="1"/>
  <c r="H770" i="1"/>
  <c r="H778" i="1"/>
  <c r="H786" i="1"/>
  <c r="H794" i="1"/>
  <c r="H802" i="1"/>
  <c r="H810" i="1"/>
  <c r="H818" i="1"/>
  <c r="H826" i="1"/>
  <c r="H834" i="1"/>
  <c r="H842" i="1"/>
  <c r="H850" i="1"/>
  <c r="H858" i="1"/>
  <c r="H866" i="1"/>
  <c r="H874" i="1"/>
  <c r="H882" i="1"/>
  <c r="H890" i="1"/>
  <c r="H898" i="1"/>
  <c r="H906" i="1"/>
  <c r="H914" i="1"/>
  <c r="H922" i="1"/>
  <c r="H930" i="1"/>
  <c r="H938" i="1"/>
  <c r="H946" i="1"/>
  <c r="H954" i="1"/>
  <c r="H962" i="1"/>
  <c r="H970" i="1"/>
  <c r="H978" i="1"/>
  <c r="H986" i="1"/>
  <c r="H994" i="1"/>
  <c r="H1002" i="1"/>
  <c r="H1010" i="1"/>
  <c r="H1018" i="1"/>
  <c r="H1026" i="1"/>
  <c r="H1034" i="1"/>
  <c r="H1042" i="1"/>
  <c r="H1050" i="1"/>
  <c r="H1058" i="1"/>
  <c r="H1066" i="1"/>
  <c r="H1074" i="1"/>
  <c r="H1082" i="1"/>
  <c r="H1090" i="1"/>
  <c r="H1098" i="1"/>
  <c r="H1106" i="1"/>
  <c r="H1114" i="1"/>
  <c r="H1122" i="1"/>
  <c r="H86" i="1"/>
  <c r="H27" i="1"/>
  <c r="H127" i="1"/>
  <c r="H159" i="1"/>
  <c r="H191" i="1"/>
  <c r="H223" i="1"/>
  <c r="H255" i="1"/>
  <c r="H287" i="1"/>
  <c r="H319" i="1"/>
  <c r="H351" i="1"/>
  <c r="H383" i="1"/>
  <c r="H415" i="1"/>
  <c r="H447" i="1"/>
  <c r="H479" i="1"/>
  <c r="H511" i="1"/>
  <c r="H543" i="1"/>
  <c r="H575" i="1"/>
  <c r="H600" i="1"/>
  <c r="H623" i="1"/>
  <c r="H635" i="1"/>
  <c r="H644" i="1"/>
  <c r="H652" i="1"/>
  <c r="H660" i="1"/>
  <c r="H668" i="1"/>
  <c r="H676" i="1"/>
  <c r="H684" i="1"/>
  <c r="H692" i="1"/>
  <c r="H700" i="1"/>
  <c r="H708" i="1"/>
  <c r="H716" i="1"/>
  <c r="H724" i="1"/>
  <c r="H732" i="1"/>
  <c r="H740" i="1"/>
  <c r="H748" i="1"/>
  <c r="H756" i="1"/>
  <c r="H764" i="1"/>
  <c r="H772" i="1"/>
  <c r="H780" i="1"/>
  <c r="H788" i="1"/>
  <c r="H796" i="1"/>
  <c r="H804" i="1"/>
  <c r="H812" i="1"/>
  <c r="H820" i="1"/>
  <c r="H828" i="1"/>
  <c r="H836" i="1"/>
  <c r="H844" i="1"/>
  <c r="H852" i="1"/>
  <c r="H860" i="1"/>
  <c r="H868" i="1"/>
  <c r="H876" i="1"/>
  <c r="H884" i="1"/>
  <c r="H892" i="1"/>
  <c r="H900" i="1"/>
  <c r="H908" i="1"/>
  <c r="H916" i="1"/>
  <c r="H924" i="1"/>
  <c r="H932" i="1"/>
  <c r="H940" i="1"/>
  <c r="H948" i="1"/>
  <c r="H956" i="1"/>
  <c r="H964" i="1"/>
  <c r="H972" i="1"/>
  <c r="H980" i="1"/>
  <c r="H988" i="1"/>
  <c r="H996" i="1"/>
  <c r="H1004" i="1"/>
  <c r="H1012" i="1"/>
  <c r="H1020" i="1"/>
  <c r="H1028" i="1"/>
  <c r="H1036" i="1"/>
  <c r="H1044" i="1"/>
  <c r="H1052" i="1"/>
  <c r="H94" i="1"/>
  <c r="H28" i="1"/>
  <c r="H128" i="1"/>
  <c r="H160" i="1"/>
  <c r="H192" i="1"/>
  <c r="H224" i="1"/>
  <c r="H256" i="1"/>
  <c r="H288" i="1"/>
  <c r="H320" i="1"/>
  <c r="H352" i="1"/>
  <c r="H384" i="1"/>
  <c r="H416" i="1"/>
  <c r="H448" i="1"/>
  <c r="H480" i="1"/>
  <c r="H512" i="1"/>
  <c r="H544" i="1"/>
  <c r="H576" i="1"/>
  <c r="H605" i="1"/>
  <c r="H624" i="1"/>
  <c r="H637" i="1"/>
  <c r="H645" i="1"/>
  <c r="H653" i="1"/>
  <c r="H661" i="1"/>
  <c r="H669" i="1"/>
  <c r="H677" i="1"/>
  <c r="H685" i="1"/>
  <c r="H693" i="1"/>
  <c r="H701" i="1"/>
  <c r="H709" i="1"/>
  <c r="H717" i="1"/>
  <c r="H725" i="1"/>
  <c r="H733" i="1"/>
  <c r="H741" i="1"/>
  <c r="H749" i="1"/>
  <c r="H757" i="1"/>
  <c r="H765" i="1"/>
  <c r="H773" i="1"/>
  <c r="H781" i="1"/>
  <c r="H789" i="1"/>
  <c r="H797" i="1"/>
  <c r="H805" i="1"/>
  <c r="H813" i="1"/>
  <c r="H821" i="1"/>
  <c r="H829" i="1"/>
  <c r="H837" i="1"/>
  <c r="H845" i="1"/>
  <c r="H853" i="1"/>
  <c r="H861" i="1"/>
  <c r="H869" i="1"/>
  <c r="H877" i="1"/>
  <c r="H885" i="1"/>
  <c r="H893" i="1"/>
  <c r="H901" i="1"/>
  <c r="H909" i="1"/>
  <c r="H917" i="1"/>
  <c r="H925" i="1"/>
  <c r="H933" i="1"/>
  <c r="H941" i="1"/>
  <c r="H949" i="1"/>
  <c r="H957" i="1"/>
  <c r="H965" i="1"/>
  <c r="H973" i="1"/>
  <c r="H981" i="1"/>
  <c r="H989" i="1"/>
  <c r="H152" i="1"/>
  <c r="H408" i="1"/>
  <c r="H634" i="1"/>
  <c r="H699" i="1"/>
  <c r="H763" i="1"/>
  <c r="H827" i="1"/>
  <c r="H891" i="1"/>
  <c r="H955" i="1"/>
  <c r="H1005" i="1"/>
  <c r="H1031" i="1"/>
  <c r="H1053" i="1"/>
  <c r="H1069" i="1"/>
  <c r="H1085" i="1"/>
  <c r="H1101" i="1"/>
  <c r="H1117" i="1"/>
  <c r="H1132" i="1"/>
  <c r="H1143" i="1"/>
  <c r="H1154" i="1"/>
  <c r="H1164" i="1"/>
  <c r="H1173" i="1"/>
  <c r="H1183" i="1"/>
  <c r="H1192" i="1"/>
  <c r="H1201" i="1"/>
  <c r="H1210" i="1"/>
  <c r="H1219" i="1"/>
  <c r="H1228" i="1"/>
  <c r="H1237" i="1"/>
  <c r="H1247" i="1"/>
  <c r="H1256" i="1"/>
  <c r="H1264" i="1"/>
  <c r="H1272" i="1"/>
  <c r="H1280" i="1"/>
  <c r="H1288" i="1"/>
  <c r="H1296" i="1"/>
  <c r="H1304" i="1"/>
  <c r="H1312" i="1"/>
  <c r="H1320" i="1"/>
  <c r="H1328" i="1"/>
  <c r="H1336" i="1"/>
  <c r="H1344" i="1"/>
  <c r="H1352" i="1"/>
  <c r="H1360" i="1"/>
  <c r="H1368" i="1"/>
  <c r="H1376" i="1"/>
  <c r="H1384" i="1"/>
  <c r="H1392" i="1"/>
  <c r="H1400" i="1"/>
  <c r="H1408" i="1"/>
  <c r="H1416" i="1"/>
  <c r="H1424" i="1"/>
  <c r="H1432" i="1"/>
  <c r="H1440" i="1"/>
  <c r="H1448" i="1"/>
  <c r="H1456" i="1"/>
  <c r="H1464" i="1"/>
  <c r="H1472" i="1"/>
  <c r="H1480" i="1"/>
  <c r="H1488" i="1"/>
  <c r="H1496" i="1"/>
  <c r="H1029" i="1"/>
  <c r="H1319" i="1"/>
  <c r="H1383" i="1"/>
  <c r="H1439" i="1"/>
  <c r="H1495" i="1"/>
  <c r="H184" i="1"/>
  <c r="H440" i="1"/>
  <c r="H643" i="1"/>
  <c r="H707" i="1"/>
  <c r="H771" i="1"/>
  <c r="H835" i="1"/>
  <c r="H899" i="1"/>
  <c r="H963" i="1"/>
  <c r="H1011" i="1"/>
  <c r="H1035" i="1"/>
  <c r="H1055" i="1"/>
  <c r="H1071" i="1"/>
  <c r="H1087" i="1"/>
  <c r="H1103" i="1"/>
  <c r="H1119" i="1"/>
  <c r="H1133" i="1"/>
  <c r="H1144" i="1"/>
  <c r="H1155" i="1"/>
  <c r="H1165" i="1"/>
  <c r="H1175" i="1"/>
  <c r="H1184" i="1"/>
  <c r="H1193" i="1"/>
  <c r="H1202" i="1"/>
  <c r="H1211" i="1"/>
  <c r="H1220" i="1"/>
  <c r="H1229" i="1"/>
  <c r="H1239" i="1"/>
  <c r="H1248" i="1"/>
  <c r="H1257" i="1"/>
  <c r="H1265" i="1"/>
  <c r="H1273" i="1"/>
  <c r="H1281" i="1"/>
  <c r="H1289" i="1"/>
  <c r="H1297" i="1"/>
  <c r="H1305" i="1"/>
  <c r="H1313" i="1"/>
  <c r="H1321" i="1"/>
  <c r="H1329" i="1"/>
  <c r="H1337" i="1"/>
  <c r="H1345" i="1"/>
  <c r="H1353" i="1"/>
  <c r="H1361" i="1"/>
  <c r="H1369" i="1"/>
  <c r="H1377" i="1"/>
  <c r="H1385" i="1"/>
  <c r="H1393" i="1"/>
  <c r="H1401" i="1"/>
  <c r="H1409" i="1"/>
  <c r="H1417" i="1"/>
  <c r="H1425" i="1"/>
  <c r="H1433" i="1"/>
  <c r="H1441" i="1"/>
  <c r="H1449" i="1"/>
  <c r="H1457" i="1"/>
  <c r="H1465" i="1"/>
  <c r="H1473" i="1"/>
  <c r="H1481" i="1"/>
  <c r="H1489" i="1"/>
  <c r="H1497" i="1"/>
  <c r="H947" i="1"/>
  <c r="H1279" i="1"/>
  <c r="H1335" i="1"/>
  <c r="H1391" i="1"/>
  <c r="H1447" i="1"/>
  <c r="H216" i="1"/>
  <c r="H472" i="1"/>
  <c r="H651" i="1"/>
  <c r="H715" i="1"/>
  <c r="H779" i="1"/>
  <c r="H843" i="1"/>
  <c r="H907" i="1"/>
  <c r="H971" i="1"/>
  <c r="H1013" i="1"/>
  <c r="H1037" i="1"/>
  <c r="H1059" i="1"/>
  <c r="H1075" i="1"/>
  <c r="H1091" i="1"/>
  <c r="H1107" i="1"/>
  <c r="H1123" i="1"/>
  <c r="H1135" i="1"/>
  <c r="H1146" i="1"/>
  <c r="H1156" i="1"/>
  <c r="H1167" i="1"/>
  <c r="H1176" i="1"/>
  <c r="H1185" i="1"/>
  <c r="H1194" i="1"/>
  <c r="H1203" i="1"/>
  <c r="H1212" i="1"/>
  <c r="H1221" i="1"/>
  <c r="H1231" i="1"/>
  <c r="H1240" i="1"/>
  <c r="H1249" i="1"/>
  <c r="H1258" i="1"/>
  <c r="H1266" i="1"/>
  <c r="H1274" i="1"/>
  <c r="H1282" i="1"/>
  <c r="H1290" i="1"/>
  <c r="H1298" i="1"/>
  <c r="H1306" i="1"/>
  <c r="H1314" i="1"/>
  <c r="H1322" i="1"/>
  <c r="H1330" i="1"/>
  <c r="H1338" i="1"/>
  <c r="H1346" i="1"/>
  <c r="H1354" i="1"/>
  <c r="H1362" i="1"/>
  <c r="H1370" i="1"/>
  <c r="H1378" i="1"/>
  <c r="H1386" i="1"/>
  <c r="H1394" i="1"/>
  <c r="H1402" i="1"/>
  <c r="H1410" i="1"/>
  <c r="H1418" i="1"/>
  <c r="H1426" i="1"/>
  <c r="H1434" i="1"/>
  <c r="H1442" i="1"/>
  <c r="H1450" i="1"/>
  <c r="H1458" i="1"/>
  <c r="H1466" i="1"/>
  <c r="H1474" i="1"/>
  <c r="H1482" i="1"/>
  <c r="H1490" i="1"/>
  <c r="H1498" i="1"/>
  <c r="H120" i="1"/>
  <c r="H819" i="1"/>
  <c r="H1003" i="1"/>
  <c r="H1068" i="1"/>
  <c r="H1141" i="1"/>
  <c r="H1181" i="1"/>
  <c r="H1236" i="1"/>
  <c r="H1255" i="1"/>
  <c r="H1295" i="1"/>
  <c r="H1351" i="1"/>
  <c r="H1415" i="1"/>
  <c r="H1471" i="1"/>
  <c r="H248" i="1"/>
  <c r="H504" i="1"/>
  <c r="H659" i="1"/>
  <c r="H723" i="1"/>
  <c r="H787" i="1"/>
  <c r="H851" i="1"/>
  <c r="H915" i="1"/>
  <c r="H979" i="1"/>
  <c r="H1019" i="1"/>
  <c r="H1039" i="1"/>
  <c r="H1060" i="1"/>
  <c r="H1076" i="1"/>
  <c r="H1092" i="1"/>
  <c r="H1108" i="1"/>
  <c r="H1124" i="1"/>
  <c r="H1136" i="1"/>
  <c r="H1147" i="1"/>
  <c r="H1157" i="1"/>
  <c r="H1168" i="1"/>
  <c r="H1177" i="1"/>
  <c r="H1186" i="1"/>
  <c r="H1195" i="1"/>
  <c r="H1204" i="1"/>
  <c r="H1213" i="1"/>
  <c r="H1223" i="1"/>
  <c r="H1232" i="1"/>
  <c r="H1241" i="1"/>
  <c r="H1250" i="1"/>
  <c r="H1259" i="1"/>
  <c r="H1267" i="1"/>
  <c r="H1275" i="1"/>
  <c r="H1283" i="1"/>
  <c r="H1291" i="1"/>
  <c r="H1299" i="1"/>
  <c r="H1307" i="1"/>
  <c r="H1315" i="1"/>
  <c r="H1323" i="1"/>
  <c r="H1331" i="1"/>
  <c r="H1339" i="1"/>
  <c r="H1347" i="1"/>
  <c r="H1355" i="1"/>
  <c r="H1363" i="1"/>
  <c r="H1371" i="1"/>
  <c r="H1379" i="1"/>
  <c r="H1387" i="1"/>
  <c r="H1395" i="1"/>
  <c r="H1403" i="1"/>
  <c r="H1411" i="1"/>
  <c r="H1419" i="1"/>
  <c r="H1427" i="1"/>
  <c r="H1435" i="1"/>
  <c r="H1443" i="1"/>
  <c r="H1451" i="1"/>
  <c r="H1459" i="1"/>
  <c r="H1467" i="1"/>
  <c r="H1475" i="1"/>
  <c r="H1483" i="1"/>
  <c r="H1491" i="1"/>
  <c r="H1499" i="1"/>
  <c r="H621" i="1"/>
  <c r="H1084" i="1"/>
  <c r="H1152" i="1"/>
  <c r="H1191" i="1"/>
  <c r="H1218" i="1"/>
  <c r="H1303" i="1"/>
  <c r="H1375" i="1"/>
  <c r="H1431" i="1"/>
  <c r="H1487" i="1"/>
  <c r="H280" i="1"/>
  <c r="H536" i="1"/>
  <c r="H667" i="1"/>
  <c r="H731" i="1"/>
  <c r="H795" i="1"/>
  <c r="H859" i="1"/>
  <c r="H923" i="1"/>
  <c r="H987" i="1"/>
  <c r="H1021" i="1"/>
  <c r="H1043" i="1"/>
  <c r="H1061" i="1"/>
  <c r="H1077" i="1"/>
  <c r="H1093" i="1"/>
  <c r="H1109" i="1"/>
  <c r="H1125" i="1"/>
  <c r="H1138" i="1"/>
  <c r="H1148" i="1"/>
  <c r="H1159" i="1"/>
  <c r="H1169" i="1"/>
  <c r="H1178" i="1"/>
  <c r="H1187" i="1"/>
  <c r="H1196" i="1"/>
  <c r="H1205" i="1"/>
  <c r="H1215" i="1"/>
  <c r="H1224" i="1"/>
  <c r="H1233" i="1"/>
  <c r="H1242" i="1"/>
  <c r="H1251" i="1"/>
  <c r="H1260" i="1"/>
  <c r="H1268" i="1"/>
  <c r="H1276" i="1"/>
  <c r="H1284" i="1"/>
  <c r="H1292" i="1"/>
  <c r="H1300" i="1"/>
  <c r="H1308" i="1"/>
  <c r="H1316" i="1"/>
  <c r="H1324" i="1"/>
  <c r="H1332" i="1"/>
  <c r="H1340" i="1"/>
  <c r="H1348" i="1"/>
  <c r="H1356" i="1"/>
  <c r="H1364" i="1"/>
  <c r="H1372" i="1"/>
  <c r="H1380" i="1"/>
  <c r="H1388" i="1"/>
  <c r="H1396" i="1"/>
  <c r="H1404" i="1"/>
  <c r="H1412" i="1"/>
  <c r="H1420" i="1"/>
  <c r="H1428" i="1"/>
  <c r="H1436" i="1"/>
  <c r="H1444" i="1"/>
  <c r="H1452" i="1"/>
  <c r="H1460" i="1"/>
  <c r="H1468" i="1"/>
  <c r="H1476" i="1"/>
  <c r="H1484" i="1"/>
  <c r="H1492" i="1"/>
  <c r="H1500" i="1"/>
  <c r="H691" i="1"/>
  <c r="H1131" i="1"/>
  <c r="H1200" i="1"/>
  <c r="H1245" i="1"/>
  <c r="H1271" i="1"/>
  <c r="H1327" i="1"/>
  <c r="H1343" i="1"/>
  <c r="H1399" i="1"/>
  <c r="H1463" i="1"/>
  <c r="H78" i="1"/>
  <c r="H312" i="1"/>
  <c r="H568" i="1"/>
  <c r="H675" i="1"/>
  <c r="H739" i="1"/>
  <c r="H803" i="1"/>
  <c r="H867" i="1"/>
  <c r="H931" i="1"/>
  <c r="H995" i="1"/>
  <c r="H1023" i="1"/>
  <c r="H1045" i="1"/>
  <c r="H1063" i="1"/>
  <c r="H1079" i="1"/>
  <c r="H1095" i="1"/>
  <c r="H1111" i="1"/>
  <c r="H1127" i="1"/>
  <c r="H1139" i="1"/>
  <c r="H1149" i="1"/>
  <c r="H1160" i="1"/>
  <c r="H1170" i="1"/>
  <c r="H1179" i="1"/>
  <c r="H1188" i="1"/>
  <c r="H1197" i="1"/>
  <c r="H1207" i="1"/>
  <c r="H1216" i="1"/>
  <c r="H1225" i="1"/>
  <c r="H1234" i="1"/>
  <c r="H1243" i="1"/>
  <c r="H1252" i="1"/>
  <c r="H1261" i="1"/>
  <c r="H1269" i="1"/>
  <c r="H1277" i="1"/>
  <c r="H1285" i="1"/>
  <c r="H1293" i="1"/>
  <c r="H1301" i="1"/>
  <c r="H1309" i="1"/>
  <c r="H1317" i="1"/>
  <c r="H1325" i="1"/>
  <c r="H1333" i="1"/>
  <c r="H1341" i="1"/>
  <c r="H1349" i="1"/>
  <c r="H1357" i="1"/>
  <c r="H1365" i="1"/>
  <c r="H1373" i="1"/>
  <c r="H1381" i="1"/>
  <c r="H1389" i="1"/>
  <c r="H1397" i="1"/>
  <c r="H1405" i="1"/>
  <c r="H1413" i="1"/>
  <c r="H1421" i="1"/>
  <c r="H1429" i="1"/>
  <c r="H1437" i="1"/>
  <c r="H1445" i="1"/>
  <c r="H1453" i="1"/>
  <c r="H1461" i="1"/>
  <c r="H1469" i="1"/>
  <c r="H1477" i="1"/>
  <c r="H1485" i="1"/>
  <c r="H1493" i="1"/>
  <c r="H116" i="1"/>
  <c r="H376" i="1"/>
  <c r="H883" i="1"/>
  <c r="H1051" i="1"/>
  <c r="H1100" i="1"/>
  <c r="H1116" i="1"/>
  <c r="H1172" i="1"/>
  <c r="H1227" i="1"/>
  <c r="H1263" i="1"/>
  <c r="H1311" i="1"/>
  <c r="H1359" i="1"/>
  <c r="H1407" i="1"/>
  <c r="H1455" i="1"/>
  <c r="H20" i="1"/>
  <c r="H344" i="1"/>
  <c r="H599" i="1"/>
  <c r="H683" i="1"/>
  <c r="H747" i="1"/>
  <c r="H811" i="1"/>
  <c r="H875" i="1"/>
  <c r="H939" i="1"/>
  <c r="H997" i="1"/>
  <c r="H1027" i="1"/>
  <c r="H1047" i="1"/>
  <c r="H1067" i="1"/>
  <c r="H1083" i="1"/>
  <c r="H1099" i="1"/>
  <c r="H1115" i="1"/>
  <c r="H1130" i="1"/>
  <c r="H1140" i="1"/>
  <c r="H1151" i="1"/>
  <c r="H1162" i="1"/>
  <c r="H1171" i="1"/>
  <c r="H1180" i="1"/>
  <c r="H1189" i="1"/>
  <c r="H1199" i="1"/>
  <c r="H1208" i="1"/>
  <c r="H1217" i="1"/>
  <c r="H1226" i="1"/>
  <c r="H1235" i="1"/>
  <c r="H1244" i="1"/>
  <c r="H1253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1430" i="1"/>
  <c r="H1438" i="1"/>
  <c r="H1446" i="1"/>
  <c r="H1454" i="1"/>
  <c r="H1462" i="1"/>
  <c r="H1470" i="1"/>
  <c r="H1478" i="1"/>
  <c r="H1486" i="1"/>
  <c r="H1494" i="1"/>
  <c r="H755" i="1"/>
  <c r="H1163" i="1"/>
  <c r="H1209" i="1"/>
  <c r="H1287" i="1"/>
  <c r="H1367" i="1"/>
  <c r="H1423" i="1"/>
  <c r="H1479" i="1"/>
  <c r="G30" i="3"/>
  <c r="G22" i="3"/>
  <c r="G14" i="3"/>
  <c r="G6" i="3"/>
  <c r="G29" i="3"/>
  <c r="G21" i="3"/>
  <c r="G13" i="3"/>
  <c r="G5" i="3"/>
  <c r="G27" i="3"/>
  <c r="G19" i="3"/>
  <c r="G11" i="3"/>
  <c r="G3" i="3"/>
  <c r="G18" i="3"/>
  <c r="G10" i="3"/>
  <c r="G25" i="3"/>
  <c r="G17" i="3"/>
  <c r="G9" i="3"/>
  <c r="C1996" i="3"/>
  <c r="B1996" i="3"/>
  <c r="B1988" i="3"/>
  <c r="C1988" i="3"/>
  <c r="C1980" i="3"/>
  <c r="B1980" i="3"/>
  <c r="C1972" i="3"/>
  <c r="B1972" i="3"/>
  <c r="C1995" i="3"/>
  <c r="B1995" i="3"/>
  <c r="C1987" i="3"/>
  <c r="B1987" i="3"/>
  <c r="C1979" i="3"/>
  <c r="B1979" i="3"/>
  <c r="B1971" i="3"/>
  <c r="B1939" i="3"/>
  <c r="C1993" i="3"/>
  <c r="B1993" i="3"/>
  <c r="C1985" i="3"/>
  <c r="B1985" i="3"/>
  <c r="C1977" i="3"/>
  <c r="B1977" i="3"/>
  <c r="C1969" i="3"/>
  <c r="B1969" i="3"/>
  <c r="C1961" i="3"/>
  <c r="B1961" i="3"/>
  <c r="C1953" i="3"/>
  <c r="B1953" i="3"/>
  <c r="C1945" i="3"/>
  <c r="B1945" i="3"/>
  <c r="C1937" i="3"/>
  <c r="B1937" i="3"/>
  <c r="C1929" i="3"/>
  <c r="B1929" i="3"/>
  <c r="C1921" i="3"/>
  <c r="B1921" i="3"/>
  <c r="C1913" i="3"/>
  <c r="B1913" i="3"/>
  <c r="C1905" i="3"/>
  <c r="B1905" i="3"/>
  <c r="C1897" i="3"/>
  <c r="B1897" i="3"/>
  <c r="C1889" i="3"/>
  <c r="B1889" i="3"/>
  <c r="C1881" i="3"/>
  <c r="B1881" i="3"/>
  <c r="C1873" i="3"/>
  <c r="B1873" i="3"/>
  <c r="C1865" i="3"/>
  <c r="B1865" i="3"/>
  <c r="C1857" i="3"/>
  <c r="B1857" i="3"/>
  <c r="C1849" i="3"/>
  <c r="B1849" i="3"/>
  <c r="C1841" i="3"/>
  <c r="B1841" i="3"/>
  <c r="C1833" i="3"/>
  <c r="B1833" i="3"/>
  <c r="C1825" i="3"/>
  <c r="B1825" i="3"/>
  <c r="C1817" i="3"/>
  <c r="B1817" i="3"/>
  <c r="C1809" i="3"/>
  <c r="B1809" i="3"/>
  <c r="C1801" i="3"/>
  <c r="B1801" i="3"/>
  <c r="C1793" i="3"/>
  <c r="B1793" i="3"/>
  <c r="C1785" i="3"/>
  <c r="B1785" i="3"/>
  <c r="C1777" i="3"/>
  <c r="B1777" i="3"/>
  <c r="C1920" i="3"/>
  <c r="B1920" i="3"/>
  <c r="C1904" i="3"/>
  <c r="B1904" i="3"/>
  <c r="C1888" i="3"/>
  <c r="B1888" i="3"/>
  <c r="C1872" i="3"/>
  <c r="B1872" i="3"/>
  <c r="C1856" i="3"/>
  <c r="B1856" i="3"/>
  <c r="C1840" i="3"/>
  <c r="B1840" i="3"/>
  <c r="C1824" i="3"/>
  <c r="B1824" i="3"/>
  <c r="C1808" i="3"/>
  <c r="B1808" i="3"/>
  <c r="C1792" i="3"/>
  <c r="B1792" i="3"/>
  <c r="B1776" i="3"/>
  <c r="C1776" i="3"/>
  <c r="B1760" i="3"/>
  <c r="C1760" i="3"/>
  <c r="B1752" i="3"/>
  <c r="C1752" i="3"/>
  <c r="B1744" i="3"/>
  <c r="C1744" i="3"/>
  <c r="B1736" i="3"/>
  <c r="C1736" i="3"/>
  <c r="B1728" i="3"/>
  <c r="C1728" i="3"/>
  <c r="B1720" i="3"/>
  <c r="C1720" i="3"/>
  <c r="B1712" i="3"/>
  <c r="C1712" i="3"/>
  <c r="C1775" i="3"/>
  <c r="B1775" i="3"/>
  <c r="C1767" i="3"/>
  <c r="B1767" i="3"/>
  <c r="C1759" i="3"/>
  <c r="B1759" i="3"/>
  <c r="C1751" i="3"/>
  <c r="B1751" i="3"/>
  <c r="C1743" i="3"/>
  <c r="B1743" i="3"/>
  <c r="C1735" i="3"/>
  <c r="B1735" i="3"/>
  <c r="C1727" i="3"/>
  <c r="B1727" i="3"/>
  <c r="C1719" i="3"/>
  <c r="B1719" i="3"/>
  <c r="C1711" i="3"/>
  <c r="B1711" i="3"/>
  <c r="C1703" i="3"/>
  <c r="B1703" i="3"/>
  <c r="C1695" i="3"/>
  <c r="B1695" i="3"/>
  <c r="C1687" i="3"/>
  <c r="B1687" i="3"/>
  <c r="C1679" i="3"/>
  <c r="B1679" i="3"/>
  <c r="B1989" i="3"/>
  <c r="C1989" i="3"/>
  <c r="C1973" i="3"/>
  <c r="B1973" i="3"/>
  <c r="B1957" i="3"/>
  <c r="C1957" i="3"/>
  <c r="C1941" i="3"/>
  <c r="B1941" i="3"/>
  <c r="B1925" i="3"/>
  <c r="C1925" i="3"/>
  <c r="C1909" i="3"/>
  <c r="B1909" i="3"/>
  <c r="B1893" i="3"/>
  <c r="C1893" i="3"/>
  <c r="C1877" i="3"/>
  <c r="B1877" i="3"/>
  <c r="B1861" i="3"/>
  <c r="C1861" i="3"/>
  <c r="C1845" i="3"/>
  <c r="B1845" i="3"/>
  <c r="B1829" i="3"/>
  <c r="C1829" i="3"/>
  <c r="C1813" i="3"/>
  <c r="B1813" i="3"/>
  <c r="B1797" i="3"/>
  <c r="C1797" i="3"/>
  <c r="C1781" i="3"/>
  <c r="B1781" i="3"/>
  <c r="C1772" i="3"/>
  <c r="B1772" i="3"/>
  <c r="C1756" i="3"/>
  <c r="B1756" i="3"/>
  <c r="C1748" i="3"/>
  <c r="B1748" i="3"/>
  <c r="C1740" i="3"/>
  <c r="B1740" i="3"/>
  <c r="C1732" i="3"/>
  <c r="B1732" i="3"/>
  <c r="C1724" i="3"/>
  <c r="B1724" i="3"/>
  <c r="C1716" i="3"/>
  <c r="B1716" i="3"/>
  <c r="C1708" i="3"/>
  <c r="B1708" i="3"/>
  <c r="C1700" i="3"/>
  <c r="B1700" i="3"/>
  <c r="C1692" i="3"/>
  <c r="B1692" i="3"/>
  <c r="C1684" i="3"/>
  <c r="B1684" i="3"/>
  <c r="C1676" i="3"/>
  <c r="B1676" i="3"/>
  <c r="C1668" i="3"/>
  <c r="B1668" i="3"/>
  <c r="C1660" i="3"/>
  <c r="B1660" i="3"/>
  <c r="C1652" i="3"/>
  <c r="B1652" i="3"/>
  <c r="C1644" i="3"/>
  <c r="B1644" i="3"/>
  <c r="C1636" i="3"/>
  <c r="B1636" i="3"/>
  <c r="B2" i="3"/>
  <c r="G2" i="3"/>
  <c r="M11" i="3"/>
  <c r="M3" i="3"/>
  <c r="M4" i="3"/>
  <c r="M5" i="3"/>
  <c r="M6" i="3"/>
  <c r="M7" i="3"/>
  <c r="M8" i="3"/>
  <c r="M10" i="3"/>
  <c r="M9" i="3"/>
  <c r="H2" i="3"/>
  <c r="B71" i="3"/>
  <c r="B63" i="3"/>
  <c r="B47" i="3"/>
  <c r="B31" i="3"/>
  <c r="B23" i="3"/>
  <c r="B7" i="3"/>
  <c r="B69" i="3"/>
  <c r="B67" i="3"/>
  <c r="B59" i="3"/>
  <c r="B51" i="3"/>
  <c r="B43" i="3"/>
  <c r="B35" i="3"/>
  <c r="B27" i="3"/>
  <c r="B19" i="3"/>
  <c r="B11" i="3"/>
  <c r="B3" i="3"/>
  <c r="C66" i="3"/>
  <c r="C58" i="3"/>
  <c r="C50" i="3"/>
  <c r="C42" i="3"/>
  <c r="C34" i="3"/>
  <c r="C26" i="3"/>
  <c r="C18" i="3"/>
  <c r="C10" i="3"/>
  <c r="B13" i="3"/>
  <c r="B66" i="3"/>
  <c r="B58" i="3"/>
  <c r="B50" i="3"/>
  <c r="B42" i="3"/>
  <c r="B34" i="3"/>
  <c r="B26" i="3"/>
  <c r="B18" i="3"/>
  <c r="B10" i="3"/>
  <c r="C2" i="3"/>
  <c r="C65" i="3"/>
  <c r="C57" i="3"/>
  <c r="C49" i="3"/>
  <c r="C41" i="3"/>
  <c r="C33" i="3"/>
  <c r="C25" i="3"/>
  <c r="C17" i="3"/>
  <c r="C9" i="3"/>
  <c r="B55" i="3"/>
  <c r="B39" i="3"/>
  <c r="B15" i="3"/>
  <c r="B5" i="3"/>
  <c r="B65" i="3"/>
  <c r="B57" i="3"/>
  <c r="B49" i="3"/>
  <c r="B41" i="3"/>
  <c r="B33" i="3"/>
  <c r="B25" i="3"/>
  <c r="B17" i="3"/>
  <c r="B9" i="3"/>
  <c r="C64" i="3"/>
  <c r="C56" i="3"/>
  <c r="C48" i="3"/>
  <c r="C40" i="3"/>
  <c r="C32" i="3"/>
  <c r="C24" i="3"/>
  <c r="C16" i="3"/>
  <c r="C8" i="3"/>
  <c r="I8" i="3" s="1"/>
  <c r="J8" i="3" s="1"/>
  <c r="B64" i="3"/>
  <c r="B56" i="3"/>
  <c r="B48" i="3"/>
  <c r="B40" i="3"/>
  <c r="B32" i="3"/>
  <c r="B24" i="3"/>
  <c r="B16" i="3"/>
  <c r="B8" i="3"/>
  <c r="C71" i="3"/>
  <c r="C63" i="3"/>
  <c r="C55" i="3"/>
  <c r="C47" i="3"/>
  <c r="C39" i="3"/>
  <c r="C31" i="3"/>
  <c r="C23" i="3"/>
  <c r="C15" i="3"/>
  <c r="C7" i="3"/>
  <c r="C70" i="3"/>
  <c r="C62" i="3"/>
  <c r="C54" i="3"/>
  <c r="C46" i="3"/>
  <c r="C38" i="3"/>
  <c r="C30" i="3"/>
  <c r="C22" i="3"/>
  <c r="C14" i="3"/>
  <c r="C6" i="3"/>
  <c r="B70" i="3"/>
  <c r="B62" i="3"/>
  <c r="B54" i="3"/>
  <c r="B46" i="3"/>
  <c r="B38" i="3"/>
  <c r="B30" i="3"/>
  <c r="B22" i="3"/>
  <c r="B14" i="3"/>
  <c r="B6" i="3"/>
  <c r="C69" i="3"/>
  <c r="C61" i="3"/>
  <c r="C53" i="3"/>
  <c r="C45" i="3"/>
  <c r="C37" i="3"/>
  <c r="C29" i="3"/>
  <c r="C21" i="3"/>
  <c r="C13" i="3"/>
  <c r="I6" i="3" s="1"/>
  <c r="J6" i="3" s="1"/>
  <c r="C5" i="3"/>
  <c r="C68" i="3"/>
  <c r="C60" i="3"/>
  <c r="C52" i="3"/>
  <c r="C44" i="3"/>
  <c r="C36" i="3"/>
  <c r="C28" i="3"/>
  <c r="C20" i="3"/>
  <c r="C12" i="3"/>
  <c r="C4" i="3"/>
  <c r="B61" i="3"/>
  <c r="B53" i="3"/>
  <c r="B45" i="3"/>
  <c r="B37" i="3"/>
  <c r="B29" i="3"/>
  <c r="B21" i="3"/>
  <c r="B68" i="3"/>
  <c r="B60" i="3"/>
  <c r="B52" i="3"/>
  <c r="B44" i="3"/>
  <c r="B36" i="3"/>
  <c r="B28" i="3"/>
  <c r="B20" i="3"/>
  <c r="B12" i="3"/>
  <c r="B4" i="3"/>
  <c r="C67" i="3"/>
  <c r="C59" i="3"/>
  <c r="C51" i="3"/>
  <c r="C43" i="3"/>
  <c r="C35" i="3"/>
  <c r="C27" i="3"/>
  <c r="C19" i="3"/>
  <c r="C11" i="3"/>
  <c r="C3" i="3"/>
  <c r="I3" i="3" l="1"/>
  <c r="J3" i="3" s="1"/>
  <c r="I4" i="3"/>
  <c r="J4" i="3" s="1"/>
  <c r="I5" i="3"/>
  <c r="J5" i="3" s="1"/>
  <c r="I11" i="3"/>
  <c r="J11" i="3" s="1"/>
  <c r="I7" i="3"/>
  <c r="J7" i="3" s="1"/>
  <c r="I9" i="3"/>
  <c r="J9" i="3" s="1"/>
  <c r="I10" i="3"/>
  <c r="J10" i="3" s="1"/>
  <c r="M2" i="3"/>
  <c r="I2" i="3"/>
  <c r="J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tc={79DC2E41-88B1-480A-BDE4-95ED9E1E8396}</author>
    <author>tc={6C38B271-D343-4037-BDD4-56D094C692CA}</author>
    <author>tc={9AC685D2-B9C6-4D87-9903-0482D3497B8C}</author>
    <author>tc={EEC21618-C6B4-445F-95A4-509B1BEB98A1}</author>
    <author>tc={6DE4E4BE-A24C-4D78-8DD0-C409748EA40C}</author>
    <author>tc={C0C3DE5F-322F-492D-BB5C-2AFB011EC7DD}</author>
    <author>tc={7F530F95-B52A-4A57-8086-C8E8494346FE}</author>
    <author>tc={996C8598-E7C1-4AA3-BC3D-A9100F802A8F}</author>
    <author>tc={5808D4E9-7DA8-4D35-A3AE-4F49A90567DE}</author>
    <author>tc={7B90F0B9-30AB-4A55-9EE1-2460C706B9A2}</author>
    <author>tc={B3B9E4BC-A689-43F5-A27C-6327DB15ABD0}</author>
    <author>tc={8E97A6E4-3F86-46CB-B2A9-AAB24202FD8D}</author>
    <author>tc={570CCFE4-F558-4DB6-83F7-EA9D10E87539}</author>
    <author>tc={7957A0D4-98E7-4808-A0F8-97AEC6EF5958}</author>
    <author>tc={CE6615BE-20E0-481D-A85A-6540D9E32CDF}</author>
    <author>tc={91BD4357-EA1C-4EDD-82F1-456C4A5D44AE}</author>
  </authors>
  <commentList>
    <comment ref="H56" authorId="0" shapeId="0" xr:uid="{79DC2E41-88B1-480A-BDE4-95ED9E1E83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658</t>
      </text>
    </comment>
    <comment ref="H57" authorId="1" shapeId="0" xr:uid="{6C38B271-D343-4037-BDD4-56D094C69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658</t>
      </text>
    </comment>
    <comment ref="H58" authorId="2" shapeId="0" xr:uid="{9AC685D2-B9C6-4D87-9903-0482D3497B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658</t>
      </text>
    </comment>
    <comment ref="H59" authorId="3" shapeId="0" xr:uid="{EEC21618-C6B4-445F-95A4-509B1BEB98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658</t>
      </text>
    </comment>
    <comment ref="H60" authorId="4" shapeId="0" xr:uid="{6DE4E4BE-A24C-4D78-8DD0-C409748EA4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658</t>
      </text>
    </comment>
    <comment ref="H61" authorId="5" shapeId="0" xr:uid="{C0C3DE5F-322F-492D-BB5C-2AFB011EC7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H62" authorId="6" shapeId="0" xr:uid="{7F530F95-B52A-4A57-8086-C8E8494346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H63" authorId="7" shapeId="0" xr:uid="{996C8598-E7C1-4AA3-BC3D-A9100F802A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H64" authorId="8" shapeId="0" xr:uid="{5808D4E9-7DA8-4D35-A3AE-4F49A90567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H65" authorId="9" shapeId="0" xr:uid="{7B90F0B9-30AB-4A55-9EE1-2460C706B9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H66" authorId="10" shapeId="0" xr:uid="{B3B9E4BC-A689-43F5-A27C-6327DB15AB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H67" authorId="11" shapeId="0" xr:uid="{8E97A6E4-3F86-46CB-B2A9-AAB24202FD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DUPLICADA 665</t>
      </text>
    </comment>
    <comment ref="B69" authorId="12" shapeId="0" xr:uid="{570CCFE4-F558-4DB6-83F7-EA9D10E875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CONFIRMAR SI DEBE REEMITIRSE INCLUYENDO EL CAPEX
</t>
      </text>
    </comment>
    <comment ref="B70" authorId="13" shapeId="0" xr:uid="{7957A0D4-98E7-4808-A0F8-97AEC6EF59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CONFIRMAR SI DEBE REEMITIRSE INCLUYENDO EL CAPEX
</t>
      </text>
    </comment>
    <comment ref="B103" authorId="14" shapeId="0" xr:uid="{CE6615BE-20E0-481D-A85A-6540D9E32C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CONFIRMAR SI DEBE REEMITIRSE INCLUYENDO EL CAPEX
</t>
      </text>
    </comment>
    <comment ref="B104" authorId="15" shapeId="0" xr:uid="{91BD4357-EA1C-4EDD-82F1-456C4A5D44A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CONFIRMAR SI DEBE REEMITIRSE INCLUYENDO EL CAPEX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<sst xmlns="http://schemas.openxmlformats.org/spreadsheetml/2006/main" count="79" uniqueCount="43">
  <si>
    <t>N° pedido de compra</t>
  </si>
  <si>
    <t>Sec. Factura</t>
  </si>
  <si>
    <t>Mes de facturación</t>
  </si>
  <si>
    <t>Cliente</t>
  </si>
  <si>
    <t>Descripción</t>
  </si>
  <si>
    <t>Tipo de moneda</t>
  </si>
  <si>
    <t>Fecha de envío</t>
  </si>
  <si>
    <t>Estado</t>
  </si>
  <si>
    <t>TRM DIAN</t>
  </si>
  <si>
    <t>Monto COP reportado DIAN</t>
  </si>
  <si>
    <t>Monto COP esperado</t>
  </si>
  <si>
    <t>Monto facturado</t>
  </si>
  <si>
    <t>ENERO</t>
  </si>
  <si>
    <t>FEBRERO</t>
  </si>
  <si>
    <t>MARZO</t>
  </si>
  <si>
    <t>ABRIL</t>
  </si>
  <si>
    <t>Banistmo</t>
  </si>
  <si>
    <t>SIN EMITIR</t>
  </si>
  <si>
    <t>Doc mesa dinero</t>
  </si>
  <si>
    <t>Mes facturado</t>
  </si>
  <si>
    <t>Fecha notificación recibido</t>
  </si>
  <si>
    <t>Valor recibido</t>
  </si>
  <si>
    <t>Valor retenido</t>
  </si>
  <si>
    <t>% retención</t>
  </si>
  <si>
    <t>Fecha negociación</t>
  </si>
  <si>
    <t>TRM negociación</t>
  </si>
  <si>
    <t>Valor final recibido</t>
  </si>
  <si>
    <t>Doc mesa dinero rep</t>
  </si>
  <si>
    <t>Etiquetas de fila</t>
  </si>
  <si>
    <t>Total general</t>
  </si>
  <si>
    <t>Suma de Monto facturado</t>
  </si>
  <si>
    <t>Suma de Valor recibido</t>
  </si>
  <si>
    <t>Días para pago</t>
  </si>
  <si>
    <t>Promedio de Días para pago</t>
  </si>
  <si>
    <t>Suma de Valor final recibido</t>
  </si>
  <si>
    <t>mar</t>
  </si>
  <si>
    <t>Suma de Monto COP reportado DIAN</t>
  </si>
  <si>
    <t>Suma de Monto COP esperado</t>
  </si>
  <si>
    <t>Cuenta de Estado</t>
  </si>
  <si>
    <t>DUPLICADA</t>
  </si>
  <si>
    <t>PAGADA</t>
  </si>
  <si>
    <t>PENDIENTE</t>
  </si>
  <si>
    <t>ANULADA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</si>
</sst>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$&quot;* #,##0.00_-;\-&quot;$&quot;* #,##0.00_-;_-&quot;$&quot;* &quot;-&quot;_-;_-@_-"/>
    <numFmt numFmtId="165" formatCode="[$USD]\ #,##0.00"/>
    <numFmt numFmtId="166" formatCode="&quot;$&quot;\ #,##0.00"/>
    <numFmt numFmtId="167" formatCode="_-&quot;$&quot;\ * #,##0.0_-;\-&quot;$&quot;\ * #,##0.0_-;_-&quot;$&quot;\ * &quot;-&quot;??_-;_-@_-"/>
    <numFmt numFmtId="168" formatCode="_-&quot;$&quot;\ * #,##0.0_-;\-&quot;$&quot;\ * #,##0.0_-;_-&quot;$&quot;\ * &quot;-&quot;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1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0" fillId="7" borderId="0" xfId="0" applyFill="1"/>
    <xf numFmtId="10" fontId="0" fillId="0" borderId="0" xfId="2" applyNumberFormat="1" applyFont="1"/>
    <xf numFmtId="10" fontId="0" fillId="0" borderId="0" xfId="0" applyNumberFormat="1"/>
    <xf numFmtId="0" fontId="0" fillId="6" borderId="1" xfId="0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2" fontId="0" fillId="6" borderId="1" xfId="0" applyNumberFormat="1" applyFill="1" applyBorder="1" applyAlignment="1">
      <alignment horizontal="center" vertical="center"/>
    </xf>
    <xf numFmtId="10" fontId="0" fillId="6" borderId="1" xfId="2" applyNumberFormat="1" applyFont="1" applyFill="1" applyBorder="1" applyAlignment="1">
      <alignment horizontal="center" vertical="center"/>
    </xf>
    <xf numFmtId="168" fontId="0" fillId="6" borderId="1" xfId="0" applyNumberForma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[PlantillaConsolidadoFacturacion.xlsx]KPI´s!FacturadoVsRecibido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600"/>
              <a:t>MONTO FACTURADO VS MONTO RECIBIDO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rgbClr val="FFC0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KPI´s!$B$1</c:f>
              <c:strCache>
                <c:ptCount val="1"/>
                <c:pt idx="0">
                  <c:v>Suma de Monto facturado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KPI´s!$A$2:$A$7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KPI´s!$B$2:$B$7</c:f>
              <c:numCache>
                <c:formatCode>[$USD]\ #,##0.00</c:formatCode>
                <c:ptCount val="5"/>
                <c:pt idx="0">
                  <c:v>99206.676666666652</c:v>
                </c:pt>
                <c:pt idx="1">
                  <c:v>153587.76285714289</c:v>
                </c:pt>
                <c:pt idx="2">
                  <c:v>134876.99190476193</c:v>
                </c:pt>
                <c:pt idx="3">
                  <c:v>42841.642142857141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2-4A7C-A771-B69FB7B7D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986895"/>
        <c:axId val="288985455"/>
      </c:barChart>
      <c:lineChart>
        <c:grouping val="stacked"/>
        <c:varyColors val="0"/>
        <c:ser>
          <c:idx val="1"/>
          <c:order val="1"/>
          <c:tx>
            <c:strRef>
              <c:f>KPI´s!$C$1</c:f>
              <c:strCache>
                <c:ptCount val="1"/>
                <c:pt idx="0">
                  <c:v>Suma de Valor recibido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>
                <a:noFill/>
              </a:ln>
              <a:effectLst/>
            </c:spPr>
          </c:marker>
          <c:cat>
            <c:strRef>
              <c:f>KPI´s!$A$2:$A$7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KPI´s!$C$2:$C$7</c:f>
              <c:numCache>
                <c:formatCode>[$USD]\ #,##0.00</c:formatCode>
                <c:ptCount val="5"/>
                <c:pt idx="0">
                  <c:v>90716.47</c:v>
                </c:pt>
                <c:pt idx="1">
                  <c:v>84987.520000000004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2-4A7C-A771-B69FB7B7D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86895"/>
        <c:axId val="288985455"/>
      </c:lineChart>
      <c:catAx>
        <c:axId val="28898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8985455"/>
        <c:crosses val="autoZero"/>
        <c:auto val="1"/>
        <c:lblAlgn val="ctr"/>
        <c:lblOffset val="100"/>
        <c:noMultiLvlLbl val="0"/>
      </c:catAx>
      <c:valAx>
        <c:axId val="28898545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 EN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[$US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8986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[PlantillaConsolidadoFacturacion.xlsx]KPI´s!DiasPago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PERIODO MEDIO DE COBRO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2225" cap="rnd">
            <a:solidFill>
              <a:srgbClr val="009999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rgbClr val="009999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KPI´s!$B$18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009999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rgbClr val="009999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KPI´s!$A$19:$A$24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KPI´s!$B$19:$B$24</c:f>
              <c:numCache>
                <c:formatCode>0</c:formatCode>
                <c:ptCount val="5"/>
                <c:pt idx="0">
                  <c:v>20.785714285714285</c:v>
                </c:pt>
                <c:pt idx="1">
                  <c:v>11.625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B-4610-B66B-0349429063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1049903"/>
        <c:axId val="1261051343"/>
      </c:lineChart>
      <c:catAx>
        <c:axId val="126104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1051343"/>
        <c:crosses val="autoZero"/>
        <c:auto val="1"/>
        <c:lblAlgn val="ctr"/>
        <c:lblOffset val="100"/>
        <c:noMultiLvlLbl val="0"/>
      </c:catAx>
      <c:valAx>
        <c:axId val="12610513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104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[PlantillaConsolidadoFacturacion.xlsx]KPI´s!ValorTotalRecibido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MENSUALES (NEGOCIADOS)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KPI´s!$B$35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KPI´s!$A$36:$A$37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KPI´s!$B$36:$B$37</c:f>
              <c:numCache>
                <c:formatCode>"$"\ #,##0.00</c:formatCode>
                <c:ptCount val="1"/>
                <c:pt idx="0">
                  <c:v>288558384.09600002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B-4D3B-AC46-93665C1D8C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078897807"/>
        <c:axId val="1078883887"/>
      </c:barChart>
      <c:catAx>
        <c:axId val="1078897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8883887"/>
        <c:crosses val="autoZero"/>
        <c:auto val="1"/>
        <c:lblAlgn val="ctr"/>
        <c:lblOffset val="100"/>
        <c:noMultiLvlLbl val="0"/>
      </c:catAx>
      <c:valAx>
        <c:axId val="1078883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 del ingreso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8897807"/>
        <c:crosses val="autoZero"/>
        <c:crossBetween val="between"/>
        <c:majorUnit val="1000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[PlantillaConsolidadoFacturacion.xlsx]KPI´s!ReportadoVsEsperado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Monto esperado</a:t>
            </a:r>
            <a:r>
              <a:rPr lang="es-CO" baseline="0"/>
              <a:t> vs monto reportado por mes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KPI´s!$B$50</c:f>
              <c:strCache>
                <c:ptCount val="1"/>
                <c:pt idx="0">
                  <c:v>Suma de Monto COP reportado DIAN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KPI´s!$A$51:$A$55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KPI´s!$B$51:$B$55</c:f>
              <c:numCache>
                <c:formatCode>"$"\ #,##0.00</c:formatCode>
                <c:ptCount val="4"/>
                <c:pt idx="0">
                  <c:v>364188702.11009991</c:v>
                </c:pt>
                <c:pt idx="1">
                  <c:v>470776936.20047128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9-4908-AE06-2B74D533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894927"/>
        <c:axId val="1078887727"/>
      </c:barChart>
      <c:lineChart>
        <c:grouping val="stacked"/>
        <c:varyColors val="0"/>
        <c:ser>
          <c:idx val="1"/>
          <c:order val="1"/>
          <c:tx>
            <c:strRef>
              <c:f>KPI´s!$C$50</c:f>
              <c:strCache>
                <c:ptCount val="1"/>
                <c:pt idx="0">
                  <c:v>Suma de Monto COP esperado</c:v>
                </c:pt>
              </c:strCache>
            </c:strRef>
          </c:tx>
          <c:spPr>
            <a:ln w="2222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>
                    <a:tint val="77000"/>
                  </a:schemeClr>
                </a:solidFill>
                <a:round/>
              </a:ln>
              <a:effectLst/>
            </c:spPr>
          </c:marker>
          <c:cat>
            <c:strRef>
              <c:f>KPI´s!$A$51:$A$55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KPI´s!$C$51:$C$55</c:f>
              <c:numCache>
                <c:formatCode>"$"\ #,##0.00</c:formatCode>
                <c:ptCount val="4"/>
                <c:pt idx="0">
                  <c:v>318665114.3463375</c:v>
                </c:pt>
                <c:pt idx="1">
                  <c:v>411929819.17541254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9-4908-AE06-2B74D533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894927"/>
        <c:axId val="1078887727"/>
      </c:lineChart>
      <c:catAx>
        <c:axId val="107889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8887727"/>
        <c:crosses val="autoZero"/>
        <c:auto val="1"/>
        <c:lblAlgn val="ctr"/>
        <c:lblOffset val="100"/>
        <c:noMultiLvlLbl val="0"/>
      </c:catAx>
      <c:valAx>
        <c:axId val="107888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8894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[PlantillaConsolidadoFacturacion.xlsx]KPI´s!Cliente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Facturación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KPI´s!$B$78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KPI´s!$A$79:$A$80</c:f>
              <c:strCache>
                <c:ptCount val="1"/>
                <c:pt idx="0">
                  <c:v>Banistmo</c:v>
                </c:pt>
              </c:strCache>
            </c:strRef>
          </c:cat>
          <c:val>
            <c:numRef>
              <c:f>KPI´s!$B$79:$B$80</c:f>
              <c:numCache>
                <c:formatCode>"$"\ #,##0.00</c:formatCode>
                <c:ptCount val="1"/>
                <c:pt idx="0">
                  <c:v>430513.07357142901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D-45A7-A7D1-71AF8691E6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27391919"/>
        <c:axId val="1427393839"/>
      </c:barChart>
      <c:catAx>
        <c:axId val="1427391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Nombre del cliente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7393839"/>
        <c:crosses val="autoZero"/>
        <c:auto val="1"/>
        <c:lblAlgn val="ctr"/>
        <c:lblOffset val="100"/>
        <c:noMultiLvlLbl val="0"/>
      </c:catAx>
      <c:valAx>
        <c:axId val="142739383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 total</a:t>
                </a:r>
                <a:r>
                  <a:rPr lang="es-CO" baseline="0"/>
                  <a:t> facturado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.00" sourceLinked="1"/>
        <c:majorTickMark val="none"/>
        <c:minorTickMark val="none"/>
        <c:tickLblPos val="nextTo"/>
        <c:crossAx val="14273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[PlantillaConsolidadoFacturacion.xlsx]KPI´s!EstadoFactura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Facturación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9999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solidFill>
            <a:srgbClr val="009999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KPI´s!$B$66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97-4988-9930-A63EFBAFFA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D7-4B17-A095-9C0D95C7BEDA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97-4988-9930-A63EFBAFFAD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97-4988-9930-A63EFBAFFAD2}"/>
              </c:ext>
            </c:extLst>
          </c:dPt>
          <c:dPt>
            <c:idx val="4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97-4988-9930-A63EFBAFFAD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D7-4B17-A095-9C0D95C7BE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KPI´s!$A$67:$A$72</c:f>
              <c:strCache>
                <c:ptCount val="5"/>
                <c:pt idx="0">
                  <c:v>SIN EMITIR</c:v>
                </c:pt>
                <c:pt idx="1">
                  <c:v>DUPLICADA</c:v>
                </c:pt>
                <c:pt idx="2">
                  <c:v>PAGADA</c:v>
                </c:pt>
                <c:pt idx="3">
                  <c:v>ANULADA</c:v>
                </c:pt>
                <c:pt idx="4">
                  <c:v>PENDIENTE</c:v>
                </c:pt>
              </c:strCache>
            </c:strRef>
          </c:cat>
          <c:val>
            <c:numRef>
              <c:f>KPI´s!$B$67:$B$72</c:f>
              <c:numCache>
                <c:formatCode>0.00%</c:formatCode>
                <c:ptCount val="5"/>
                <c:pt idx="0">
                  <c:v>1.7543859649122806E-2</c:v>
                </c:pt>
                <c:pt idx="1">
                  <c:v>0.10526315789473684</c:v>
                </c:pt>
                <c:pt idx="2">
                  <c:v>0.45614035087719296</c:v>
                </c:pt>
                <c:pt idx="3">
                  <c:v>2.6315789473684209E-2</c:v>
                </c:pt>
                <c:pt idx="4">
                  <c:v>0.39473684210526316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7-4988-9930-A63EFBAFFA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1</xdr:row>
      <xdr:rowOff>0</xdr:rowOff>
    </xdr:from>
    <xdr:to>
      <xdr:col>14</xdr:col>
      <xdr:colOff>761999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6383E8-585D-B69C-56E7-BF54B83F5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581023</xdr:colOff>
      <xdr:row>17</xdr:row>
      <xdr:rowOff>0</xdr:rowOff>
    </xdr:from>
    <xdr:to>
      <xdr:col>14</xdr:col>
      <xdr:colOff>180974</xdr:colOff>
      <xdr:row>31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14B22F-2FFB-D2C6-F4F7-31012B7BF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457198</xdr:colOff>
      <xdr:row>17</xdr:row>
      <xdr:rowOff>0</xdr:rowOff>
    </xdr:from>
    <xdr:to>
      <xdr:col>21</xdr:col>
      <xdr:colOff>438149</xdr:colOff>
      <xdr:row>31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4CE27C-CCCF-3B47-9B99-2A10940E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566736</xdr:colOff>
      <xdr:row>34</xdr:row>
      <xdr:rowOff>47625</xdr:rowOff>
    </xdr:from>
    <xdr:to>
      <xdr:col>14</xdr:col>
      <xdr:colOff>752474</xdr:colOff>
      <xdr:row>48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BED5C7-E5A7-9ED1-1E64-8F64FCC36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333375</xdr:colOff>
      <xdr:row>0</xdr:row>
      <xdr:rowOff>180975</xdr:rowOff>
    </xdr:from>
    <xdr:to>
      <xdr:col>19</xdr:col>
      <xdr:colOff>638175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s facturado">
              <a:extLst>
                <a:ext uri="{FF2B5EF4-FFF2-40B4-BE49-F238E27FC236}">
                  <a16:creationId xmlns:a16="http://schemas.microsoft.com/office/drawing/2014/main" id="{8E1536E8-EF88-FAE6-EF4C-16CE9A0161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factur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44800" y="180975"/>
              <a:ext cx="1828800" cy="286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295275</xdr:colOff>
      <xdr:row>0</xdr:row>
      <xdr:rowOff>190499</xdr:rowOff>
    </xdr:from>
    <xdr:to>
      <xdr:col>6</xdr:col>
      <xdr:colOff>219075</xdr:colOff>
      <xdr:row>63</xdr:row>
      <xdr:rowOff>47625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A034489-D02C-A0DA-CC93-0CB4A0A8021E}"/>
            </a:ext>
          </a:extLst>
        </xdr:cNvPr>
        <xdr:cNvSpPr txBox="1"/>
      </xdr:nvSpPr>
      <xdr:spPr>
        <a:xfrm>
          <a:off x="5095875" y="190499"/>
          <a:ext cx="542925" cy="1185862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s-CO" sz="2800" b="1">
              <a:solidFill>
                <a:schemeClr val="bg2">
                  <a:lumMod val="50000"/>
                </a:schemeClr>
              </a:solidFill>
            </a:rPr>
            <a:t>TABLERO</a:t>
          </a:r>
          <a:r>
            <a:rPr lang="es-CO" sz="2800" b="1" baseline="0">
              <a:solidFill>
                <a:schemeClr val="bg2">
                  <a:lumMod val="50000"/>
                </a:schemeClr>
              </a:solidFill>
            </a:rPr>
            <a:t> DE INDICADORES FINANCIEROS</a:t>
          </a:r>
          <a:endParaRPr lang="es-CO" sz="28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0</xdr:colOff>
      <xdr:row>32</xdr:row>
      <xdr:rowOff>133350</xdr:rowOff>
    </xdr:from>
    <xdr:to>
      <xdr:col>21</xdr:col>
      <xdr:colOff>371475</xdr:colOff>
      <xdr:row>32</xdr:row>
      <xdr:rowOff>133350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884B8EC-33E5-6407-A9DB-1984FDE1797E}"/>
            </a:ext>
          </a:extLst>
        </xdr:cNvPr>
        <xdr:cNvCxnSpPr/>
      </xdr:nvCxnSpPr>
      <xdr:spPr>
        <a:xfrm>
          <a:off x="6000750" y="6229350"/>
          <a:ext cx="110490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180974</xdr:colOff>
      <xdr:row>49</xdr:row>
      <xdr:rowOff>142875</xdr:rowOff>
    </xdr:from>
    <xdr:to>
      <xdr:col>19</xdr:col>
      <xdr:colOff>666749</xdr:colOff>
      <xdr:row>64</xdr:row>
      <xdr:rowOff>28575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02E1684-BCC5-8206-E034-51B0C37DE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400050</xdr:colOff>
      <xdr:row>34</xdr:row>
      <xdr:rowOff>66675</xdr:rowOff>
    </xdr:from>
    <xdr:to>
      <xdr:col>17</xdr:col>
      <xdr:colOff>476250</xdr:colOff>
      <xdr:row>48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Mes de facturación">
              <a:extLst>
                <a:ext uri="{FF2B5EF4-FFF2-40B4-BE49-F238E27FC236}">
                  <a16:creationId xmlns:a16="http://schemas.microsoft.com/office/drawing/2014/main" id="{67445ADE-8C92-3E0E-0460-48A8E685F9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de factur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7475" y="6543675"/>
              <a:ext cx="16002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638175</xdr:colOff>
      <xdr:row>34</xdr:row>
      <xdr:rowOff>66675</xdr:rowOff>
    </xdr:from>
    <xdr:to>
      <xdr:col>19</xdr:col>
      <xdr:colOff>676275</xdr:colOff>
      <xdr:row>48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liente">
              <a:extLst>
                <a:ext uri="{FF2B5EF4-FFF2-40B4-BE49-F238E27FC236}">
                  <a16:creationId xmlns:a16="http://schemas.microsoft.com/office/drawing/2014/main" id="{773F2505-5D5E-32DC-5457-B58F89D7AB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49600" y="6543675"/>
              <a:ext cx="15621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95250</xdr:colOff>
      <xdr:row>34</xdr:row>
      <xdr:rowOff>66675</xdr:rowOff>
    </xdr:from>
    <xdr:to>
      <xdr:col>22</xdr:col>
      <xdr:colOff>304800</xdr:colOff>
      <xdr:row>48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Estado">
              <a:extLst>
                <a:ext uri="{FF2B5EF4-FFF2-40B4-BE49-F238E27FC236}">
                  <a16:creationId xmlns:a16="http://schemas.microsoft.com/office/drawing/2014/main" id="{775B6E05-DEFA-51EE-D58E-F8BA2DAC2B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92675" y="6543675"/>
              <a:ext cx="17335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561975</xdr:colOff>
      <xdr:row>49</xdr:row>
      <xdr:rowOff>142875</xdr:rowOff>
    </xdr:from>
    <xdr:to>
      <xdr:col>12</xdr:col>
      <xdr:colOff>733425</xdr:colOff>
      <xdr:row>64</xdr:row>
      <xdr:rowOff>28575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57A58F8-DB7D-FC1C-EB94-570567067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CTAVIO HOYOS FLOREZ" id="{9F097441-D0C4-44C8-AA0C-DB0220B6393D}" userId="daebe4384e63f306" providerId="Windows Live"/>
  <person displayName="Luisa Fernanda  Granada Ramírez" id="{2A6BE2BF-10EC-4D7E-A2B8-0ACE061111C7}" userId="S::luisa.granada@beeconsultoria.com::822cb223-44ee-4993-98cc-9f3b99b389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89.742179976849" createdVersion="8" refreshedVersion="8" minRefreshableVersion="3" recordCount="1499" xr:uid="{FDF880CB-6EAF-4D34-B42E-422A5328F2C2}">
  <cacheSource type="worksheet">
    <worksheetSource ref="A1:L1500" sheet="Consolidado"/>
  </cacheSource>
  <cacheFields count="12">
    <cacheField name="N° pedido de compra" numFmtId="0">
      <sharedItems containsBlank="1"/>
    </cacheField>
    <cacheField name="Sec. Factura" numFmtId="0">
      <sharedItems containsBlank="1"/>
    </cacheField>
    <cacheField name="Mes de facturación" numFmtId="0">
      <sharedItems containsBlank="1" count="5">
        <s v="ENERO"/>
        <s v="FEBRERO"/>
        <s v="MARZO"/>
        <s v="ABRIL"/>
        <m/>
      </sharedItems>
    </cacheField>
    <cacheField name="Cliente" numFmtId="0">
      <sharedItems containsBlank="1" count="2">
        <s v="Banistmo"/>
        <m/>
      </sharedItems>
    </cacheField>
    <cacheField name="Descripción" numFmtId="0">
      <sharedItems containsBlank="1" longText="1"/>
    </cacheField>
    <cacheField name="Tipo de moneda" numFmtId="0">
      <sharedItems containsBlank="1"/>
    </cacheField>
    <cacheField name="Monto facturado" numFmtId="0">
      <sharedItems containsString="0" containsBlank="1" containsNumber="1" minValue="-26.64" maxValue="5610.93"/>
    </cacheField>
    <cacheField name="Estado" numFmtId="0">
      <sharedItems containsBlank="1" count="12">
        <s v="PAGADA"/>
        <s v="ANULADA"/>
        <s v="PENDIENTE"/>
        <s v="DUPLICADA"/>
        <s v="SIN EMITIR"/>
        <s v=""/>
        <m u="1"/>
        <s v="PAGADO" u="1"/>
        <s v="ANULADO" u="1"/>
        <s v="ENVIADO" u="1"/>
        <s v="DUPLICADA 658" u="1"/>
        <s v="DUPLICADA 665" u="1"/>
      </sharedItems>
    </cacheField>
    <cacheField name="Fecha de envío" numFmtId="14">
      <sharedItems containsNonDate="0" containsDate="1" containsString="0" containsBlank="1" minDate="2026-02-13T00:00:00" maxDate="2026-04-14T00:00:00"/>
    </cacheField>
    <cacheField name="TRM DIAN" numFmtId="0">
      <sharedItems containsString="0" containsBlank="1" containsNumber="1" minValue="3671.01" maxValue="3687.87"/>
    </cacheField>
    <cacheField name="Monto COP reportado DIAN" numFmtId="166">
      <sharedItems containsBlank="1" containsMixedTypes="1" containsNumber="1" minValue="-98244.856799999994" maxValue="20692380.419100001"/>
    </cacheField>
    <cacheField name="Monto COP esperado" numFmtId="166">
      <sharedItems containsBlank="1" containsMixedTypes="1" containsNumber="1" minValue="-85964.2497" maxValue="18105832.866712503"/>
    </cacheField>
  </cacheFields>
  <extLst>
    <ext xmlns:x14="http://schemas.microsoft.com/office/spreadsheetml/2009/9/main" uri="{725AE2AE-9491-48be-B2B4-4EB974FC3084}">
      <x14:pivotCacheDefinition pivotCacheId="81580200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89.742180555557" createdVersion="8" refreshedVersion="8" minRefreshableVersion="3" recordCount="1999" xr:uid="{67E1A6BE-82F0-4C7D-BCC4-211BD42E0323}">
  <cacheSource type="worksheet">
    <worksheetSource ref="A1:M2000" sheet="RegistroPago"/>
  </cacheSource>
  <cacheFields count="14">
    <cacheField name="Sec. Factura" numFmtId="0">
      <sharedItems containsBlank="1"/>
    </cacheField>
    <cacheField name="Mes facturado" numFmtId="0">
      <sharedItems count="5">
        <s v="ENERO"/>
        <s v="FEBRERO"/>
        <s v="MARZO"/>
        <s v="ABRIL"/>
        <s v=""/>
      </sharedItems>
    </cacheField>
    <cacheField name="Monto facturado" numFmtId="0">
      <sharedItems containsSemiMixedTypes="0" containsString="0" containsNumber="1" minValue="0" maxValue="27693.18"/>
    </cacheField>
    <cacheField name="Fecha notificación recibido" numFmtId="0">
      <sharedItems containsNonDate="0" containsDate="1" containsString="0" containsBlank="1" minDate="2026-02-24T00:00:00" maxDate="2026-04-10T00:00:00"/>
    </cacheField>
    <cacheField name="Doc mesa dinero" numFmtId="0">
      <sharedItems containsBlank="1"/>
    </cacheField>
    <cacheField name="Valor recibido" numFmtId="0">
      <sharedItems containsMixedTypes="1" containsNumber="1" minValue="2733.33" maxValue="53605.73"/>
    </cacheField>
    <cacheField name="Días para pago" numFmtId="0">
      <sharedItems containsMixedTypes="1" containsNumber="1" containsInteger="1" minValue="4" maxValue="55"/>
    </cacheField>
    <cacheField name="Doc mesa dinero rep" numFmtId="0">
      <sharedItems containsBlank="1"/>
    </cacheField>
    <cacheField name="Valor retenido" numFmtId="2">
      <sharedItems containsSemiMixedTypes="0" containsString="0" containsNumber="1" minValue="-427.70285714285637" maxValue="7657.9628571428548"/>
    </cacheField>
    <cacheField name="% retención" numFmtId="10">
      <sharedItems containsMixedTypes="1" containsNumber="1" minValue="-6.1841560332763459E-2" maxValue="0.12737235485533518"/>
    </cacheField>
    <cacheField name="Fecha negociación" numFmtId="0">
      <sharedItems containsNonDate="0" containsDate="1" containsString="0" containsBlank="1" minDate="2026-03-03T00:00:00" maxDate="2026-03-27T00:00:00" count="3">
        <d v="2026-03-03T00:00:00"/>
        <d v="2026-03-26T00:00:00"/>
        <m/>
      </sharedItems>
      <fieldGroup par="13"/>
    </cacheField>
    <cacheField name="TRM negociación" numFmtId="167">
      <sharedItems containsString="0" containsBlank="1" containsNumber="1" minValue="3670.5" maxValue="3791.3"/>
    </cacheField>
    <cacheField name="Valor final recibido" numFmtId="168">
      <sharedItems containsSemiMixedTypes="0" containsString="0" containsNumber="1" minValue="0" maxValue="124573072.875"/>
    </cacheField>
    <cacheField name="Meses (Fecha negociación)" numFmtId="0" databaseField="0">
      <fieldGroup base="10">
        <rangePr groupBy="months" startDate="2026-03-03T00:00:00" endDate="2026-03-27T00:00:00"/>
        <groupItems count="14">
          <s v="&lt;3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03/2026"/>
        </groupItems>
      </fieldGroup>
    </cacheField>
  </cacheFields>
  <extLst>
    <ext xmlns:x14="http://schemas.microsoft.com/office/spreadsheetml/2009/9/main" uri="{725AE2AE-9491-48be-B2B4-4EB974FC3084}">
      <x14:pivotCacheDefinition pivotCacheId="18850740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9">
  <r>
    <s v="PCC-2026-00266"/>
    <s v="BEE644"/>
    <x v="0"/>
    <x v="0"/>
    <s v="Servicio de consultoria BEE Consultoria &amp; Negocios, contrato BI-VSC-15479-2022-001 - Kevin Simbaña - Servicio del 01 al 31 de Enero - Yenilka Yineth Cianca Miranda - . Pedido de Compra: PCC-2026-00266"/>
    <s v="USD"/>
    <n v="4416.45"/>
    <x v="0"/>
    <d v="2026-02-13T00:00:00"/>
    <n v="3671.01"/>
    <n v="16212832.114500001"/>
    <n v="14186228.100187501"/>
  </r>
  <r>
    <s v="PCC-2026-00266"/>
    <s v="BEE644"/>
    <x v="0"/>
    <x v="0"/>
    <s v="Servicio de consultoria BEE Consultoria &amp; Negocios, contrato BI-VSC-15479-2022-001 - Kevin Olivo - Servicio del 01 al 31 de Enero- Yenilka Yineth Cianca Miranda. Pedido de Compra: PCC-2026-00266"/>
    <s v="USD"/>
    <n v="4206.1399999999994"/>
    <x v="0"/>
    <d v="2026-02-13T00:00:00"/>
    <n v="3671.01"/>
    <n v="15440782.001399999"/>
    <n v="13510684.251225"/>
  </r>
  <r>
    <s v="PCC-2026-00266"/>
    <s v="BEE644"/>
    <x v="0"/>
    <x v="0"/>
    <s v="Servicio de consultoria BEE Consultoria &amp; Negocios, contrato BI-VSC-15479-2022-001 - Kevin Joel Monteros - Servicio del 01 al 31 de Enero - Yenilka Yineth Cianca Miranda - . Pedido de Compra: PCC-2026-00266"/>
    <s v="USD"/>
    <n v="4100.9699999999993"/>
    <x v="0"/>
    <d v="2026-02-13T00:00:00"/>
    <n v="3671.01"/>
    <n v="15054701.879699998"/>
    <n v="13172864.144737497"/>
  </r>
  <r>
    <s v="PCC-2026-00266"/>
    <s v="BEE644"/>
    <x v="0"/>
    <x v="0"/>
    <s v="Servicio de consultoria BEE Consultoria &amp; Negocios, contrato BI-VSC-15479-2022-001 - Wilson Gabriel Ordoñez - Servicio del 01 al 31 de Enero Yenilka Yineth Cianca Miranda - . Pedido de Compra:PCC-2026-00266"/>
    <s v="USD"/>
    <n v="4206.1399999999994"/>
    <x v="0"/>
    <d v="2026-02-13T00:00:00"/>
    <n v="3671.01"/>
    <n v="15440782.001399999"/>
    <n v="13510684.251225"/>
  </r>
  <r>
    <s v="PCC-2026-00266"/>
    <s v="BEE644"/>
    <x v="0"/>
    <x v="0"/>
    <s v="Servicio de consultoria BEE Consultoria &amp; Negocios, contrato BI-VSC-15479-2022-001 - Xavier Ulises Salazar Ruiz - Servicio del 01 al 31 de Enero Yenilka Yineth Cianca Miranda - . Pedido de Compra: PCC-2026-00266"/>
    <s v="USD"/>
    <n v="5610.93"/>
    <x v="0"/>
    <d v="2026-02-13T00:00:00"/>
    <n v="3671.01"/>
    <n v="20597780.139300004"/>
    <n v="18023057.621887505"/>
  </r>
  <r>
    <s v="PCC-2026-00311"/>
    <s v="BEE645"/>
    <x v="0"/>
    <x v="0"/>
    <s v="Servicio de consultoria BEE Consultoria &amp; Negocios, contrato BI-VSC-15479-2022-001 - Jennifer Pacheco Meza -Servicio del 01 al 31 de Enero- Fany Filomena Ballis. Pedido de Compra: PCC-2026-00311"/>
    <s v="USD"/>
    <n v="3784.3199999999997"/>
    <x v="0"/>
    <d v="2026-02-13T00:00:00"/>
    <n v="3671.01"/>
    <n v="13892276.563200001"/>
    <n v="12155741.992800001"/>
  </r>
  <r>
    <s v="NO RECIBIDO"/>
    <s v="BEE646"/>
    <x v="0"/>
    <x v="0"/>
    <s v="Servicio de consultoria BEE Consultoria &amp; Negocios, contrato BI-VSC-15479-2022-001 - Jose Luis Torres  - Servicio del 01 al 31 de Enero - Fany Filomena Ballis. Pedido de Compra:  NO RECIBIDO"/>
    <s v="USD"/>
    <n v="4637.2700000000004"/>
    <x v="0"/>
    <d v="2026-02-13T00:00:00"/>
    <n v="3671.01"/>
    <n v="17023464.542700004"/>
    <n v="14895531.474862503"/>
  </r>
  <r>
    <s v="PCC-2026-00250"/>
    <s v="BEE647"/>
    <x v="0"/>
    <x v="0"/>
    <s v="Servicio de consultoria BEE Consultoria &amp; Negocios, contrato BI-VSC-15479-2022-001 - Laura Valentina Acosta - Servicio del 01 al 31 de Enero - Luis Afranio Arauz Acosta, Pedido de Compra: PCC-2026-00250_x000a_CAPEX: EVC004-EV-4-2025-Desvinculación automática de productos BLE/APP"/>
    <s v="USD"/>
    <n v="4637.2700000000004"/>
    <x v="0"/>
    <d v="2026-02-13T00:00:00"/>
    <n v="3671.01"/>
    <n v="17023464.542700004"/>
    <n v="14895531.474862503"/>
  </r>
  <r>
    <s v="PCC-2026-00239"/>
    <s v="BEE648"/>
    <x v="0"/>
    <x v="0"/>
    <s v="Servicio de consultoria BEE Consultoria &amp; Negocios, contrato BI-VSC-15479-2022-001 - Wbeimar Peña -Servicio del 01 al 31 de Enero- Jorge Ernesto Rodriguez Rodriguez. Pedido de Compra: PCC-2026-00239_x000a_CAPEX: Implementación de repositorios en región alterna en la nube (Región 2)"/>
    <s v="USD"/>
    <n v="5000"/>
    <x v="0"/>
    <d v="2026-02-13T00:00:00"/>
    <n v="3671.01"/>
    <n v="18355050"/>
    <n v="16060668.75"/>
  </r>
  <r>
    <s v="PCC-2026-00325"/>
    <s v="BEE649"/>
    <x v="0"/>
    <x v="0"/>
    <s v="Servicio de consultoria BEE Consultoria &amp; Negocios, contrato BI-VSC-15479-2022-001 - John Sebastian Briceño - Servicio del 01 al 31 de Enero- Fany Filomena Ballis -. Pedido de Compra: PCC-2026-00325"/>
    <s v="USD"/>
    <n v="4637.2700000000004"/>
    <x v="0"/>
    <d v="2026-02-13T00:00:00"/>
    <n v="3671.01"/>
    <n v="17023464.542700004"/>
    <n v="14895531.474862503"/>
  </r>
  <r>
    <s v="PCC-2026-00227"/>
    <s v="BEE650"/>
    <x v="0"/>
    <x v="0"/>
    <s v="Servicio de consultoria BEE Consultoria &amp; Negocios, contrato BI-VSC-15479-2022-001 - Victor Daniel Perez Diaz - Servicio del 01 al 31 de Enero- Luis Afranio Arauz Acosta. Pedido de Compra: PCC-2026-00227_x000a_CAPEX: EVC004-EV-4-2025-Entrega de MT103 y pacs.008 para transferencias internacionales_x000a_"/>
    <s v="USD"/>
    <n v="3123.8095238095239"/>
    <x v="0"/>
    <d v="2026-02-13T00:00:00"/>
    <n v="3671.01"/>
    <n v="11467536"/>
    <n v="10034094"/>
  </r>
  <r>
    <s v="PCC-2026-00257"/>
    <s v="BEE651"/>
    <x v="0"/>
    <x v="0"/>
    <s v="Servicio de consultoria BEE Consultoria &amp; Negocios, contrato BI-VSC-15479-2022-001 - Anyela Julieth Castillo - Servicio del 01 al 31 de Enero- Yenilka Yineth Cianca Miranda -. Pedido de Compra: PCC-2026-00257"/>
    <s v="USD"/>
    <n v="3876.64"/>
    <x v="0"/>
    <d v="2026-02-13T00:00:00"/>
    <n v="3671.01"/>
    <n v="14231184.2064"/>
    <n v="12452286.180599999"/>
  </r>
  <r>
    <s v="PCC-2026-00257"/>
    <s v="BEE651"/>
    <x v="0"/>
    <x v="0"/>
    <s v="Descuento comercial"/>
    <s v="USD"/>
    <n v="-26.64"/>
    <x v="0"/>
    <d v="2026-02-13T00:00:00"/>
    <n v="3671.01"/>
    <n v="-97795.70640000001"/>
    <n v="-85571.243100000007"/>
  </r>
  <r>
    <s v="PCC-2026-00257"/>
    <s v="BEE651"/>
    <x v="0"/>
    <x v="0"/>
    <s v="Servicio de consultoria BEE Consultoria &amp; Negocios, contrato BI-VSC-15479-2022-001 - Darwin Rodriguez - Servicio del 01 al 31 de Enero - Yenilka Yineth Cianca Miranda -. Pedido de Compra: PCC-2026-00257"/>
    <s v="USD"/>
    <n v="4206.1399999999994"/>
    <x v="0"/>
    <d v="2026-02-13T00:00:00"/>
    <n v="3671.01"/>
    <n v="15440782.001399999"/>
    <n v="13510684.251225"/>
  </r>
  <r>
    <s v="PCC-2026-00257"/>
    <s v="BEE651"/>
    <x v="0"/>
    <x v="0"/>
    <s v="Servicio de consultoria BEE Consultoria &amp; Negocios, contrato BI-VSC-15479-2022-001 - Jeffersonn Espinosa - Servicio del 01 al 31 de Enero Yenilka Yineth Cianca Miranda - . Pedido de Compra: PCC-2026-00257"/>
    <s v="USD"/>
    <n v="3890.6628571428569"/>
    <x v="0"/>
    <d v="2026-02-13T00:00:00"/>
    <n v="3671.01"/>
    <n v="14282662.2552"/>
    <n v="12497329.473300001"/>
  </r>
  <r>
    <s v="PCC-2026-00257"/>
    <s v="BEE651"/>
    <x v="0"/>
    <x v="0"/>
    <s v="Servicio de consultoria BEE Consultoria &amp; Negocios, contrato BI-VSC-15479-2022-001 - Estefania Nicolalde -Servicio del 01 al 31 de Enero - Yenilka Yineth Cianca Miranda -.  Pedido de Compra: PCC-2026-00257"/>
    <s v="USD"/>
    <n v="4206.1399999999994"/>
    <x v="0"/>
    <d v="2026-02-13T00:00:00"/>
    <n v="3671.01"/>
    <n v="15440782.001399999"/>
    <n v="13510684.251225"/>
  </r>
  <r>
    <s v="PCC-2026-00257"/>
    <s v="BEE651"/>
    <x v="0"/>
    <x v="0"/>
    <s v="Servicio de consultoria BEE Consultoria &amp; Negocios, contrato BI-VSC-15479-2022-001 - Nixon Quezada - Servicio del 01 al 31 de Enero Yenilka Yineth Cianca Miranda - . Pedido de Compra: PCC-2026-00257"/>
    <s v="USD"/>
    <n v="4206.1399999999994"/>
    <x v="0"/>
    <d v="2026-02-13T00:00:00"/>
    <n v="3671.01"/>
    <n v="15440782.001399999"/>
    <n v="13510684.251225"/>
  </r>
  <r>
    <s v="PCC-2026-00257"/>
    <s v="BEE651"/>
    <x v="0"/>
    <x v="0"/>
    <s v="Servicio de consultoria BEE Consultoria &amp; Negocios, contrato BI-VSC-15479-2022-001 - Stiven Oswaldo Lopez - Servicio del 01 al 31 de Enero Yenilka Yineth Cianca Miranda - . Pedido de Compra: PCC-2026-00257"/>
    <s v="USD"/>
    <n v="4416.45"/>
    <x v="0"/>
    <d v="2026-02-13T00:00:00"/>
    <n v="3671.01"/>
    <n v="16212832.114500001"/>
    <n v="14186228.100187501"/>
  </r>
  <r>
    <s v="PCC-2026-00316"/>
    <s v="BEE652"/>
    <x v="0"/>
    <x v="0"/>
    <s v="Servicio de consultoria BEE Consultoria &amp; Negocios, contrato BI-VSC-15479-2022-001 - Kevin Caicedo Alvarez - Servicio del 01 al 31 de Enero- Luis Afranio Arauz Acosta. Pedido de Compra: PCC-2026-00316_x000a_CAPEX: EVC003-EV-3-2025-Billetera digital Apple Pay - Tokenización"/>
    <s v="USD"/>
    <n v="2030.2409523809522"/>
    <x v="0"/>
    <d v="2026-02-13T00:00:00"/>
    <n v="3671.01"/>
    <n v="7453034.8385999994"/>
    <n v="6521405.4837749992"/>
  </r>
  <r>
    <s v="PCC-2026-00179"/>
    <s v="BEE653"/>
    <x v="0"/>
    <x v="0"/>
    <s v="Servicio de consultoria BEE Consultoria &amp; Negocios, contrato BI-VSC-15479-2022-001 - Aneyda Diaz. - Servicio del  01 al 31 de Enero -  Antonio Rafael Patety. Pedido de Compra: PCC-2026-00179"/>
    <s v="USD"/>
    <n v="3500"/>
    <x v="0"/>
    <d v="2026-02-13T00:00:00"/>
    <n v="3671.01"/>
    <n v="12848535"/>
    <n v="11242468.125"/>
  </r>
  <r>
    <s v="PCC-2026-00179"/>
    <s v="BEE653"/>
    <x v="0"/>
    <x v="0"/>
    <s v="Servicio de consultoria BEE Consultoria &amp; Negocios, contrato BI-VSC-15479-2022-001 - Ivonne Ordoñez. - Servicio del 01 al 31 de Enero - Antonio Rafael Patety.  -  Pedido de Compra: PCC-2026-00179"/>
    <s v="USD"/>
    <n v="3733.3333333333335"/>
    <x v="0"/>
    <d v="2026-02-13T00:00:00"/>
    <n v="3671.01"/>
    <n v="13705104.000000002"/>
    <n v="11991966.000000002"/>
  </r>
  <r>
    <s v="PCC-2026-00228"/>
    <s v="BEE654"/>
    <x v="0"/>
    <x v="0"/>
    <s v="Servicio de consultoria BEE Consultoria &amp; Negocios, contrato BI-VSC-15479-2022-001 - Jonathan Alexander Mena - Servicio del 01 al 31 de Enero- Luis Afranio Arauz Acosta. Pedido de Compra: PCC-2026-00228_x000a_CAPEX: EVC004-EV-4-2025-Entrega de MT103 y pacs.008 para transferencias internacionales"/>
    <s v="USD"/>
    <n v="4416.45"/>
    <x v="0"/>
    <d v="2026-02-13T00:00:00"/>
    <n v="3671.01"/>
    <n v="16212832.114500001"/>
    <n v="14186228.100187501"/>
  </r>
  <r>
    <s v="PCC-2026-00324 "/>
    <s v="BEE655"/>
    <x v="0"/>
    <x v="0"/>
    <s v="Servicio de consultoria BEE Consultoria &amp; Negocios, contrato BI-VSC-15479-2022-001 - Nicolas Jair Viana Castro - Servicio del 01 al 31 de Enero- Douglas Emir Barrera Bouche -. Pedido de Compra: PCC-2026-00324 _x000a_CAPEX: 796007 EVC-717008-EV1-2026 Interoperabilidad Yappy"/>
    <s v="USD"/>
    <n v="4637.2700000000004"/>
    <x v="0"/>
    <d v="2026-02-13T00:00:00"/>
    <n v="3671.01"/>
    <n v="17023464.542700004"/>
    <n v="14895531.474862503"/>
  </r>
  <r>
    <s v="PCC-2026-00150"/>
    <s v="BEE656"/>
    <x v="0"/>
    <x v="0"/>
    <s v="Servicio de consultoria BEE Consultoria &amp; Negocios, contrato BI-VSC-15479-2022-001 - Elkin Andres Aristizabal - Servicio del 01 al 31 de Enero - Erika Lavinia Lasso Carrasquilla - . Pedido de Compra: PCC-2026-00150"/>
    <s v="USD"/>
    <n v="3876.64"/>
    <x v="0"/>
    <d v="2026-02-13T00:00:00"/>
    <n v="3671.01"/>
    <n v="14231184.2064"/>
    <n v="12452286.180599999"/>
  </r>
  <r>
    <s v="NO RECIBIDO"/>
    <s v="BEE657"/>
    <x v="0"/>
    <x v="0"/>
    <s v="Servicio de consultoria BEE Consultoria &amp; Negocios, contrato BI-VSC-15479-2022-001 - Aaron Wladimir Loor - Servicio del 01 al 31 de Enero - Douglas Emir Barrera Bouche - . Pedido de Compra: NO RECIBIDO"/>
    <s v="USD"/>
    <n v="3876.64"/>
    <x v="0"/>
    <d v="2026-02-13T00:00:00"/>
    <n v="3671.01"/>
    <n v="14231184.2064"/>
    <n v="12452286.180599999"/>
  </r>
  <r>
    <s v="NO RECIBIDO"/>
    <s v="BEE658"/>
    <x v="1"/>
    <x v="0"/>
    <s v="Servicio de consultoria BEE Consultoria &amp; Negocios, contrato BI-VSC-15479-2022-001 - Kevin Simbaña - Servicio del 01 al 28 de Febrero - Yenilka Yineth Cianca Miranda - . Pedido de Compra: NO RECIBIDO"/>
    <s v="USD"/>
    <n v="4416.45"/>
    <x v="0"/>
    <d v="2026-03-13T00:00:00"/>
    <n v="3687.87"/>
    <n v="16287293.461499998"/>
    <n v="14251381.778812498"/>
  </r>
  <r>
    <s v="NO RECIBIDO"/>
    <s v="BEE658"/>
    <x v="1"/>
    <x v="0"/>
    <s v="Servicio de consultoria BEE Consultoria &amp; Negocios, contrato BI-VSC-15479-2022-001 - Kevin Olivo - Servicio del 01 al 28 de Febrero- Yenilka Yineth Cianca Miranda. Pedido de Compra: NO RECIBIDO"/>
    <s v="USD"/>
    <n v="4416.45"/>
    <x v="0"/>
    <d v="2026-03-13T00:00:00"/>
    <n v="3687.87"/>
    <n v="16287293.461499998"/>
    <n v="14251381.778812498"/>
  </r>
  <r>
    <s v="NO RECIBIDO"/>
    <s v="BEE658"/>
    <x v="1"/>
    <x v="0"/>
    <s v="Servicio de consultoria BEE Consultoria &amp; Negocios, contrato BI-VSC-15479-2022-001 - Kevin Joel Monteros - Servicio del 01 al 17 de Febrero - Yenilka Yineth Cianca Miranda - . Pedido de Compra: NO RECIBIDO"/>
    <s v="USD"/>
    <n v="2733.8928571428573"/>
    <x v="0"/>
    <d v="2026-03-13T00:00:00"/>
    <n v="3687.87"/>
    <n v="10082241.451071428"/>
    <n v="8821961.2696874999"/>
  </r>
  <r>
    <s v="NO RECIBIDO"/>
    <s v="BEE658"/>
    <x v="1"/>
    <x v="0"/>
    <s v="Servicio de consultoria BEE Consultoria &amp; Negocios, contrato BI-VSC-15479-2022-001 - Wilson Gabriel Ordoñez - Servicio del 01 al 28 de Febrero Yenilka Yineth Cianca Miranda - . Pedido de Compra: NO RECIBIDO"/>
    <s v="USD"/>
    <n v="4416.45"/>
    <x v="0"/>
    <d v="2026-03-13T00:00:00"/>
    <n v="3687.87"/>
    <n v="16287293.461499998"/>
    <n v="14251381.778812498"/>
  </r>
  <r>
    <s v="NO RECIBIDO"/>
    <s v="BEE658"/>
    <x v="1"/>
    <x v="0"/>
    <s v="Servicio de consultoria BEE Consultoria &amp; Negocios, contrato BI-VSC-15479-2022-001 - Xavier Ulises Salazar Ruiz - Servicio del 01 al 28 de Febrero Yenilka Yineth Cianca Miranda - . Pedido de Compra: NO RECIBIDO"/>
    <s v="USD"/>
    <n v="5610.93"/>
    <x v="0"/>
    <d v="2026-03-13T00:00:00"/>
    <n v="3687.87"/>
    <n v="20692380.419100001"/>
    <n v="18105832.866712503"/>
  </r>
  <r>
    <s v="PCC-2026-00696"/>
    <s v="BEE659"/>
    <x v="1"/>
    <x v="0"/>
    <s v="Servicio de consultoria BEE Consultoria &amp; Negocios, contrato BI-VSC-15479-2022-001 - Jennifer Pacheco Meza -Servicio del 01 al 28 de Febrero- Sandra Milena Tafur. Pedido de Compra: PCC-2026-00696"/>
    <s v="USD"/>
    <n v="3876.64"/>
    <x v="0"/>
    <d v="2026-03-13T00:00:00"/>
    <n v="3687.87"/>
    <n v="14296544.356799999"/>
    <n v="12509476.312199999"/>
  </r>
  <r>
    <s v="PCC-2026-00770"/>
    <s v="BEE660"/>
    <x v="1"/>
    <x v="0"/>
    <s v="Servicio de consultoria BEE Consultoria &amp; Negocios, contrato BI-VSC-15479-2022-001 - Jose Luis Torres  - Servicio del 01 al 28 de Febrero - Ana Isabel Rodriguez. Pedido de Compra:  PCC-2026-00770"/>
    <s v="USD"/>
    <n v="4637.2700000000004"/>
    <x v="0"/>
    <d v="2026-03-13T00:00:00"/>
    <n v="3687.87"/>
    <n v="17101648.914900001"/>
    <n v="14963942.800537501"/>
  </r>
  <r>
    <s v="PCC-2026-00804"/>
    <s v="BEE661"/>
    <x v="1"/>
    <x v="0"/>
    <s v="Servicio de consultoria BEE Consultoria &amp; Negocios, contrato BI-VSC-15479-2022-001 - Laura Valentina Acosta - Servicio del 01 al 28 de Febrero - Luis Afranio Arauz Acosta, Pedido de Compra: PCC-2026-00804_x000a_CAPEX: EVC004-EV-4-2025-Desvinculación automática de productos BLE/APP"/>
    <s v="USD"/>
    <n v="4637.2700000000004"/>
    <x v="0"/>
    <d v="2026-03-13T00:00:00"/>
    <n v="3687.87"/>
    <n v="17101648.914900001"/>
    <n v="14963942.800537501"/>
  </r>
  <r>
    <s v="PCC-2026-00663"/>
    <s v="BEE662"/>
    <x v="1"/>
    <x v="0"/>
    <s v="Servicio de consultoria BEE Consultoria &amp; Negocios, contrato BI-VSC-15479-2022-001 - Wbeimar Peña -Servicio del 01 al 28 de Febrero- Jorge Ernesto Rodriguez Rodriguez. Pedido de Compra: PCC-2026-00663"/>
    <s v="USD"/>
    <n v="5000"/>
    <x v="0"/>
    <d v="2026-03-13T00:00:00"/>
    <n v="3687.87"/>
    <n v="18439350"/>
    <n v="16134431.25"/>
  </r>
  <r>
    <s v="PCC-2026-00674"/>
    <s v="BEE663"/>
    <x v="1"/>
    <x v="0"/>
    <s v="Servicio de consultoria BEE Consultoria &amp; Negocios, contrato BI-VSC-15479-2022-001 - John Sebastian Briceño - Servicio del 01 al 28 de Febrero- Sandra Milena Valencia Tafur -. Pedido de Compra: PCC-2026-00674"/>
    <s v="USD"/>
    <n v="4637.2700000000004"/>
    <x v="0"/>
    <d v="2026-03-13T00:00:00"/>
    <n v="3687.87"/>
    <n v="17101648.914900001"/>
    <n v="14963942.800537501"/>
  </r>
  <r>
    <s v="PCC-2026-00678"/>
    <s v="BEE664"/>
    <x v="1"/>
    <x v="0"/>
    <s v="Servicio de consultoria BEE Consultoria &amp; Negocios, contrato BI-VSC-15479-2022-001 - Victor Daniel Perez Diaz - Servicio del 01 al 28 de Febrero- Jorge Ernesto Rodriguez Rodriguez. Pedido de Compra: PCC-2026-00678_x000a_"/>
    <s v="USD"/>
    <n v="4100"/>
    <x v="0"/>
    <d v="2026-03-13T00:00:00"/>
    <n v="3687.87"/>
    <n v="15120267"/>
    <n v="13230233.625"/>
  </r>
  <r>
    <s v="NO RECIBIDO"/>
    <s v="BEE665"/>
    <x v="1"/>
    <x v="0"/>
    <s v="Servicio de consultoria BEE Consultoria &amp; Negocios, contrato BI-VSC-15479-2022-001 - Anyela Julieth Castillo - Servicio del 01 al 28 de Febrero- Yenilka Yineth Cianca Miranda -. Pedido de Compra: NO RECIBIDO"/>
    <s v="USD"/>
    <n v="3876.64"/>
    <x v="0"/>
    <d v="2026-03-13T00:00:00"/>
    <m/>
    <s v=""/>
    <s v=""/>
  </r>
  <r>
    <s v="NO RECIBIDO"/>
    <s v="BEE665"/>
    <x v="1"/>
    <x v="0"/>
    <s v="Descuento comercial"/>
    <s v="USD"/>
    <n v="-26.64"/>
    <x v="0"/>
    <d v="2026-03-13T00:00:00"/>
    <m/>
    <s v=""/>
    <s v=""/>
  </r>
  <r>
    <s v="NO RECIBIDO"/>
    <s v="BEE665"/>
    <x v="1"/>
    <x v="0"/>
    <s v="Servicio de consultoria BEE Consultoria &amp; Negocios, contrato BI-VSC-15479-2022-001 - Darwin Rodriguez - Servicio del 01 al 28 de Febrero - Yenilka Yineth Cianca Miranda -. Pedido de Compra: NO RECIBIDO"/>
    <s v="USD"/>
    <n v="4416.45"/>
    <x v="0"/>
    <d v="2026-03-13T00:00:00"/>
    <m/>
    <s v=""/>
    <s v=""/>
  </r>
  <r>
    <s v="NO RECIBIDO"/>
    <s v="BEE665"/>
    <x v="1"/>
    <x v="0"/>
    <s v="Servicio de consultoria BEE Consultoria &amp; Negocios, contrato BI-VSC-15479-2022-001 - Jefferson Espinosa - Servicio del 01 al 28 de Febrero Yenilka Yineth Cianca Miranda - . Pedido de Compra: NO RECIBIDO"/>
    <s v="USD"/>
    <n v="4416.45"/>
    <x v="0"/>
    <d v="2026-03-13T00:00:00"/>
    <m/>
    <s v=""/>
    <s v=""/>
  </r>
  <r>
    <s v="NO RECIBIDO"/>
    <s v="BEE665"/>
    <x v="1"/>
    <x v="0"/>
    <s v="Servicio de consultoria BEE Consultoria &amp; Negocios, contrato BI-VSC-15479-2022-001 - Estefania Nicolalde -Servicio del 01 al 28 de Febrero - Yenilka Yineth Cianca Miranda -.  Pedido de Compra: NO RECIBIDO"/>
    <s v="USD"/>
    <n v="4416.45"/>
    <x v="0"/>
    <d v="2026-03-13T00:00:00"/>
    <m/>
    <s v=""/>
    <s v=""/>
  </r>
  <r>
    <s v="NO RECIBIDO"/>
    <s v="BEE665"/>
    <x v="1"/>
    <x v="0"/>
    <s v="Servicio de consultoria BEE Consultoria &amp; Negocios, contrato BI-VSC-15479-2022-001 - Nixon Quezada - Servicio del 01 al 28 de Febrero Yenilka Yineth Cianca Miranda - . Pedido de Compra: NO RECIBIDO"/>
    <s v="USD"/>
    <n v="4416.45"/>
    <x v="0"/>
    <d v="2026-03-13T00:00:00"/>
    <m/>
    <s v=""/>
    <s v=""/>
  </r>
  <r>
    <s v="NO RECIBIDO"/>
    <s v="BEE665"/>
    <x v="1"/>
    <x v="0"/>
    <s v="Servicio de consultoria BEE Consultoria &amp; Negocios, contrato BI-VSC-15479-2022-001 - Stiven Oswaldo Lopez - Servicio del 01 al 28 de Febrero Yenilka Yineth Cianca Miranda - . Pedido de Compra: NO RECIBIDO"/>
    <s v="USD"/>
    <n v="4416.45"/>
    <x v="0"/>
    <d v="2026-03-13T00:00:00"/>
    <m/>
    <s v=""/>
    <s v=""/>
  </r>
  <r>
    <s v="PCC-2026-00745"/>
    <s v="BEE666"/>
    <x v="1"/>
    <x v="0"/>
    <s v="Servicio de consultoria BEE Consultoria &amp; Negocios, contrato BI-VSC-15479-2022-001 - Kevin Caicedo Alvarez - Servicio del 01 al 28 de Febrero- Luis Afranio Arauz Acosta. Pedido de Compra: PCC-2026-00745_x000a_CAPEX: EVC003-EV-3-2025-Billetera digital (ApplePay) - Tokenización"/>
    <s v="USD"/>
    <n v="1999.9999999999998"/>
    <x v="0"/>
    <d v="2026-03-13T00:00:00"/>
    <n v="3687.87"/>
    <n v="7375739.9999999991"/>
    <n v="6453772.4999999991"/>
  </r>
  <r>
    <s v="PCC-2026-00744"/>
    <s v="BEE667"/>
    <x v="1"/>
    <x v="0"/>
    <s v="Servicio de consultoria BEE Consultoria &amp; Negocios, contrato BI-VSC-15479-2022-001 - Aneyda Diaz. - Servicio del  01 al 28 de Febrero -  Antonio Rafael Patety. Pedido de Compra: PCC-2026-00744"/>
    <s v="USD"/>
    <n v="4900"/>
    <x v="0"/>
    <d v="2026-03-13T00:00:00"/>
    <n v="3687.87"/>
    <n v="18070563"/>
    <n v="15811742.625"/>
  </r>
  <r>
    <s v="PCC-2026-00744"/>
    <s v="BEE667"/>
    <x v="1"/>
    <x v="0"/>
    <s v="Servicio de consultoria BEE Consultoria &amp; Negocios, contrato BI-VSC-15479-2022-001 - Ivonne Ordoñez. - Servicio del 01 al 28 de Febrero - Antonio Rafael Patety.  -  Pedido de Compra: PCC-2026-00744"/>
    <s v="USD"/>
    <n v="4900"/>
    <x v="0"/>
    <d v="2026-03-13T00:00:00"/>
    <n v="3687.87"/>
    <n v="18070563"/>
    <n v="15811742.625"/>
  </r>
  <r>
    <s v="NO RECIBIDO"/>
    <s v="BEE668"/>
    <x v="1"/>
    <x v="0"/>
    <s v="Servicio de consultoria BEE Consultoria &amp; Negocios, contrato BI-VSC-15479-2022-001 - Jonathan Alexander Mena - Servicio del 01 al 28 de Febrero- Yenilka Yineth Cianca Miranda. Pedido de Compra: NO RECIBIDO_x000a_"/>
    <s v="USD"/>
    <m/>
    <x v="1"/>
    <d v="2026-03-13T00:00:00"/>
    <m/>
    <s v=""/>
    <s v=""/>
  </r>
  <r>
    <s v="PCC-2026-00676"/>
    <s v="BEE669"/>
    <x v="1"/>
    <x v="0"/>
    <s v="Servicio de consultoria BEE Consultoria &amp; Negocios, contrato BI-VSC-15479-2022-001 - Aaron Wladimir Loor - Servicio del 01 al 28 de Febrero - Douglas Emir Barrera Bouche - . Pedido de Compra: PCC-2026-00676"/>
    <s v="USD"/>
    <n v="3876.64"/>
    <x v="0"/>
    <d v="2026-03-13T00:00:00"/>
    <n v="3687.87"/>
    <n v="14296544.356799999"/>
    <n v="12509476.312199999"/>
  </r>
  <r>
    <s v="PCC-2026-00686"/>
    <s v="BEE670"/>
    <x v="1"/>
    <x v="0"/>
    <s v="Servicio de consultoria BEE Consultoria &amp; Negocios, contrato BI-VSC-15479-2022-001 - Nicolas Jair Viana Castro - Servicio del 01 al 28 de Febrero- Douglas Emir Barrera Bouche -. Pedido de Compra: PCC-2026-00686_x000a_CAPEX: EVC-717008-EV1-2026 Interoperabilidad Yappy"/>
    <s v="USD"/>
    <n v="4637.2700000000004"/>
    <x v="0"/>
    <d v="2026-03-13T00:00:00"/>
    <n v="3687.87"/>
    <n v="17101648.914900001"/>
    <n v="14963942.800537501"/>
  </r>
  <r>
    <s v="NO RECIBIDO"/>
    <s v="BEE671"/>
    <x v="1"/>
    <x v="0"/>
    <s v="Servicio de consultoria BEE Consultoria &amp; Negocios, contrato BI-VSC-15479-2022-001 - Maritza Nataly Rosero - Servicio del 19 al 28 de Febrero - Ana Isabel Rodriguez - . Pedido de Compra: NO RECIBIDO"/>
    <s v="USD"/>
    <n v="1546.0666666666671"/>
    <x v="0"/>
    <d v="2026-03-13T00:00:00"/>
    <n v="3687.87"/>
    <n v="5701692.8780000014"/>
    <n v="4988981.2682500016"/>
  </r>
  <r>
    <s v="NO RECIBIDO"/>
    <s v="BEE672"/>
    <x v="1"/>
    <x v="0"/>
    <s v="Servicio de consultoria BEE Consultoria &amp; Negocios, contrato BI-VSC-15479-2022-001 - Nicole Yadira Chavez Garcia - Servicio del 23 al 28 de Febrero - Ana Isabel Rodriguez - . Pedido de Compra: NO RECIBIDO"/>
    <s v="USD"/>
    <n v="1051.3257142857142"/>
    <x v="0"/>
    <d v="2026-03-13T00:00:00"/>
    <n v="3687.87"/>
    <n v="3877152.5619428568"/>
    <n v="3392508.4916999997"/>
  </r>
  <r>
    <s v="NO RECIBIDO"/>
    <s v="BEE673"/>
    <x v="1"/>
    <x v="0"/>
    <s v="Servicio de consultoria BEE Consultoria &amp; Negocios, contrato BI-VSC-15479-2022-001 - Pratt Christian Garcia Regalado - Servicio del 26 al 28 de Febrero - Ana Isabel Rodriguez - . Pedido de Compra: NO RECIBIDO"/>
    <s v="USD"/>
    <n v="442.07476190476217"/>
    <x v="0"/>
    <d v="2026-03-13T00:00:00"/>
    <n v="3687.87"/>
    <n v="1630314.2521857151"/>
    <n v="1426524.9706625007"/>
  </r>
  <r>
    <s v="PCC-2026-00682"/>
    <s v="BEE674"/>
    <x v="1"/>
    <x v="0"/>
    <s v="Servicio de consultoria BEE Consultoria &amp; Negocios, contrato BI-VSC-15479-2022-001 - Elkin Andres Aristizabal - Servicio del 01 al 19 de Febrero - Erika Lavinia Lasso Carrasquilla - . Pedido de Compra: PCC-2026-00682"/>
    <s v="USD"/>
    <n v="2399.8200000000002"/>
    <x v="0"/>
    <d v="2026-03-13T00:00:00"/>
    <n v="3687.87"/>
    <n v="8850224.1833999995"/>
    <n v="7743946.1604749998"/>
  </r>
  <r>
    <s v="NO RECIBIDO"/>
    <s v="BEE675"/>
    <x v="1"/>
    <x v="0"/>
    <s v="Servicio de consultoria BEE Consultoria &amp; Negocios, contrato BI-VSC-15479-2022-001 - Elkin Andres Aristizabal - Servicio del 20 al 28 de Febrero - Zoraida Del Carmen Perez Bernal - . Pedido de Compra: NO RECIBIDO"/>
    <s v="USD"/>
    <n v="1476.82"/>
    <x v="2"/>
    <d v="2026-03-13T00:00:00"/>
    <n v="3687.87"/>
    <n v="5446320.1733999997"/>
    <n v="4765530.1517249998"/>
  </r>
  <r>
    <s v="PCC-2026-00543"/>
    <s v="BEE676"/>
    <x v="1"/>
    <x v="0"/>
    <s v="Servicio de consultoria BEE Consultoria &amp; Negocios, contrato BI-VSC-15479-2022-001 - Kevin Simbaña - Servicio del 01 al 28 de Febrero - Yenilka Yineth Cianca Miranda - . Pedido de Compra: PCC-2026-00543"/>
    <s v="USD"/>
    <n v="4416.45"/>
    <x v="3"/>
    <d v="2026-03-16T00:00:00"/>
    <n v="3687.87"/>
    <n v="16287293.461499998"/>
    <n v="14251381.778812498"/>
  </r>
  <r>
    <s v="PCC-2026-00543"/>
    <s v="BEE676"/>
    <x v="1"/>
    <x v="0"/>
    <s v="Servicio de consultoria BEE Consultoria &amp; Negocios, contrato BI-VSC-15479-2022-001 - Kevin Olivo - Servicio del 01 al 28 de Febrero- Yenilka Yineth Cianca Miranda. Pedido de Compra: PCC-2026-00543"/>
    <s v="USD"/>
    <n v="4416.45"/>
    <x v="3"/>
    <d v="2026-03-16T00:00:00"/>
    <n v="3687.87"/>
    <n v="16287293.461499998"/>
    <n v="14251381.778812498"/>
  </r>
  <r>
    <s v="PCC-2026-00543"/>
    <s v="BEE676"/>
    <x v="1"/>
    <x v="0"/>
    <s v="Servicio de consultoria BEE Consultoria &amp; Negocios, contrato BI-VSC-15479-2022-001 - Kevin Joel Monteros - Servicio del 01 al 17 de Febrero - Yenilka Yineth Cianca Miranda - . Pedido de Compra: PCC-2026-00543"/>
    <s v="USD"/>
    <n v="2733.8928571428573"/>
    <x v="3"/>
    <d v="2026-03-16T00:00:00"/>
    <n v="3687.87"/>
    <n v="10082241.451071428"/>
    <n v="8821961.2696874999"/>
  </r>
  <r>
    <s v="PCC-2026-00543"/>
    <s v="BEE676"/>
    <x v="1"/>
    <x v="0"/>
    <s v="Servicio de consultoria BEE Consultoria &amp; Negocios, contrato BI-VSC-15479-2022-001 - Wilson Gabriel Ordoñez - Servicio del 01 al 28 de Febrero Yenilka Yineth Cianca Miranda - . Pedido de Compra: PCC-2026-00543"/>
    <s v="USD"/>
    <n v="4416.45"/>
    <x v="3"/>
    <d v="2026-03-16T00:00:00"/>
    <n v="3687.87"/>
    <n v="16287293.461499998"/>
    <n v="14251381.778812498"/>
  </r>
  <r>
    <s v="PCC-2026-00543"/>
    <s v="BEE676"/>
    <x v="1"/>
    <x v="0"/>
    <s v="Servicio de consultoria BEE Consultoria &amp; Negocios, contrato BI-VSC-15479-2022-001 - Xavier Ulises Salazar Ruiz - Servicio del 01 al 28 de Febrero Yenilka Yineth Cianca Miranda - . Pedido de Compra: PCC-2026-00543"/>
    <s v="USD"/>
    <n v="5610.93"/>
    <x v="3"/>
    <d v="2026-03-16T00:00:00"/>
    <n v="3687.87"/>
    <n v="20692380.419100001"/>
    <n v="18105832.866712503"/>
  </r>
  <r>
    <s v="PCC-2026-00545"/>
    <s v="BEE677"/>
    <x v="1"/>
    <x v="0"/>
    <s v="Servicio de consultoria BEE Consultoria &amp; Negocios, contrato BI-VSC-15479-2022-001 - Anyela Julieth Castillo - Servicio del 01 al 28 de Febrero- Yenilka Yineth Cianca Miranda -. Pedido de Compra: PCC-2026-00545"/>
    <s v="USD"/>
    <n v="3876.64"/>
    <x v="3"/>
    <d v="2026-03-16T00:00:00"/>
    <n v="3687.87"/>
    <n v="14296544.356799999"/>
    <n v="12509476.312199999"/>
  </r>
  <r>
    <s v="PCC-2026-00545"/>
    <s v="BEE677"/>
    <x v="1"/>
    <x v="0"/>
    <s v="Descuento comercial"/>
    <s v="USD"/>
    <n v="-26.64"/>
    <x v="3"/>
    <d v="2026-03-16T00:00:00"/>
    <n v="3687.87"/>
    <n v="-98244.856799999994"/>
    <n v="-85964.2497"/>
  </r>
  <r>
    <s v="PCC-2026-00545"/>
    <s v="BEE677"/>
    <x v="1"/>
    <x v="0"/>
    <s v="Servicio de consultoria BEE Consultoria &amp; Negocios, contrato BI-VSC-15479-2022-001 - Darwin Rodriguez - Servicio del 01 al 28 de Febrero - Yenilka Yineth Cianca Miranda -. Pedido de Compra: PCC-2026-00545"/>
    <s v="USD"/>
    <n v="4416.45"/>
    <x v="3"/>
    <d v="2026-03-16T00:00:00"/>
    <n v="3687.87"/>
    <n v="16287293.461499998"/>
    <n v="14251381.778812498"/>
  </r>
  <r>
    <s v="PCC-2026-00545"/>
    <s v="BEE677"/>
    <x v="1"/>
    <x v="0"/>
    <s v="Servicio de consultoria BEE Consultoria &amp; Negocios, contrato BI-VSC-15479-2022-001 - Jefferson Espinosa - Servicio del 01 al 28 de Febrero Yenilka Yineth Cianca Miranda - . Pedido de Compra: PCC-2026-00545"/>
    <s v="USD"/>
    <n v="4416.45"/>
    <x v="3"/>
    <d v="2026-03-16T00:00:00"/>
    <n v="3687.87"/>
    <n v="16287293.461499998"/>
    <n v="14251381.778812498"/>
  </r>
  <r>
    <s v="PCC-2026-00545"/>
    <s v="BEE677"/>
    <x v="1"/>
    <x v="0"/>
    <s v="Servicio de consultoria BEE Consultoria &amp; Negocios, contrato BI-VSC-15479-2022-001 - Estefania Nicolalde -Servicio del 01 al 28 de Febrero - Yenilka Yineth Cianca Miranda -.  Pedido de Compra: PCC-2026-00545"/>
    <s v="USD"/>
    <n v="4416.45"/>
    <x v="3"/>
    <d v="2026-03-16T00:00:00"/>
    <n v="3687.87"/>
    <n v="16287293.461499998"/>
    <n v="14251381.778812498"/>
  </r>
  <r>
    <s v="PCC-2026-00545"/>
    <s v="BEE677"/>
    <x v="1"/>
    <x v="0"/>
    <s v="Servicio de consultoria BEE Consultoria &amp; Negocios, contrato BI-VSC-15479-2022-001 - Nixon Quezada - Servicio del 01 al 28 de Febrero Yenilka Yineth Cianca Miranda - . Pedido de Compra: PCC-2026-00545"/>
    <s v="USD"/>
    <n v="4416.45"/>
    <x v="3"/>
    <d v="2026-03-16T00:00:00"/>
    <n v="3687.87"/>
    <n v="16287293.461499998"/>
    <n v="14251381.778812498"/>
  </r>
  <r>
    <s v="PCC-2026-00545"/>
    <s v="BEE677"/>
    <x v="1"/>
    <x v="0"/>
    <s v="Servicio de consultoria BEE Consultoria &amp; Negocios, contrato BI-VSC-15479-2022-001 - Stiven Oswaldo Lopez - Servicio del 01 al 28 de Febrero Yenilka Yineth Cianca Miranda - . Pedido de Compra: PCC-2026-00545"/>
    <s v="USD"/>
    <n v="4416.45"/>
    <x v="3"/>
    <d v="2026-03-16T00:00:00"/>
    <n v="3687.87"/>
    <n v="16287293.461499998"/>
    <n v="14251381.778812498"/>
  </r>
  <r>
    <s v="PCC-2026-00620"/>
    <s v="BEE678"/>
    <x v="1"/>
    <x v="0"/>
    <s v="Servicio de consultoria BEE Consultoria &amp; Negocios, contrato BI-VSC-15479-2022-001 - Jonathan Alexander Mena - Servicio del 01 al 28 de Febrero- Yenilka Yineth Cianca Miranda. Pedido de Compra: PCC-2026-00620_x000a_"/>
    <s v="USD"/>
    <n v="4416.45"/>
    <x v="2"/>
    <d v="2026-03-16T00:00:00"/>
    <n v="3687.87"/>
    <n v="16287293.461499998"/>
    <n v="14251381.778812498"/>
  </r>
  <r>
    <s v="PCC-2026-01067"/>
    <s v="BEE679"/>
    <x v="2"/>
    <x v="0"/>
    <s v="Servicio de consultoria BEE Consultoria &amp; Negocios, contrato BI-VSC-15479-2022-001 - Victor Daniel Perez Diaz - Servicio del 01 al 31 de Marzo- Jorge Ernesto Rodriguez Rodriguez. Pedido de Compra: PCC-2026-01067_x000a_CAPEX: Implementación de repositorios en región alterna en la nube (Región 2)"/>
    <s v="USD"/>
    <n v="4100"/>
    <x v="1"/>
    <d v="2026-04-13T00:00:00"/>
    <m/>
    <s v=""/>
    <s v=""/>
  </r>
  <r>
    <s v="PCC-2026-01072"/>
    <s v="BEE680"/>
    <x v="2"/>
    <x v="0"/>
    <s v="Servicio de consultoria BEE Consultoria &amp; Negocios, contrato BI-VSC-15479-2022-001 - Wbeimar Peña -Servicio del 01 al 31 de Marzo- Jorge Ernesto Rodriguez Rodriguez. Pedido de Compra: PCC-2026-01072_x000a_CAPEX: Implementación de repositorios en región alterna en la nube (Región 2)"/>
    <s v="USD"/>
    <n v="5000"/>
    <x v="1"/>
    <d v="2026-04-13T00:00:00"/>
    <m/>
    <s v=""/>
    <s v=""/>
  </r>
  <r>
    <s v="PCC-2026-01230"/>
    <s v="BEE681"/>
    <x v="2"/>
    <x v="0"/>
    <s v="Servicio de consultoria BEE Consultoria &amp; Negocios, contrato BI-VSC-15479-2022-001 - Kevin Simbaña - Servicio del 01 al 31 de Marzo - Yenilka Yineth Cianca Miranda - . Pedido de Compra: PCC-2026-01230"/>
    <s v="USD"/>
    <n v="4416.45"/>
    <x v="2"/>
    <d v="2026-04-13T00:00:00"/>
    <m/>
    <s v=""/>
    <s v=""/>
  </r>
  <r>
    <s v="PCC-2026-01230"/>
    <s v="BEE681"/>
    <x v="2"/>
    <x v="0"/>
    <s v="Servicio de consultoria BEE Consultoria &amp; Negocios, contrato BI-VSC-15479-2022-001 - Kevin Olivo - Servicio del 01 al 31 de Marzo- Yenilka Yineth Cianca Miranda. Pedido de Compra: PCC-2026-01230"/>
    <s v="USD"/>
    <n v="4416.45"/>
    <x v="2"/>
    <d v="2026-04-13T00:00:00"/>
    <m/>
    <s v=""/>
    <s v=""/>
  </r>
  <r>
    <s v="PCC-2026-01230"/>
    <s v="BEE681"/>
    <x v="2"/>
    <x v="0"/>
    <s v="Servicio de consultoria BEE Consultoria &amp; Negocios, contrato BI-VSC-15479-2022-001 - Kevin Joel Monteros - Servicio del 01 al 17 de Marzo - Yenilka Yineth Cianca Miranda - . Pedido de Compra: PCC-2026-01230"/>
    <s v="USD"/>
    <n v="4416.45"/>
    <x v="2"/>
    <d v="2026-04-13T00:00:00"/>
    <m/>
    <s v=""/>
    <s v=""/>
  </r>
  <r>
    <s v="PCC-2026-01230"/>
    <s v="BEE681"/>
    <x v="2"/>
    <x v="0"/>
    <s v="Servicio de consultoria BEE Consultoria &amp; Negocios, contrato BI-VSC-15479-2022-001 - Wilson Gabriel Ordoñez - Servicio del 01 al 31 de Marzo Yenilka Yineth Cianca Miranda - . Pedido de Compra: PCC-2026-01230"/>
    <s v="USD"/>
    <n v="4416.45"/>
    <x v="2"/>
    <d v="2026-04-13T00:00:00"/>
    <m/>
    <s v=""/>
    <s v=""/>
  </r>
  <r>
    <s v="PCC-2026-01230"/>
    <s v="BEE681"/>
    <x v="2"/>
    <x v="0"/>
    <s v="Servicio de consultoria BEE Consultoria &amp; Negocios, contrato BI-VSC-15479-2022-001 - Xavier Ulises Salazar Ruiz - Servicio del 01 al 31 de Marzo Yenilka Yineth Cianca Miranda - . Pedido de Compra: PCC-2026-01230"/>
    <s v="USD"/>
    <n v="5610.93"/>
    <x v="2"/>
    <d v="2026-04-13T00:00:00"/>
    <m/>
    <s v=""/>
    <s v=""/>
  </r>
  <r>
    <s v="PCC-2026-01230"/>
    <s v="BEE681"/>
    <x v="2"/>
    <x v="0"/>
    <s v="Servicio de consultoria BEE Consultoria &amp; Negocios, contrato BI-VSC-15479-2022-001 - Jonathan Alexander Mena - Servicio del 01 al 31 de Marzo- Yenilka Yineth Cianca Miranda. Pedido de Compra: PCC-2026-01230"/>
    <s v="USD"/>
    <n v="4416.45"/>
    <x v="2"/>
    <d v="2026-04-13T00:00:00"/>
    <m/>
    <s v=""/>
    <s v=""/>
  </r>
  <r>
    <s v="PCC-2026-01132"/>
    <s v="BEE682"/>
    <x v="2"/>
    <x v="0"/>
    <s v="Servicio de consultoria BEE Consultoria &amp; Negocios, contrato BI-VSC-15479-2022-001 - Jennifer Pacheco Meza -Servicio del 01 al 31 de Marzo- Sandra Milena Tafur. Pedido de Compra: PCC-2026-01132"/>
    <s v="USD"/>
    <n v="3876.64"/>
    <x v="2"/>
    <d v="2026-04-13T00:00:00"/>
    <m/>
    <s v=""/>
    <s v=""/>
  </r>
  <r>
    <s v="NO RECIBIDO"/>
    <s v="BEE683"/>
    <x v="2"/>
    <x v="0"/>
    <s v="Servicio de consultoria BEE Consultoria &amp; Negocios, contrato BI-VSC-15479-2022-001 - Jose Luis Torres  - Servicio del 01 al 31 de Marzo - Ana Isabel Rodriguez. Pedido de Compra:  NO RECIBIDO"/>
    <s v="USD"/>
    <n v="4637.2700000000004"/>
    <x v="2"/>
    <d v="2026-04-13T00:00:00"/>
    <m/>
    <s v=""/>
    <s v=""/>
  </r>
  <r>
    <s v="PCC-2026-01175"/>
    <s v="BEE684"/>
    <x v="2"/>
    <x v="0"/>
    <s v="Servicio de consultoria BEE Consultoria &amp; Negocios, contrato BI-VSC-15479-2022-001 - Laura Valentina Acosta - Servicio del 01 al 31 de Marzo - Luis Afranio Arauz Acosta, Pedido de Compra: PCC-2026-01175_x000a_CAPEX: EVC004-EV-1-2026-Mostrar detalle de saldos retenidos en BLE"/>
    <s v="USD"/>
    <n v="4637.2700000000004"/>
    <x v="2"/>
    <d v="2026-04-13T00:00:00"/>
    <m/>
    <s v=""/>
    <s v=""/>
  </r>
  <r>
    <s v="NO RECIBIDO"/>
    <s v="BEE685"/>
    <x v="2"/>
    <x v="0"/>
    <s v="Servicio de consultoria BEE Consultoria &amp; Negocios, contrato BI-VSC-15479-2022-001 - John Sebastian Briceño - Servicio del 01 al 31 de Marzo- Sandra Milena Valencia Tafur -. Pedido de Compra: NO RECIBIDO_x000a_CAPEX: EVC-706478- QR POS afiliados Banistmo - Banistmo (cta a cta)"/>
    <s v="USD"/>
    <n v="5000"/>
    <x v="2"/>
    <d v="2026-04-13T00:00:00"/>
    <m/>
    <s v=""/>
    <s v=""/>
  </r>
  <r>
    <s v="PCC-2026-01223"/>
    <s v="BEE686"/>
    <x v="2"/>
    <x v="0"/>
    <s v="Servicio de consultoria BEE Consultoria &amp; Negocios, contrato BI-VSC-15479-2022-001 - Anyela Julieth Castillo - Servicio del 01 al 31 de Marzo- Yenilka Yineth Cianca Miranda -. Pedido de Compra: PCC-2026-01223"/>
    <s v="USD"/>
    <n v="3876.64"/>
    <x v="2"/>
    <d v="2026-04-13T00:00:00"/>
    <m/>
    <s v=""/>
    <s v=""/>
  </r>
  <r>
    <s v="PCC-2026-01223"/>
    <s v="BEE686"/>
    <x v="2"/>
    <x v="0"/>
    <s v="Descuento comercial"/>
    <s v="USD"/>
    <n v="-26.64"/>
    <x v="2"/>
    <d v="2026-04-13T00:00:00"/>
    <m/>
    <s v=""/>
    <s v=""/>
  </r>
  <r>
    <s v="PCC-2026-01223"/>
    <s v="BEE686"/>
    <x v="2"/>
    <x v="0"/>
    <s v="Servicio de consultoria BEE Consultoria &amp; Negocios, contrato BI-VSC-15479-2022-001 - Darwin Rodriguez - Servicio del 01 al 31 de Marzo - Yenilka Yineth Cianca Miranda -. Pedido de Compra: PCC-2026-01223"/>
    <s v="USD"/>
    <n v="4416.45"/>
    <x v="2"/>
    <d v="2026-04-13T00:00:00"/>
    <m/>
    <s v=""/>
    <s v=""/>
  </r>
  <r>
    <s v="PCC-2026-01223"/>
    <s v="BEE686"/>
    <x v="2"/>
    <x v="0"/>
    <s v="Servicio de consultoria BEE Consultoria &amp; Negocios, contrato BI-VSC-15479-2022-001 - Jefferson Espinosa - Servicio del 01 al 31 de Marzo Yenilka Yineth Cianca Miranda - . Pedido de Compra: PCC-2026-01223"/>
    <s v="USD"/>
    <n v="4416.45"/>
    <x v="2"/>
    <d v="2026-04-13T00:00:00"/>
    <m/>
    <s v=""/>
    <s v=""/>
  </r>
  <r>
    <s v="PCC-2026-01223"/>
    <s v="BEE686"/>
    <x v="2"/>
    <x v="0"/>
    <s v="Servicio de consultoria BEE Consultoria &amp; Negocios, contrato BI-VSC-15479-2022-001 - Estefania Nicolalde -Servicio del 01 al 31 de Marzo - Yenilka Yineth Cianca Miranda -.  Pedido de Compra: PCC-2026-01223"/>
    <s v="USD"/>
    <n v="4416.45"/>
    <x v="2"/>
    <d v="2026-04-13T00:00:00"/>
    <m/>
    <s v=""/>
    <s v=""/>
  </r>
  <r>
    <s v="PCC-2026-01223"/>
    <s v="BEE686"/>
    <x v="2"/>
    <x v="0"/>
    <s v="Servicio de consultoria BEE Consultoria &amp; Negocios, contrato BI-VSC-15479-2022-001 - Nixon Quezada - Servicio del 01 al 31 de Marzo Yenilka Yineth Cianca Miranda - . Pedido de Compra: PCC-2026-01223"/>
    <s v="USD"/>
    <n v="4416.45"/>
    <x v="2"/>
    <d v="2026-04-13T00:00:00"/>
    <m/>
    <s v=""/>
    <s v=""/>
  </r>
  <r>
    <s v="PCC-2026-01223"/>
    <s v="BEE686"/>
    <x v="2"/>
    <x v="0"/>
    <s v="Servicio de consultoria BEE Consultoria &amp; Negocios, contrato BI-VSC-15479-2022-001 - Stiven Oswaldo Lopez - Servicio del 01 al 31 de Marzo Yenilka Yineth Cianca Miranda - . Pedido de Compra: PCC-2026-01223"/>
    <s v="USD"/>
    <n v="4416.45"/>
    <x v="2"/>
    <d v="2026-04-13T00:00:00"/>
    <m/>
    <s v=""/>
    <s v=""/>
  </r>
  <r>
    <s v="PCC-2026-01215_x000a_ "/>
    <s v="BEE687"/>
    <x v="2"/>
    <x v="0"/>
    <s v="Servicio de consultoria BEE Consultoria &amp; Negocios, contrato BI-VSC-15479-2022-001 - Kevin Caicedo Alvarez - Servicio del 01 al 31 de Marzo- Luis Afranio Arauz Acosta. Pedido de Compra: PCC-2026-01215_x000a_CAPEX: EVC-717008-EV1-2026 Interoperabilidad Yappy - Onboarding entrega 1"/>
    <s v="USD"/>
    <n v="3876.64"/>
    <x v="2"/>
    <d v="2026-04-13T00:00:00"/>
    <m/>
    <s v=""/>
    <s v=""/>
  </r>
  <r>
    <s v="PCC-2026-01112"/>
    <s v="BEE688"/>
    <x v="2"/>
    <x v="0"/>
    <s v="Servicio de consultoria BEE Consultoria &amp; Negocios, contrato BI-VSC-15479-2022-001 - Aneyda Diaz. - Servicio del  01 al 31 de Marzo -  Antonio Rafael Patety. Pedido de Compra: PCC-2026-01112"/>
    <s v="USD"/>
    <n v="4900"/>
    <x v="2"/>
    <d v="2026-04-13T00:00:00"/>
    <m/>
    <s v=""/>
    <s v=""/>
  </r>
  <r>
    <s v="NO RECIBIDO"/>
    <s v="BEE689"/>
    <x v="2"/>
    <x v="0"/>
    <s v="Servicio de consultoria BEE Consultoria &amp; Negocios, contrato BI-VSC-15479-2022-001 - Ivonne Ordoñez. - Servicio del 01 al 15 de Marzo - Antonio Rafael Patety.  -  Pedido de Compra: NO RECIBIDO"/>
    <s v="USD"/>
    <n v="2100"/>
    <x v="2"/>
    <d v="2026-04-13T00:00:00"/>
    <m/>
    <s v=""/>
    <s v=""/>
  </r>
  <r>
    <s v="PCC-2026-01089"/>
    <s v="BEE690"/>
    <x v="2"/>
    <x v="0"/>
    <s v="Servicio de consultoria BEE Consultoria &amp; Negocios, contrato BI-VSC-15479-2022-001 - Ivonne Ordoñez. - Servicio del 16 al 31 de Marzo - Ana Isabel Rogriguez  -  Pedido de Compra: PCC-2026-01089"/>
    <s v="USD"/>
    <n v="2429.2661904761903"/>
    <x v="2"/>
    <d v="2026-04-13T00:00:00"/>
    <m/>
    <s v=""/>
    <s v=""/>
  </r>
  <r>
    <s v="PCC-2026-01131_x000a_ "/>
    <s v="BEE691"/>
    <x v="2"/>
    <x v="0"/>
    <s v="Servicio de consultoria BEE Consultoria &amp; Negocios, contrato BI-VSC-15479-2022-001 - Aaron Wladimir Loor - Servicio del 01 al 31 de Marzo - Luis Alberto Urrutia Valdes - . Pedido de Compra: PCC-2026-01131"/>
    <s v="USD"/>
    <n v="3876.64"/>
    <x v="2"/>
    <d v="2026-04-13T00:00:00"/>
    <m/>
    <s v=""/>
    <s v=""/>
  </r>
  <r>
    <s v="PCC-2026-01166"/>
    <s v="BEE692"/>
    <x v="2"/>
    <x v="0"/>
    <s v="Servicio de consultoria BEE Consultoria &amp; Negocios, contrato BI-VSC-15479-2022-001 - Nicolas Jair Viana Castro - Servicio del 01 al 31 de Marzo- Luis Alberto Urrutia Valdes -. Pedido de Compra: PCC-2026-01166_x000a_CAPEX: 796007 EVC-717008-EV1-2026 Interoperabilidad Yappy"/>
    <s v="USD"/>
    <n v="3091.6733333333336"/>
    <x v="2"/>
    <d v="2026-04-13T00:00:00"/>
    <m/>
    <s v=""/>
    <s v=""/>
  </r>
  <r>
    <s v="NO RECIBIDO"/>
    <s v="BEE693"/>
    <x v="2"/>
    <x v="0"/>
    <s v="Servicio de consultoria BEE Consultoria &amp; Negocios, contrato BI-VSC-15479-2022-001 - Maritza Nataly Rosero - Servicio del 01 al 31 de Marzo - Ana Isabel Rodriguez - . Pedido de Compra: NO RECIBIDO"/>
    <s v="USD"/>
    <n v="4637.2700000000004"/>
    <x v="2"/>
    <d v="2026-04-13T00:00:00"/>
    <m/>
    <s v=""/>
    <s v=""/>
  </r>
  <r>
    <s v="NO RECIBIDO"/>
    <s v="BEE694"/>
    <x v="2"/>
    <x v="0"/>
    <s v="Servicio de consultoria BEE Consultoria &amp; Negocios, contrato BI-VSC-15479-2022-001 - Nicole Yadira Chavez Garcia - Servicio del 01 al 31 de Marzo - Ana Isabel Rodriguez - . Pedido de Compra: NO RECIBIDO"/>
    <s v="USD"/>
    <n v="4416.45"/>
    <x v="2"/>
    <d v="2026-04-13T00:00:00"/>
    <m/>
    <s v=""/>
    <s v=""/>
  </r>
  <r>
    <s v="NO RECIBIDO"/>
    <s v="BEE695"/>
    <x v="2"/>
    <x v="0"/>
    <s v="Servicio de consultoria BEE Consultoria &amp; Negocios, contrato BI-VSC-15479-2022-001 - Pratt Christian Garcia Regalado - Servicio del 01 al 31 de Marzo - Ana Isabel Rodriguez - . Pedido de Compra: NO RECIBIDO"/>
    <s v="USD"/>
    <n v="4637.2700000000004"/>
    <x v="2"/>
    <d v="2026-04-13T00:00:00"/>
    <m/>
    <s v=""/>
    <s v=""/>
  </r>
  <r>
    <s v="PCC-2026-01129_x000a_ "/>
    <s v="BEE696"/>
    <x v="2"/>
    <x v="0"/>
    <s v="Servicio de consultoria BEE Consultoria &amp; Negocios, contrato BI-VSC-15479-2022-001 - Elkin Andres Aristizabal - Servicio del 01 al 31 de Marzo - Zoraida Del Carmen Perez Bernal - . Pedido de Compra: PCC-2026-01129"/>
    <s v="USD"/>
    <n v="3876.64"/>
    <x v="2"/>
    <d v="2026-04-13T00:00:00"/>
    <m/>
    <s v=""/>
    <s v=""/>
  </r>
  <r>
    <s v="NO RECIBIDO"/>
    <s v="NO EMITIR"/>
    <x v="2"/>
    <x v="0"/>
    <s v="Servicio de consultoria BEE Consultoria &amp; Negocios, contrato BI-VSC-15479-2022-001 - Jonathan Hans Ballesteros - Servicio del 02 al 31 de Marzo - Zoraida Del Carmen Perez Bernal - . Pedido de Compra: NO RECIBIDO"/>
    <s v="USD"/>
    <n v="0"/>
    <x v="4"/>
    <m/>
    <m/>
    <s v=""/>
    <s v=""/>
  </r>
  <r>
    <s v="NO RECIBIDO"/>
    <s v="NO EMITIR"/>
    <x v="2"/>
    <x v="0"/>
    <s v="Servicio de consultoria BEE Consultoria &amp; Negocios, contrato BI-VSC-15479-2022-001 - Victor Medina Choque - Servicio del 04 al 31 de Marzo - Zoraida Del Carmen Perez Bernal - . Pedido de Compra: NO RECIBIDO"/>
    <s v="USD"/>
    <n v="0"/>
    <x v="4"/>
    <m/>
    <m/>
    <s v=""/>
    <s v=""/>
  </r>
  <r>
    <s v="NO RECIBIDO"/>
    <s v="BEE697"/>
    <x v="2"/>
    <x v="0"/>
    <s v="Servicio de consultoria BEE Consultoria &amp; Negocios, contrato BI-VSC-15479-2022-001 - Martin Alejandro Mafla Jarrin - Servicio del 16 al 31 de Marzo - Luis Afranio Arauz Acosta - . Pedido de Compra: NO RECIBIDO_x000a_CAPEX: EVC004-EV-1-2026-Lotes para pagos de servicios e impuestos"/>
    <s v="USD"/>
    <n v="2200"/>
    <x v="2"/>
    <d v="2026-04-13T00:00:00"/>
    <m/>
    <s v=""/>
    <s v=""/>
  </r>
  <r>
    <s v="NO RECIBIDO"/>
    <s v="BEE698"/>
    <x v="2"/>
    <x v="0"/>
    <s v="Servicio de consultoria BEE Consultoria &amp; Negocios, contrato BI-VSC-15479-2022-001 - Esteban Bohorques Rodriguez - Servicio del 16 al 31 de Marzo - Edith Olaine Gonzalez Vergara - . Pedido de Compra: NO RECIBIDO"/>
    <s v="USD"/>
    <n v="2429.2661904761903"/>
    <x v="2"/>
    <d v="2026-04-13T00:00:00"/>
    <m/>
    <s v=""/>
    <s v=""/>
  </r>
  <r>
    <s v="PCC-2026-01151"/>
    <s v="BEE699"/>
    <x v="2"/>
    <x v="0"/>
    <s v="Servicio de consultoria BEE Consultoria &amp; Negocios, contrato BI-VSC-15479-2022-001 - Carlos Diaz - Servicio del 16 al 31 de Marzo - Zoraida Del Carmen Perez Bernal - . Pedido de Compra: PCC-2026-01151"/>
    <s v="USD"/>
    <n v="2429.2661904761903"/>
    <x v="2"/>
    <d v="2026-04-13T00:00:00"/>
    <m/>
    <s v=""/>
    <s v=""/>
  </r>
  <r>
    <s v="PCC-2026-01067"/>
    <s v="BEE711"/>
    <x v="2"/>
    <x v="0"/>
    <s v="Servicio de consultoria BEE Consultoria &amp; Negocios, contrato BI-VSC-15479-2022-001 - Victor Daniel Perez Diaz - Servicio del 01 al 31 de Marzo- Jorge Ernesto Rodriguez Rodriguez. Pedido de Compra: PCC-2026-01067_x000a_CAPEX: Implementación de repositorios en región alterna en la nube (Región 2)"/>
    <s v="USD"/>
    <n v="4100"/>
    <x v="2"/>
    <d v="2026-04-13T00:00:00"/>
    <m/>
    <s v=""/>
    <s v=""/>
  </r>
  <r>
    <s v="PCC-2026-01072"/>
    <s v="BEE712"/>
    <x v="2"/>
    <x v="0"/>
    <s v="Servicio de consultoria BEE Consultoria &amp; Negocios, contrato BI-VSC-15479-2022-001 - Wbeimar Peña -Servicio del 01 al 31 de Marzo- Jorge Ernesto Rodriguez Rodriguez. Pedido de Compra: PCC-2026-01072_x000a_CAPEX: Implementación de repositorios en región alterna en la nube (Región 2)"/>
    <s v="USD"/>
    <n v="5000"/>
    <x v="2"/>
    <d v="2026-04-13T00:00:00"/>
    <m/>
    <s v=""/>
    <s v=""/>
  </r>
  <r>
    <s v="NO RECIBIDO"/>
    <s v="BEE700"/>
    <x v="3"/>
    <x v="0"/>
    <s v="Servicio de consultoria BEE Consultoria &amp; Negocios, contrato BI-VSC-15479-2022-001 - Alexander Fabricio Castro - Servicio del 13 al 30 de Abril - Luis Alberto Urrutia Valdes - . Pedido de Compra: NO RECIBIDO_x000a_CAPEX: 796007 EVC-717008-EV1-2026 Interoperabilidad Yappy"/>
    <s v="USD"/>
    <n v="3201.9245238095241"/>
    <x v="2"/>
    <d v="2026-04-13T00:00:00"/>
    <m/>
    <s v=""/>
    <s v=""/>
  </r>
  <r>
    <s v="NO RECIBIDO"/>
    <s v="BEE701"/>
    <x v="3"/>
    <x v="0"/>
    <s v="Servicio de consultoria BEE Consultoria &amp; Negocios, contrato BI-VSC-15479-2022-001 - Nicolas Jair Viana Castro - Servicio del 01 al 30 de Abril- Luis Alberto Urrutia Valdes -. Pedido de Compra: NO RECIBIDO_x000a_CAPEX: 796007 EVC-717008-EV1-2026 Interoperabilidad Yappy"/>
    <s v="USD"/>
    <n v="4306.0364285714286"/>
    <x v="2"/>
    <d v="2026-04-13T00:00:00"/>
    <m/>
    <s v=""/>
    <s v=""/>
  </r>
  <r>
    <s v="NO RECIBIDO"/>
    <s v="BEE702"/>
    <x v="3"/>
    <x v="0"/>
    <s v="Servicio de consultoria BEE Consultoria &amp; Negocios, contrato BI-VSC-15479-2022-001 - Jonathan Hans Ballesteros - Servicio del 01 al 30 de Abril - Luis Afranio Arauz Acosta - . Pedido de Compra: NO RECIBIDO_x000a_CAPEX: EVC004-EV-1-2026-Mostrar detalle de saldos retenidos en BLE"/>
    <s v="USD"/>
    <n v="3876.64"/>
    <x v="2"/>
    <d v="2026-04-13T00:00:00"/>
    <m/>
    <s v=""/>
    <s v=""/>
  </r>
  <r>
    <s v="NO RECIBIDO"/>
    <s v="BEE703"/>
    <x v="3"/>
    <x v="0"/>
    <s v="Servicio de consultoria BEE Consultoria &amp; Negocios, contrato BI-VSC-15479-2022-001 - Victor Daniel Perez Diaz - Servicio del 01 al 30 de Abril- Luis Afranio Arauz Acosta. Pedido de Compra: NO RECIBIDO_x000a_CAPEX: EVC-749855-EV-1-2026-Generación de cartas de referencias bancarias BLE"/>
    <s v="USD"/>
    <n v="4100"/>
    <x v="2"/>
    <d v="2026-04-13T00:00:00"/>
    <m/>
    <s v=""/>
    <s v=""/>
  </r>
  <r>
    <s v="NO RECIBIDO"/>
    <s v="BEE704"/>
    <x v="3"/>
    <x v="0"/>
    <s v="Servicio de consultoria BEE Consultoria &amp; Negocios, contrato BI-VSC-15479-2022-001 - Martin Alejandro Mafla Jarrin - Servicio del 1 al 30 de Abril - Luis Afranio Arauz Acosta - . Pedido de Compra: NO RECIBIDO_x000a_CAPEX: EVC004-EV-1-2026-Lotes para pagos de servicios e impuestos"/>
    <s v="USD"/>
    <n v="4200"/>
    <x v="2"/>
    <d v="2026-04-13T00:00:00"/>
    <m/>
    <s v=""/>
    <s v=""/>
  </r>
  <r>
    <s v="NO RECIBIDO"/>
    <s v="BEE705"/>
    <x v="3"/>
    <x v="0"/>
    <s v="Servicio de consultoria BEE Consultoria &amp; Negocios, contrato BI-VSC-15479-2022-001 - Laura Valentina Acosta - Servicio del 01 al 30 de Abril - Luis Afranio Arauz Acosta, Pedido de Compra: NO RECIBIDO_x000a_CAPEX: EVC004-EV-1-2026-Mostrar detalle de saldos retenidos en BLE"/>
    <s v="USD"/>
    <n v="4637.2700000000004"/>
    <x v="2"/>
    <d v="2026-04-13T00:00:00"/>
    <m/>
    <s v=""/>
    <s v=""/>
  </r>
  <r>
    <s v="NO RECIBIDO"/>
    <s v="BEE706"/>
    <x v="3"/>
    <x v="0"/>
    <s v="Servicio de consultoria BEE Consultoria &amp; Negocios, contrato BI-VSC-15479-2022-001 - Andres David Ramirez Albarracin - Servicio del 9 al 30 de Abril - Luis Afranio Arauz Acosta - . Pedido de Compra: NO RECIBIDO_x000a_CAPEX: EVC-717008-EV1-2026 Interoperabilidad Yappy - Onboarding entrega 1"/>
    <s v="USD"/>
    <n v="3643.5692857142858"/>
    <x v="2"/>
    <d v="2026-04-13T00:00:00"/>
    <m/>
    <s v=""/>
    <s v=""/>
  </r>
  <r>
    <s v="NO RECIBIDO"/>
    <s v="BEE707"/>
    <x v="3"/>
    <x v="0"/>
    <s v="Servicio de consultoria BEE Consultoria &amp; Negocios, contrato BI-VSC-15479-2022-001 - Byron Andres Idrovo Campana - Servicio del 9 al 30 de Abril - Luis Afranio Arauz Acosta - . Pedido de Compra: NO RECIBIDO_x000a_CAPEX: EVC-717008-EV1-2026 Interoperabilidad Yappy - Onboarding entrega 1"/>
    <s v="USD"/>
    <n v="3045.9314285714286"/>
    <x v="2"/>
    <d v="2026-04-13T00:00:00"/>
    <m/>
    <s v=""/>
    <s v=""/>
  </r>
  <r>
    <s v="NO RECIBIDO"/>
    <s v="BEE708"/>
    <x v="3"/>
    <x v="0"/>
    <s v="Servicio de consultoria BEE Consultoria &amp; Negocios, contrato BI-VSC-15479-2022-001 - Kevin Caicedo Alvarez - Servicio del 01 al 30 de Abril- Luis Afranio Arauz Acosta. Pedido de Compra: NO RECIBIDO_x000a_CAPEX: EVC-717008-EV1-2026 Interoperabilidad Yappy - Onboarding entrega 1"/>
    <s v="USD"/>
    <n v="3784.3390476190475"/>
    <x v="2"/>
    <d v="2026-04-13T00:00:00"/>
    <m/>
    <s v=""/>
    <s v=""/>
  </r>
  <r>
    <s v="NO RECIBIDO"/>
    <s v="BEE709"/>
    <x v="3"/>
    <x v="0"/>
    <s v="Servicio de consultoria BEE Consultoria &amp; Negocios, contrato BI-VSC-15479-2022-001 - Estiward Alexander Duque Cortes - Servicio del 9 al 30 de Abril - Luis Afranio Arauz Acosta - . Pedido de Compra: NO RECIBIDO_x000a_EVC-717008-EV1-2026 Interoperabilidad Yappy - Onboarding entrega 1"/>
    <s v="USD"/>
    <n v="3045.9314285714286"/>
    <x v="2"/>
    <d v="2026-04-13T00:00:00"/>
    <m/>
    <s v=""/>
    <s v=""/>
  </r>
  <r>
    <s v="NO RECIBIDO"/>
    <s v="BEE710"/>
    <x v="3"/>
    <x v="0"/>
    <s v="Servicio de consultoria BEE Consultoria &amp; Negocios, contrato BI-VSC-15479-2022-001 - John Sebastian Briceño - Servicio del 01 al 30 de Abril- Sandra Milena Valencia Tafur -. Pedido de Compra: NO RECIBIDO_x000a_CAPEX: EVC-706478- QR POS afiliados Banistmo - Banistmo (cta a cta)"/>
    <s v="USD"/>
    <n v="5000"/>
    <x v="2"/>
    <d v="2026-04-13T00:00:00"/>
    <m/>
    <s v=""/>
    <s v=""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  <r>
    <m/>
    <m/>
    <x v="4"/>
    <x v="1"/>
    <m/>
    <m/>
    <m/>
    <x v="5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s v="BEE644"/>
    <x v="0"/>
    <n v="22540.629999999997"/>
    <d v="2026-02-24T00:00:00"/>
    <s v="Op_C106254RBK022426"/>
    <n v="28853.4"/>
    <n v="11"/>
    <s v="Op_2263830099JS"/>
    <n v="579.76000000000022"/>
    <n v="0.12502183396696767"/>
    <x v="0"/>
    <n v="3791.3"/>
    <n v="15383237.663000001"/>
  </r>
  <r>
    <s v="BEE645"/>
    <x v="0"/>
    <n v="3784.3199999999997"/>
    <d v="2026-02-24T00:00:00"/>
    <s v="Op_C106254RBK022426"/>
    <s v="Ya registrado"/>
    <n v="11"/>
    <s v="Op_2295129098JS"/>
    <n v="-427.70285714285637"/>
    <n v="-6.1841560332763459E-2"/>
    <x v="0"/>
    <n v="3791.3"/>
    <n v="27842586.853000004"/>
  </r>
  <r>
    <s v="BEE646"/>
    <x v="0"/>
    <n v="4637.2700000000004"/>
    <d v="2026-04-09T00:00:00"/>
    <s v="Op_2263830099JS"/>
    <n v="4057.51"/>
    <n v="55"/>
    <s v="Op_C105650RBK022426"/>
    <n v="4728.2428571428536"/>
    <n v="0.12539798155839596"/>
    <x v="0"/>
    <n v="3777.5"/>
    <n v="124573072.875"/>
  </r>
  <r>
    <s v="BEE647"/>
    <x v="0"/>
    <n v="4637.2700000000004"/>
    <d v="2026-02-24T00:00:00"/>
    <s v="Op_C105650RBK022426"/>
    <n v="32977.65"/>
    <n v="11"/>
    <s v="Op_C106254RBK022426"/>
    <n v="4139.0609523809471"/>
    <n v="0.12545475035508818"/>
    <x v="1"/>
    <n v="3670.5"/>
    <n v="105906404.7"/>
  </r>
  <r>
    <s v="BEE648"/>
    <x v="0"/>
    <n v="5000"/>
    <d v="2026-03-10T00:00:00"/>
    <s v="Op_S0660692F9EA01"/>
    <n v="10704.16"/>
    <n v="25"/>
    <s v="Op_C211931RBK022626"/>
    <n v="590.66000000000031"/>
    <n v="0.12737235485533518"/>
    <x v="1"/>
    <n v="3670.5"/>
    <n v="14853082.005000001"/>
  </r>
  <r>
    <s v="BEE649"/>
    <x v="0"/>
    <n v="4637.2700000000004"/>
    <d v="2026-02-24T00:00:00"/>
    <s v="Op_C106254RBK022426"/>
    <s v="Ya registrado"/>
    <n v="11"/>
    <s v="Op_S0660692F9EA01"/>
    <n v="1529.1733333333341"/>
    <n v="0.12500054495912813"/>
    <x v="2"/>
    <m/>
    <n v="0"/>
  </r>
  <r>
    <s v="BEE650"/>
    <x v="0"/>
    <n v="3123.8095238095239"/>
    <d v="2026-03-16T00:00:00"/>
    <s v="Op_S066075480C701"/>
    <n v="2733.33"/>
    <n v="31"/>
    <s v="Op_S066075480C701"/>
    <n v="390.47952380952393"/>
    <n v="0.12500106707317077"/>
    <x v="2"/>
    <m/>
    <n v="0"/>
  </r>
  <r>
    <s v="BEE651"/>
    <x v="0"/>
    <n v="24775.532857142858"/>
    <d v="2026-02-24T00:00:00"/>
    <s v="Op_C105650RBK022426"/>
    <s v="Ya registrado"/>
    <n v="11"/>
    <s v="Op_S066076377D901"/>
    <n v="3168.880000000001"/>
    <n v="0.12500019723087852"/>
    <x v="2"/>
    <m/>
    <n v="0"/>
  </r>
  <r>
    <s v="BEE652"/>
    <x v="0"/>
    <n v="2030.2409523809522"/>
    <d v="2026-02-24T00:00:00"/>
    <s v="Op_C106254RBK022426"/>
    <s v="Ya registrado"/>
    <n v="11"/>
    <s v="Op_S066082869E301"/>
    <n v="7657.9628571428548"/>
    <n v="0.12500002040360186"/>
    <x v="2"/>
    <m/>
    <n v="0"/>
  </r>
  <r>
    <s v="BEE653"/>
    <x v="0"/>
    <n v="7233.3333333333339"/>
    <d v="2026-03-10T00:00:00"/>
    <s v="Op_S0660692F9EA01"/>
    <s v="Ya registrado"/>
    <n v="25"/>
    <s v="Op_S06608286D0401"/>
    <n v="1314.2399999999998"/>
    <n v="0.12500011889011792"/>
    <x v="2"/>
    <m/>
    <n v="0"/>
  </r>
  <r>
    <s v="BEE654"/>
    <x v="0"/>
    <n v="4416.45"/>
    <d v="2026-02-24T00:00:00"/>
    <s v="Op_C105650RBK022426"/>
    <s v="Ya registrado"/>
    <n v="11"/>
    <m/>
    <n v="0"/>
    <s v=""/>
    <x v="2"/>
    <m/>
    <n v="0"/>
  </r>
  <r>
    <s v="BEE655"/>
    <x v="0"/>
    <n v="4637.2700000000004"/>
    <d v="2026-02-26T00:00:00"/>
    <s v="Op_C211931RBK022626"/>
    <n v="4046.61"/>
    <n v="13"/>
    <m/>
    <n v="0"/>
    <s v=""/>
    <x v="2"/>
    <m/>
    <n v="0"/>
  </r>
  <r>
    <s v="BEE656"/>
    <x v="0"/>
    <n v="3876.64"/>
    <d v="2026-02-24T00:00:00"/>
    <s v="Op_C105650RBK022426"/>
    <s v="Ya registrado"/>
    <n v="11"/>
    <m/>
    <n v="0"/>
    <s v=""/>
    <x v="2"/>
    <m/>
    <n v="0"/>
  </r>
  <r>
    <s v="BEE657"/>
    <x v="0"/>
    <n v="3876.64"/>
    <d v="2026-04-08T00:00:00"/>
    <s v="Op_2295129098JS"/>
    <n v="7343.81"/>
    <n v="54"/>
    <m/>
    <n v="0"/>
    <s v=""/>
    <x v="2"/>
    <m/>
    <n v="0"/>
  </r>
  <r>
    <s v="BEE658"/>
    <x v="1"/>
    <n v="21594.172857142858"/>
    <d v="2026-03-24T00:00:00"/>
    <s v="Op_S066082869E301"/>
    <n v="53605.73"/>
    <n v="11"/>
    <m/>
    <n v="0"/>
    <s v=""/>
    <x v="2"/>
    <m/>
    <n v="0"/>
  </r>
  <r>
    <s v="BEE659"/>
    <x v="1"/>
    <n v="3876.64"/>
    <d v="2026-03-24T00:00:00"/>
    <s v="Op_S06608286D0401"/>
    <n v="9199.67"/>
    <n v="11"/>
    <m/>
    <n v="0"/>
    <s v=""/>
    <x v="2"/>
    <m/>
    <n v="0"/>
  </r>
  <r>
    <s v="BEE660"/>
    <x v="1"/>
    <n v="4637.2700000000004"/>
    <d v="2026-03-17T00:00:00"/>
    <s v="Op_S066076377D901"/>
    <n v="22182.12"/>
    <n v="4"/>
    <m/>
    <n v="0"/>
    <s v=""/>
    <x v="2"/>
    <m/>
    <n v="0"/>
  </r>
  <r>
    <s v="BEE661"/>
    <x v="1"/>
    <n v="4637.2700000000004"/>
    <d v="2026-03-24T00:00:00"/>
    <s v="Op_S06608286D0401"/>
    <s v="Ya registrado"/>
    <n v="11"/>
    <m/>
    <n v="0"/>
    <s v=""/>
    <x v="2"/>
    <m/>
    <n v="0"/>
  </r>
  <r>
    <s v="BEE662"/>
    <x v="1"/>
    <n v="5000"/>
    <d v="2026-03-24T00:00:00"/>
    <s v="Op_S066082869E301"/>
    <s v="Ya registrado"/>
    <n v="11"/>
    <m/>
    <n v="0"/>
    <s v=""/>
    <x v="2"/>
    <m/>
    <n v="0"/>
  </r>
  <r>
    <s v="BEE663"/>
    <x v="1"/>
    <n v="4637.2700000000004"/>
    <d v="2026-03-24T00:00:00"/>
    <s v="Op_S066082869E301"/>
    <s v="Ya registrado"/>
    <n v="11"/>
    <m/>
    <n v="0"/>
    <s v=""/>
    <x v="2"/>
    <m/>
    <n v="0"/>
  </r>
  <r>
    <s v="BEE664"/>
    <x v="1"/>
    <n v="4100"/>
    <d v="2026-03-24T00:00:00"/>
    <s v="Op_S066082869E301"/>
    <s v="Ya registrado"/>
    <n v="11"/>
    <m/>
    <n v="0"/>
    <s v=""/>
    <x v="2"/>
    <m/>
    <n v="0"/>
  </r>
  <r>
    <s v="BEE665"/>
    <x v="1"/>
    <n v="25932.250000000004"/>
    <d v="2026-03-24T00:00:00"/>
    <s v="Op_S066082869E301"/>
    <s v="Ya registrado"/>
    <n v="11"/>
    <m/>
    <n v="0"/>
    <s v=""/>
    <x v="2"/>
    <m/>
    <n v="0"/>
  </r>
  <r>
    <s v="BEE666"/>
    <x v="1"/>
    <n v="1999.9999999999998"/>
    <d v="2026-03-24T00:00:00"/>
    <s v="Op_S06608286D0401"/>
    <s v="Ya registrado"/>
    <n v="11"/>
    <m/>
    <n v="0"/>
    <s v=""/>
    <x v="2"/>
    <m/>
    <n v="0"/>
  </r>
  <r>
    <s v="BEE667"/>
    <x v="1"/>
    <n v="9800"/>
    <d v="2026-03-17T00:00:00"/>
    <s v="Op_S066076377D901"/>
    <s v="Ya registrado"/>
    <n v="4"/>
    <m/>
    <n v="0"/>
    <s v=""/>
    <x v="2"/>
    <m/>
    <n v="0"/>
  </r>
  <r>
    <s v="BEE668"/>
    <x v="1"/>
    <n v="0"/>
    <m/>
    <m/>
    <s v=""/>
    <s v=""/>
    <m/>
    <n v="0"/>
    <s v=""/>
    <x v="2"/>
    <m/>
    <n v="0"/>
  </r>
  <r>
    <s v="BEE669"/>
    <x v="1"/>
    <n v="3876.64"/>
    <d v="2026-03-17T00:00:00"/>
    <s v="Op_S066076377D901"/>
    <s v="Ya registrado"/>
    <n v="4"/>
    <m/>
    <n v="0"/>
    <s v=""/>
    <x v="2"/>
    <m/>
    <n v="0"/>
  </r>
  <r>
    <s v="BEE670"/>
    <x v="1"/>
    <n v="4637.2700000000004"/>
    <d v="2026-03-17T00:00:00"/>
    <s v="Op_S066076377D901"/>
    <s v="Ya registrado"/>
    <n v="4"/>
    <m/>
    <n v="0"/>
    <s v=""/>
    <x v="2"/>
    <m/>
    <n v="0"/>
  </r>
  <r>
    <s v="BEE671"/>
    <x v="1"/>
    <n v="1546.0666666666671"/>
    <d v="2026-04-08T00:00:00"/>
    <s v="Op_2295129098JS"/>
    <s v="Ya registrado"/>
    <n v="26"/>
    <m/>
    <n v="0"/>
    <s v=""/>
    <x v="2"/>
    <m/>
    <n v="0"/>
  </r>
  <r>
    <s v="BEE672"/>
    <x v="1"/>
    <n v="1051.3257142857142"/>
    <d v="2026-04-08T00:00:00"/>
    <s v="Op_2295129098JS"/>
    <s v="Ya registrado"/>
    <n v="26"/>
    <m/>
    <n v="0"/>
    <s v=""/>
    <x v="2"/>
    <m/>
    <n v="0"/>
  </r>
  <r>
    <s v="BEE673"/>
    <x v="1"/>
    <n v="442.07476190476217"/>
    <d v="2026-04-08T00:00:00"/>
    <s v="Op_2295129098JS"/>
    <s v="Ya registrado"/>
    <n v="26"/>
    <m/>
    <n v="0"/>
    <s v=""/>
    <x v="2"/>
    <m/>
    <n v="0"/>
  </r>
  <r>
    <s v="BEE674"/>
    <x v="1"/>
    <n v="2399.8200000000002"/>
    <d v="2026-03-17T00:00:00"/>
    <s v="Op_S066076377D901"/>
    <s v="Ya registrado"/>
    <n v="4"/>
    <m/>
    <n v="0"/>
    <s v=""/>
    <x v="2"/>
    <m/>
    <n v="0"/>
  </r>
  <r>
    <s v="BEE675"/>
    <x v="1"/>
    <n v="1476.82"/>
    <m/>
    <m/>
    <s v=""/>
    <s v=""/>
    <m/>
    <n v="0"/>
    <s v=""/>
    <x v="2"/>
    <m/>
    <n v="0"/>
  </r>
  <r>
    <s v="BEE676"/>
    <x v="1"/>
    <n v="21594.172857142858"/>
    <m/>
    <m/>
    <s v=""/>
    <s v=""/>
    <m/>
    <n v="0"/>
    <s v=""/>
    <x v="2"/>
    <m/>
    <n v="0"/>
  </r>
  <r>
    <s v="BEE677"/>
    <x v="1"/>
    <n v="25932.250000000004"/>
    <m/>
    <m/>
    <s v=""/>
    <s v=""/>
    <m/>
    <n v="0"/>
    <s v=""/>
    <x v="2"/>
    <m/>
    <n v="0"/>
  </r>
  <r>
    <s v="BEE678"/>
    <x v="1"/>
    <n v="4416.45"/>
    <m/>
    <m/>
    <s v=""/>
    <s v=""/>
    <m/>
    <n v="0"/>
    <s v=""/>
    <x v="2"/>
    <m/>
    <n v="0"/>
  </r>
  <r>
    <s v="BEE679"/>
    <x v="2"/>
    <n v="4100"/>
    <m/>
    <m/>
    <s v=""/>
    <s v=""/>
    <m/>
    <n v="0"/>
    <s v=""/>
    <x v="2"/>
    <m/>
    <n v="0"/>
  </r>
  <r>
    <s v="BEE680"/>
    <x v="2"/>
    <n v="5000"/>
    <m/>
    <m/>
    <s v=""/>
    <s v=""/>
    <m/>
    <n v="0"/>
    <s v=""/>
    <x v="2"/>
    <m/>
    <n v="0"/>
  </r>
  <r>
    <s v="BEE681"/>
    <x v="2"/>
    <n v="27693.18"/>
    <m/>
    <m/>
    <s v=""/>
    <s v=""/>
    <m/>
    <n v="0"/>
    <s v=""/>
    <x v="2"/>
    <m/>
    <n v="0"/>
  </r>
  <r>
    <s v="BEE682"/>
    <x v="2"/>
    <n v="3876.64"/>
    <m/>
    <m/>
    <s v=""/>
    <s v=""/>
    <m/>
    <n v="0"/>
    <s v=""/>
    <x v="2"/>
    <m/>
    <n v="0"/>
  </r>
  <r>
    <s v="BEE683"/>
    <x v="2"/>
    <n v="4637.2700000000004"/>
    <m/>
    <m/>
    <s v=""/>
    <s v=""/>
    <m/>
    <n v="0"/>
    <s v=""/>
    <x v="2"/>
    <m/>
    <n v="0"/>
  </r>
  <r>
    <s v="BEE684"/>
    <x v="2"/>
    <n v="4637.2700000000004"/>
    <m/>
    <m/>
    <s v=""/>
    <s v=""/>
    <m/>
    <n v="0"/>
    <s v=""/>
    <x v="2"/>
    <m/>
    <n v="0"/>
  </r>
  <r>
    <s v="BEE685"/>
    <x v="2"/>
    <n v="5000"/>
    <m/>
    <m/>
    <s v=""/>
    <s v=""/>
    <m/>
    <n v="0"/>
    <s v=""/>
    <x v="2"/>
    <m/>
    <n v="0"/>
  </r>
  <r>
    <s v="BEE686"/>
    <x v="2"/>
    <n v="25932.250000000004"/>
    <m/>
    <m/>
    <s v=""/>
    <s v=""/>
    <m/>
    <n v="0"/>
    <s v=""/>
    <x v="2"/>
    <m/>
    <n v="0"/>
  </r>
  <r>
    <s v="BEE687"/>
    <x v="2"/>
    <n v="3876.64"/>
    <m/>
    <m/>
    <s v=""/>
    <s v=""/>
    <m/>
    <n v="0"/>
    <s v=""/>
    <x v="2"/>
    <m/>
    <n v="0"/>
  </r>
  <r>
    <s v="BEE688"/>
    <x v="2"/>
    <n v="4900"/>
    <m/>
    <m/>
    <s v=""/>
    <s v=""/>
    <m/>
    <n v="0"/>
    <s v=""/>
    <x v="2"/>
    <m/>
    <n v="0"/>
  </r>
  <r>
    <s v="BEE689"/>
    <x v="2"/>
    <n v="2100"/>
    <m/>
    <m/>
    <s v=""/>
    <s v=""/>
    <m/>
    <n v="0"/>
    <s v=""/>
    <x v="2"/>
    <m/>
    <n v="0"/>
  </r>
  <r>
    <s v="BEE690"/>
    <x v="2"/>
    <n v="2429.2661904761903"/>
    <m/>
    <m/>
    <s v=""/>
    <s v=""/>
    <m/>
    <n v="0"/>
    <s v=""/>
    <x v="2"/>
    <m/>
    <n v="0"/>
  </r>
  <r>
    <s v="BEE691"/>
    <x v="2"/>
    <n v="3876.64"/>
    <m/>
    <m/>
    <s v=""/>
    <s v=""/>
    <m/>
    <n v="0"/>
    <s v=""/>
    <x v="2"/>
    <m/>
    <n v="0"/>
  </r>
  <r>
    <s v="BEE692"/>
    <x v="2"/>
    <n v="3091.6733333333336"/>
    <m/>
    <m/>
    <s v=""/>
    <s v=""/>
    <m/>
    <n v="0"/>
    <s v=""/>
    <x v="2"/>
    <m/>
    <n v="0"/>
  </r>
  <r>
    <s v="BEE693"/>
    <x v="2"/>
    <n v="4637.2700000000004"/>
    <m/>
    <m/>
    <s v=""/>
    <s v=""/>
    <m/>
    <n v="0"/>
    <s v=""/>
    <x v="2"/>
    <m/>
    <n v="0"/>
  </r>
  <r>
    <s v="BEE694"/>
    <x v="2"/>
    <n v="4416.45"/>
    <m/>
    <m/>
    <s v=""/>
    <s v=""/>
    <m/>
    <n v="0"/>
    <s v=""/>
    <x v="2"/>
    <m/>
    <n v="0"/>
  </r>
  <r>
    <s v="BEE695"/>
    <x v="2"/>
    <n v="4637.2700000000004"/>
    <m/>
    <m/>
    <s v=""/>
    <s v=""/>
    <m/>
    <n v="0"/>
    <s v=""/>
    <x v="2"/>
    <m/>
    <n v="0"/>
  </r>
  <r>
    <s v="BEE696"/>
    <x v="2"/>
    <n v="3876.64"/>
    <m/>
    <m/>
    <s v=""/>
    <s v=""/>
    <m/>
    <n v="0"/>
    <s v=""/>
    <x v="2"/>
    <m/>
    <n v="0"/>
  </r>
  <r>
    <s v="BEE697"/>
    <x v="2"/>
    <n v="2200"/>
    <m/>
    <m/>
    <s v=""/>
    <s v=""/>
    <m/>
    <n v="0"/>
    <s v=""/>
    <x v="2"/>
    <m/>
    <n v="0"/>
  </r>
  <r>
    <s v="BEE698"/>
    <x v="2"/>
    <n v="2429.2661904761903"/>
    <m/>
    <m/>
    <s v=""/>
    <s v=""/>
    <m/>
    <n v="0"/>
    <s v=""/>
    <x v="2"/>
    <m/>
    <n v="0"/>
  </r>
  <r>
    <s v="BEE699"/>
    <x v="2"/>
    <n v="2429.2661904761903"/>
    <m/>
    <m/>
    <s v=""/>
    <s v=""/>
    <m/>
    <n v="0"/>
    <s v=""/>
    <x v="2"/>
    <m/>
    <n v="0"/>
  </r>
  <r>
    <s v="BEE700"/>
    <x v="3"/>
    <n v="3201.9245238095241"/>
    <m/>
    <m/>
    <s v=""/>
    <s v=""/>
    <m/>
    <n v="0"/>
    <s v=""/>
    <x v="2"/>
    <m/>
    <n v="0"/>
  </r>
  <r>
    <s v="BEE701"/>
    <x v="3"/>
    <n v="4306.0364285714286"/>
    <m/>
    <m/>
    <s v=""/>
    <s v=""/>
    <m/>
    <n v="0"/>
    <s v=""/>
    <x v="2"/>
    <m/>
    <n v="0"/>
  </r>
  <r>
    <s v="BEE702"/>
    <x v="3"/>
    <n v="3876.64"/>
    <m/>
    <m/>
    <s v=""/>
    <s v=""/>
    <m/>
    <n v="0"/>
    <s v=""/>
    <x v="2"/>
    <m/>
    <n v="0"/>
  </r>
  <r>
    <s v="BEE703"/>
    <x v="3"/>
    <n v="4100"/>
    <m/>
    <m/>
    <s v=""/>
    <s v=""/>
    <m/>
    <n v="0"/>
    <s v=""/>
    <x v="2"/>
    <m/>
    <n v="0"/>
  </r>
  <r>
    <s v="BEE704"/>
    <x v="3"/>
    <n v="4200"/>
    <m/>
    <m/>
    <s v=""/>
    <s v=""/>
    <m/>
    <n v="0"/>
    <s v=""/>
    <x v="2"/>
    <m/>
    <n v="0"/>
  </r>
  <r>
    <s v="BEE705"/>
    <x v="3"/>
    <n v="4637.2700000000004"/>
    <m/>
    <m/>
    <s v=""/>
    <s v=""/>
    <m/>
    <n v="0"/>
    <s v=""/>
    <x v="2"/>
    <m/>
    <n v="0"/>
  </r>
  <r>
    <s v="BEE706"/>
    <x v="3"/>
    <n v="3643.5692857142858"/>
    <m/>
    <m/>
    <s v=""/>
    <s v=""/>
    <m/>
    <n v="0"/>
    <s v=""/>
    <x v="2"/>
    <m/>
    <n v="0"/>
  </r>
  <r>
    <s v="BEE707"/>
    <x v="3"/>
    <n v="3045.9314285714286"/>
    <m/>
    <m/>
    <s v=""/>
    <s v=""/>
    <m/>
    <n v="0"/>
    <s v=""/>
    <x v="2"/>
    <m/>
    <n v="0"/>
  </r>
  <r>
    <s v="BEE708"/>
    <x v="3"/>
    <n v="3784.3390476190475"/>
    <m/>
    <m/>
    <s v=""/>
    <s v=""/>
    <m/>
    <n v="0"/>
    <s v=""/>
    <x v="2"/>
    <m/>
    <n v="0"/>
  </r>
  <r>
    <s v="BEE709"/>
    <x v="3"/>
    <n v="3045.9314285714286"/>
    <m/>
    <m/>
    <s v=""/>
    <s v=""/>
    <m/>
    <n v="0"/>
    <s v=""/>
    <x v="2"/>
    <m/>
    <n v="0"/>
  </r>
  <r>
    <s v="BEE710"/>
    <x v="3"/>
    <n v="5000"/>
    <m/>
    <m/>
    <s v=""/>
    <s v=""/>
    <m/>
    <n v="0"/>
    <s v=""/>
    <x v="2"/>
    <m/>
    <n v="0"/>
  </r>
  <r>
    <s v="BEE711"/>
    <x v="2"/>
    <n v="4100"/>
    <m/>
    <m/>
    <s v=""/>
    <s v=""/>
    <m/>
    <n v="0"/>
    <s v=""/>
    <x v="2"/>
    <m/>
    <n v="0"/>
  </r>
  <r>
    <s v="BEE712"/>
    <x v="2"/>
    <n v="5000"/>
    <m/>
    <m/>
    <s v=""/>
    <s v=""/>
    <m/>
    <n v="0"/>
    <s v=""/>
    <x v="2"/>
    <m/>
    <n v="0"/>
  </r>
  <r>
    <s v="NO EMITIR"/>
    <x v="2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  <r>
    <m/>
    <x v="4"/>
    <n v="0"/>
    <m/>
    <m/>
    <s v=""/>
    <s v=""/>
    <m/>
    <n v="0"/>
    <s v=""/>
    <x v="2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C8FFD-BA52-4483-A445-BD09CBFF3A49}" name="ValorTotalRecibid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5:B37" firstHeaderRow="1" firstDataRow="1" firstDataCol="1"/>
  <pivotFields count="14"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1">
    <field x="13"/>
  </rowFields>
  <rowItems count="2">
    <i>
      <x v="3"/>
    </i>
    <i t="grand">
      <x/>
    </i>
  </rowItems>
  <colItems count="1">
    <i/>
  </colItems>
  <dataFields count="1">
    <dataField name="Suma de Valor final recibido" fld="12" baseField="1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38A1B-B8F5-4C6C-A216-FA7ECFA5E795}" name="DiasPag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8:B24" firstHeaderRow="1" firstDataRow="1" firstDataCol="1"/>
  <pivotFields count="14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Días para pago" fld="6" subtotal="average" baseField="1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8D86E-2FEB-4E14-94E6-4118555252CE}" name="FacturadoVsRecibid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C7" firstHeaderRow="0" firstDataRow="1" firstDataCol="1"/>
  <pivotFields count="14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 facturado" fld="2" baseField="0" baseItem="0" numFmtId="165"/>
    <dataField name="Suma de Valor recibido" fld="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96AC5-A9F6-4801-82C4-8242B153C9A5}" name="Cliente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78:B80" firstHeaderRow="1" firstDataRow="1" firstDataCol="1"/>
  <pivotFields count="12"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13">
        <item h="1" x="5"/>
        <item x="1"/>
        <item h="1" m="1" x="8"/>
        <item x="3"/>
        <item h="1" m="1" x="10"/>
        <item h="1" m="1" x="11"/>
        <item h="1" m="1" x="9"/>
        <item x="0"/>
        <item h="1" m="1" x="7"/>
        <item x="2"/>
        <item x="4"/>
        <item h="1" m="1" x="6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Suma de Monto facturado" fld="6" baseField="3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8A671-003E-4F6A-9FC2-8A94D65E71C8}" name="EstadoFactura" cacheId="7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3">
  <location ref="A66:B72" firstHeaderRow="1" firstDataRow="1" firstDataCol="1"/>
  <pivotFields count="12"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13">
        <item h="1" m="1" x="8"/>
        <item h="1" m="1" x="10"/>
        <item h="1" m="1" x="11"/>
        <item h="1" m="1" x="9"/>
        <item h="1" m="1" x="7"/>
        <item x="4"/>
        <item h="1" m="1" x="6"/>
        <item x="3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 v="5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Estado" fld="7" subtotal="count" showDataAs="percentOfTotal" baseField="7" baseItem="5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AC749-260A-4908-87DA-4CEDE63F97BE}" name="ReportadoVsEsperado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50:C55" firstHeaderRow="0" firstDataRow="1" firstDataCol="1"/>
  <pivotFields count="12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3">
        <item h="1" x="5"/>
        <item x="1"/>
        <item h="1" m="1" x="8"/>
        <item x="3"/>
        <item h="1" m="1" x="10"/>
        <item h="1" m="1" x="11"/>
        <item h="1" m="1" x="9"/>
        <item x="0"/>
        <item h="1" m="1" x="7"/>
        <item x="2"/>
        <item x="4"/>
        <item h="1" m="1" x="6"/>
        <item t="default"/>
      </items>
    </pivotField>
    <pivotField showAll="0"/>
    <pivotField showAll="0"/>
    <pivotField dataField="1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 COP reportado DIAN" fld="10" baseField="2" baseItem="0" numFmtId="166"/>
    <dataField name="Suma de Monto COP esperado" fld="11" baseField="2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facturado" xr10:uid="{C14E60EA-54C4-4417-9A43-4F07E57B02FB}" sourceName="Mes facturado">
  <pivotTables>
    <pivotTable tabId="4" name="FacturadoVsRecibido"/>
    <pivotTable tabId="4" name="DiasPago"/>
    <pivotTable tabId="4" name="ValorTotalRecibido"/>
  </pivotTables>
  <data>
    <tabular pivotCacheId="1885074010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de_facturación" xr10:uid="{8D92ADFB-000C-49B0-98BF-5DD3B6384D55}" sourceName="Mes de facturación">
  <pivotTables>
    <pivotTable tabId="4" name="ReportadoVsEsperado"/>
    <pivotTable tabId="4" name="Cliente"/>
    <pivotTable tabId="4" name="EstadoFactura"/>
  </pivotTables>
  <data>
    <tabular pivotCacheId="815802001">
      <items count="5">
        <i x="0" s="1"/>
        <i x="1" s="1"/>
        <i x="2" s="1"/>
        <i x="3" s="1"/>
        <i x="4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D54C640C-7829-4646-B4C5-F76BD87B8334}" sourceName="Cliente">
  <pivotTables>
    <pivotTable tabId="4" name="ReportadoVsEsperado"/>
    <pivotTable tabId="4" name="Cliente"/>
    <pivotTable tabId="4" name="EstadoFactura"/>
  </pivotTables>
  <data>
    <tabular pivotCacheId="815802001">
      <items count="2">
        <i x="0" s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E78BA576-9C41-4A27-8130-98207F7E4CF6}" sourceName="Estado">
  <pivotTables>
    <pivotTable tabId="4" name="ReportadoVsEsperado"/>
    <pivotTable tabId="4" name="Cliente"/>
    <pivotTable tabId="4" name="EstadoFactura"/>
  </pivotTables>
  <data>
    <tabular pivotCacheId="815802001">
      <items count="12">
        <i x="5"/>
        <i x="1" s="1"/>
        <i x="3" s="1"/>
        <i x="0" s="1"/>
        <i x="2" s="1"/>
        <i x="4" s="1"/>
        <i x="8" nd="1"/>
        <i x="10" nd="1"/>
        <i x="11" nd="1"/>
        <i x="9" nd="1"/>
        <i x="7" nd="1"/>
        <i x="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facturado" xr10:uid="{86D2C420-A193-4308-B779-3A4CD254F1BD}" cache="SegmentaciónDeDatos_Mes_facturado" caption="Mes facturado" style="SlicerStyleDark5" rowHeight="257175"/>
  <slicer name="Mes de facturación" xr10:uid="{E3596023-BEA3-442A-B5B9-CF2E1B02C6CE}" cache="SegmentaciónDeDatos_Mes_de_facturación" caption="Mes de facturación" style="SlicerStyleDark2" rowHeight="257175"/>
  <slicer name="Cliente" xr10:uid="{1AD49915-F861-4077-9CE1-B53B00456CF3}" cache="SegmentaciónDeDatos_Cliente" caption="Cliente" style="SlicerStyleDark3" rowHeight="257175"/>
  <slicer name="Estado" xr10:uid="{800B9572-44C2-4DF7-BDE5-D523FD763E15}" cache="SegmentaciónDeDatos_Estado" caption="Estado" style="SlicerStyleDark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6" dT="2026-04-20T14:28:54.81" personId="{2A6BE2BF-10EC-4D7E-A2B8-0ACE061111C7}" id="{79DC2E41-88B1-480A-BDE4-95ED9E1E8396}">
    <text>Duplicada 658</text>
  </threadedComment>
  <threadedComment ref="H57" dT="2026-04-20T14:28:54.81" personId="{2A6BE2BF-10EC-4D7E-A2B8-0ACE061111C7}" id="{6C38B271-D343-4037-BDD4-56D094C692CA}">
    <text>Duplicada 658</text>
  </threadedComment>
  <threadedComment ref="H58" dT="2026-04-20T14:28:54.81" personId="{2A6BE2BF-10EC-4D7E-A2B8-0ACE061111C7}" id="{9AC685D2-B9C6-4D87-9903-0482D3497B8C}">
    <text>Duplicada 658</text>
  </threadedComment>
  <threadedComment ref="H59" dT="2026-04-20T14:28:54.81" personId="{2A6BE2BF-10EC-4D7E-A2B8-0ACE061111C7}" id="{EEC21618-C6B4-445F-95A4-509B1BEB98A1}">
    <text>Duplicada 658</text>
  </threadedComment>
  <threadedComment ref="H60" dT="2026-04-20T14:28:54.81" personId="{2A6BE2BF-10EC-4D7E-A2B8-0ACE061111C7}" id="{6DE4E4BE-A24C-4D78-8DD0-C409748EA40C}">
    <text>Duplicada 658</text>
  </threadedComment>
  <threadedComment ref="H61" dT="2026-04-20T14:29:28.68" personId="{2A6BE2BF-10EC-4D7E-A2B8-0ACE061111C7}" id="{C0C3DE5F-322F-492D-BB5C-2AFB011EC7DD}">
    <text>DUPLICADA 665</text>
  </threadedComment>
  <threadedComment ref="H62" dT="2026-04-20T14:29:28.68" personId="{2A6BE2BF-10EC-4D7E-A2B8-0ACE061111C7}" id="{7F530F95-B52A-4A57-8086-C8E8494346FE}">
    <text>DUPLICADA 665</text>
  </threadedComment>
  <threadedComment ref="H63" dT="2026-04-20T14:29:28.68" personId="{2A6BE2BF-10EC-4D7E-A2B8-0ACE061111C7}" id="{996C8598-E7C1-4AA3-BC3D-A9100F802A8F}">
    <text>DUPLICADA 665</text>
  </threadedComment>
  <threadedComment ref="H64" dT="2026-04-20T14:29:28.68" personId="{2A6BE2BF-10EC-4D7E-A2B8-0ACE061111C7}" id="{5808D4E9-7DA8-4D35-A3AE-4F49A90567DE}">
    <text>DUPLICADA 665</text>
  </threadedComment>
  <threadedComment ref="H65" dT="2026-04-20T14:29:28.68" personId="{2A6BE2BF-10EC-4D7E-A2B8-0ACE061111C7}" id="{7B90F0B9-30AB-4A55-9EE1-2460C706B9A2}">
    <text>DUPLICADA 665</text>
  </threadedComment>
  <threadedComment ref="H66" dT="2026-04-20T14:29:28.68" personId="{2A6BE2BF-10EC-4D7E-A2B8-0ACE061111C7}" id="{B3B9E4BC-A689-43F5-A27C-6327DB15ABD0}">
    <text>DUPLICADA 665</text>
  </threadedComment>
  <threadedComment ref="H67" dT="2026-04-20T14:29:28.68" personId="{2A6BE2BF-10EC-4D7E-A2B8-0ACE061111C7}" id="{8E97A6E4-3F86-46CB-B2A9-AAB24202FD8D}">
    <text>DUPLICADA 665</text>
  </threadedComment>
  <threadedComment ref="B69" dT="2026-04-09T22:48:24.53" personId="{9F097441-D0C4-44C8-AA0C-DB0220B6393D}" id="{570CCFE4-F558-4DB6-83F7-EA9D10E87539}">
    <text xml:space="preserve">CONFIRMAR SI DEBE REEMITIRSE INCLUYENDO EL CAPEX
</text>
  </threadedComment>
  <threadedComment ref="B70" dT="2026-04-09T22:48:24.53" personId="{9F097441-D0C4-44C8-AA0C-DB0220B6393D}" id="{7957A0D4-98E7-4808-A0F8-97AEC6EF5958}">
    <text xml:space="preserve">CONFIRMAR SI DEBE REEMITIRSE INCLUYENDO EL CAPEX
</text>
  </threadedComment>
  <threadedComment ref="B103" dT="2026-04-09T22:48:24.53" personId="{9F097441-D0C4-44C8-AA0C-DB0220B6393D}" id="{CE6615BE-20E0-481D-A85A-6540D9E32CDF}">
    <text xml:space="preserve">CONFIRMAR SI DEBE REEMITIRSE INCLUYENDO EL CAPEX
</text>
  </threadedComment>
  <threadedComment ref="B104" dT="2026-04-09T22:48:24.53" personId="{9F097441-D0C4-44C8-AA0C-DB0220B6393D}" id="{91BD4357-EA1C-4EDD-82F1-456C4A5D44AE}">
    <text xml:space="preserve">CONFIRMAR SI DEBE REEMITIRSE INCLUYENDO EL CAPEX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7C89-0965-4FBC-809E-308A0703FC9C}">
  <dimension ref="A1:L1500"/>
  <sheetViews>
    <sheetView showGridLines="0" tabSelected="1" workbookViewId="0">
      <selection activeCell="E9" sqref="E9"/>
    </sheetView>
  </sheetViews>
  <sheetFormatPr baseColWidth="10" defaultRowHeight="15" x14ac:dyDescent="0.25"/>
  <cols>
    <col min="1" max="1" width="16.28515625" bestFit="1" customWidth="1"/>
    <col min="2" max="2" width="13.85546875" customWidth="1"/>
    <col min="3" max="3" width="14.85546875" customWidth="1"/>
    <col min="5" max="5" width="52.5703125" customWidth="1"/>
    <col min="6" max="6" width="13.140625" customWidth="1"/>
    <col min="7" max="7" width="12.5703125" customWidth="1"/>
    <col min="8" max="8" width="11.85546875" customWidth="1"/>
    <col min="11" max="11" width="16.5703125" customWidth="1"/>
    <col min="12" max="12" width="16.7109375" customWidth="1"/>
  </cols>
  <sheetData>
    <row r="1" spans="1:12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</row>
    <row r="2" spans="1:12" x14ac:dyDescent="0.25">
      <c r="A2" s="5"/>
      <c r="B2" s="6"/>
      <c r="C2" s="5"/>
      <c r="D2" s="5"/>
      <c r="E2" s="8"/>
      <c r="F2" s="9"/>
      <c r="G2" s="5"/>
      <c r="H2" s="28" t="str">
        <f>IFERROR(IF(AND(COUNTIF(RegistroPago!$A$1:$A$2000,Consolidado!B2)&gt;0,INDEX(RegistroPago!$E$1:$E$2000,MATCH(Consolidado!B2,RegistroPago!$A$1:$A$2000,0))&lt;&gt;""),"PAGADA",IF(I2&lt;&gt;"","PENDIENTE","SIN EMITIR")),"")</f>
        <v/>
      </c>
      <c r="I2" s="10"/>
      <c r="J2" s="11"/>
      <c r="K2" s="29" t="str">
        <f>IF(J2&lt;&gt;"",J2*G2,"")</f>
        <v/>
      </c>
      <c r="L2" s="29" t="str">
        <f>IF(K2&lt;&gt;"",K2*87.5%,"")</f>
        <v/>
      </c>
    </row>
    <row r="3" spans="1:12" x14ac:dyDescent="0.25">
      <c r="A3" s="5"/>
      <c r="B3" s="6"/>
      <c r="C3" s="5"/>
      <c r="D3" s="5"/>
      <c r="E3" s="8"/>
      <c r="F3" s="9"/>
      <c r="G3" s="5"/>
      <c r="H3" s="28" t="str">
        <f>IFERROR(IF(AND(COUNTIF(RegistroPago!$A$1:$A$2000,Consolidado!B3)&gt;0,INDEX(RegistroPago!$E$1:$E$2000,MATCH(Consolidado!B3,RegistroPago!$A$1:$A$2000,0))&lt;&gt;""),"PAGADA",IF(I3&lt;&gt;"","PENDIENTE","SIN EMITIR")),"")</f>
        <v/>
      </c>
      <c r="I3" s="10"/>
      <c r="J3" s="11"/>
      <c r="K3" s="29" t="str">
        <f t="shared" ref="K3:K66" si="0">IF(J3&lt;&gt;"",J3*G3,"")</f>
        <v/>
      </c>
      <c r="L3" s="29" t="str">
        <f t="shared" ref="L3:L66" si="1">IF(K3&lt;&gt;"",K3*87.5%,"")</f>
        <v/>
      </c>
    </row>
    <row r="4" spans="1:12" x14ac:dyDescent="0.25">
      <c r="A4" s="5"/>
      <c r="B4" s="6"/>
      <c r="C4" s="5"/>
      <c r="D4" s="5"/>
      <c r="E4" s="8"/>
      <c r="F4" s="9"/>
      <c r="G4" s="5"/>
      <c r="H4" s="28" t="str">
        <f>IFERROR(IF(AND(COUNTIF(RegistroPago!$A$1:$A$2000,Consolidado!B4)&gt;0,INDEX(RegistroPago!$E$1:$E$2000,MATCH(Consolidado!B4,RegistroPago!$A$1:$A$2000,0))&lt;&gt;""),"PAGADA",IF(I4&lt;&gt;"","PENDIENTE","SIN EMITIR")),"")</f>
        <v/>
      </c>
      <c r="I4" s="10"/>
      <c r="J4" s="11"/>
      <c r="K4" s="29" t="str">
        <f t="shared" si="0"/>
        <v/>
      </c>
      <c r="L4" s="29" t="str">
        <f t="shared" si="1"/>
        <v/>
      </c>
    </row>
    <row r="5" spans="1:12" x14ac:dyDescent="0.25">
      <c r="A5" s="5"/>
      <c r="B5" s="6"/>
      <c r="C5" s="5"/>
      <c r="D5" s="5"/>
      <c r="E5" s="8"/>
      <c r="F5" s="9"/>
      <c r="G5" s="5"/>
      <c r="H5" s="28" t="str">
        <f>IFERROR(IF(AND(COUNTIF(RegistroPago!$A$1:$A$2000,Consolidado!B5)&gt;0,INDEX(RegistroPago!$E$1:$E$2000,MATCH(Consolidado!B5,RegistroPago!$A$1:$A$2000,0))&lt;&gt;""),"PAGADA",IF(I5&lt;&gt;"","PENDIENTE","SIN EMITIR")),"")</f>
        <v/>
      </c>
      <c r="I5" s="10"/>
      <c r="J5" s="11"/>
      <c r="K5" s="29" t="str">
        <f t="shared" si="0"/>
        <v/>
      </c>
      <c r="L5" s="29" t="str">
        <f t="shared" si="1"/>
        <v/>
      </c>
    </row>
    <row r="6" spans="1:12" x14ac:dyDescent="0.25">
      <c r="A6" s="5"/>
      <c r="B6" s="6"/>
      <c r="C6" s="5"/>
      <c r="D6" s="5"/>
      <c r="E6" s="8"/>
      <c r="F6" s="9"/>
      <c r="G6" s="5"/>
      <c r="H6" s="28" t="str">
        <f>IFERROR(IF(AND(COUNTIF(RegistroPago!$A$1:$A$2000,Consolidado!B6)&gt;0,INDEX(RegistroPago!$E$1:$E$2000,MATCH(Consolidado!B6,RegistroPago!$A$1:$A$2000,0))&lt;&gt;""),"PAGADA",IF(I6&lt;&gt;"","PENDIENTE","SIN EMITIR")),"")</f>
        <v/>
      </c>
      <c r="I6" s="10"/>
      <c r="J6" s="11"/>
      <c r="K6" s="29" t="str">
        <f t="shared" si="0"/>
        <v/>
      </c>
      <c r="L6" s="29" t="str">
        <f t="shared" si="1"/>
        <v/>
      </c>
    </row>
    <row r="7" spans="1:12" x14ac:dyDescent="0.25">
      <c r="A7" s="5"/>
      <c r="B7" s="6"/>
      <c r="C7" s="5"/>
      <c r="D7" s="5"/>
      <c r="E7" s="8"/>
      <c r="F7" s="9"/>
      <c r="G7" s="5"/>
      <c r="H7" s="28" t="str">
        <f>IFERROR(IF(AND(COUNTIF(RegistroPago!$A$1:$A$2000,Consolidado!B7)&gt;0,INDEX(RegistroPago!$E$1:$E$2000,MATCH(Consolidado!B7,RegistroPago!$A$1:$A$2000,0))&lt;&gt;""),"PAGADA",IF(I7&lt;&gt;"","PENDIENTE","SIN EMITIR")),"")</f>
        <v/>
      </c>
      <c r="I7" s="10"/>
      <c r="J7" s="11"/>
      <c r="K7" s="29" t="str">
        <f t="shared" si="0"/>
        <v/>
      </c>
      <c r="L7" s="29" t="str">
        <f t="shared" si="1"/>
        <v/>
      </c>
    </row>
    <row r="8" spans="1:12" x14ac:dyDescent="0.25">
      <c r="A8" s="5"/>
      <c r="B8" s="6"/>
      <c r="C8" s="5"/>
      <c r="D8" s="5"/>
      <c r="E8" s="8"/>
      <c r="F8" s="9"/>
      <c r="G8" s="5"/>
      <c r="H8" s="28" t="str">
        <f>IFERROR(IF(AND(COUNTIF(RegistroPago!$A$1:$A$2000,Consolidado!B8)&gt;0,INDEX(RegistroPago!$E$1:$E$2000,MATCH(Consolidado!B8,RegistroPago!$A$1:$A$2000,0))&lt;&gt;""),"PAGADA",IF(I8&lt;&gt;"","PENDIENTE","SIN EMITIR")),"")</f>
        <v/>
      </c>
      <c r="I8" s="10"/>
      <c r="J8" s="11"/>
      <c r="K8" s="29" t="str">
        <f t="shared" si="0"/>
        <v/>
      </c>
      <c r="L8" s="29" t="str">
        <f t="shared" si="1"/>
        <v/>
      </c>
    </row>
    <row r="9" spans="1:12" x14ac:dyDescent="0.25">
      <c r="A9" s="5"/>
      <c r="B9" s="6"/>
      <c r="C9" s="5"/>
      <c r="D9" s="5"/>
      <c r="E9" s="8"/>
      <c r="F9" s="9"/>
      <c r="G9" s="5"/>
      <c r="H9" s="28" t="str">
        <f>IFERROR(IF(AND(COUNTIF(RegistroPago!$A$1:$A$2000,Consolidado!B9)&gt;0,INDEX(RegistroPago!$E$1:$E$2000,MATCH(Consolidado!B9,RegistroPago!$A$1:$A$2000,0))&lt;&gt;""),"PAGADA",IF(I9&lt;&gt;"","PENDIENTE","SIN EMITIR")),"")</f>
        <v/>
      </c>
      <c r="I9" s="10"/>
      <c r="J9" s="11"/>
      <c r="K9" s="29" t="str">
        <f t="shared" si="0"/>
        <v/>
      </c>
      <c r="L9" s="29" t="str">
        <f t="shared" si="1"/>
        <v/>
      </c>
    </row>
    <row r="10" spans="1:12" x14ac:dyDescent="0.25">
      <c r="A10" s="5"/>
      <c r="B10" s="6"/>
      <c r="C10" s="5"/>
      <c r="D10" s="5"/>
      <c r="E10" s="8"/>
      <c r="F10" s="9"/>
      <c r="G10" s="5"/>
      <c r="H10" s="28" t="str">
        <f>IFERROR(IF(AND(COUNTIF(RegistroPago!$A$1:$A$2000,Consolidado!B10)&gt;0,INDEX(RegistroPago!$E$1:$E$2000,MATCH(Consolidado!B10,RegistroPago!$A$1:$A$2000,0))&lt;&gt;""),"PAGADA",IF(I10&lt;&gt;"","PENDIENTE","SIN EMITIR")),"")</f>
        <v/>
      </c>
      <c r="I10" s="10"/>
      <c r="J10" s="11"/>
      <c r="K10" s="29" t="str">
        <f t="shared" si="0"/>
        <v/>
      </c>
      <c r="L10" s="29" t="str">
        <f t="shared" si="1"/>
        <v/>
      </c>
    </row>
    <row r="11" spans="1:12" x14ac:dyDescent="0.25">
      <c r="A11" s="5"/>
      <c r="B11" s="6"/>
      <c r="C11" s="5"/>
      <c r="D11" s="5"/>
      <c r="E11" s="8"/>
      <c r="F11" s="9"/>
      <c r="G11" s="5"/>
      <c r="H11" s="28" t="str">
        <f>IFERROR(IF(AND(COUNTIF(RegistroPago!$A$1:$A$2000,Consolidado!B11)&gt;0,INDEX(RegistroPago!$E$1:$E$2000,MATCH(Consolidado!B11,RegistroPago!$A$1:$A$2000,0))&lt;&gt;""),"PAGADA",IF(I11&lt;&gt;"","PENDIENTE","SIN EMITIR")),"")</f>
        <v/>
      </c>
      <c r="I11" s="10"/>
      <c r="J11" s="11"/>
      <c r="K11" s="29" t="str">
        <f t="shared" si="0"/>
        <v/>
      </c>
      <c r="L11" s="29" t="str">
        <f t="shared" si="1"/>
        <v/>
      </c>
    </row>
    <row r="12" spans="1:12" x14ac:dyDescent="0.25">
      <c r="A12" s="5"/>
      <c r="B12" s="6"/>
      <c r="C12" s="5"/>
      <c r="D12" s="5"/>
      <c r="E12" s="8"/>
      <c r="F12" s="9"/>
      <c r="G12" s="5"/>
      <c r="H12" s="28" t="str">
        <f>IFERROR(IF(AND(COUNTIF(RegistroPago!$A$1:$A$2000,Consolidado!B12)&gt;0,INDEX(RegistroPago!$E$1:$E$2000,MATCH(Consolidado!B12,RegistroPago!$A$1:$A$2000,0))&lt;&gt;""),"PAGADA",IF(I12&lt;&gt;"","PENDIENTE","SIN EMITIR")),"")</f>
        <v/>
      </c>
      <c r="I12" s="10"/>
      <c r="J12" s="11"/>
      <c r="K12" s="29" t="str">
        <f t="shared" si="0"/>
        <v/>
      </c>
      <c r="L12" s="29" t="str">
        <f t="shared" si="1"/>
        <v/>
      </c>
    </row>
    <row r="13" spans="1:12" x14ac:dyDescent="0.25">
      <c r="A13" s="5"/>
      <c r="B13" s="6"/>
      <c r="C13" s="5"/>
      <c r="D13" s="5"/>
      <c r="E13" s="8"/>
      <c r="F13" s="9"/>
      <c r="G13" s="5"/>
      <c r="H13" s="28" t="str">
        <f>IFERROR(IF(AND(COUNTIF(RegistroPago!$A$1:$A$2000,Consolidado!B13)&gt;0,INDEX(RegistroPago!$E$1:$E$2000,MATCH(Consolidado!B13,RegistroPago!$A$1:$A$2000,0))&lt;&gt;""),"PAGADA",IF(I13&lt;&gt;"","PENDIENTE","SIN EMITIR")),"")</f>
        <v/>
      </c>
      <c r="I13" s="10"/>
      <c r="J13" s="11"/>
      <c r="K13" s="29" t="str">
        <f t="shared" si="0"/>
        <v/>
      </c>
      <c r="L13" s="29" t="str">
        <f t="shared" si="1"/>
        <v/>
      </c>
    </row>
    <row r="14" spans="1:12" x14ac:dyDescent="0.25">
      <c r="A14" s="5"/>
      <c r="B14" s="6"/>
      <c r="C14" s="5"/>
      <c r="D14" s="5"/>
      <c r="E14" s="8"/>
      <c r="F14" s="9"/>
      <c r="G14" s="5"/>
      <c r="H14" s="28" t="str">
        <f>IFERROR(IF(AND(COUNTIF(RegistroPago!$A$1:$A$2000,Consolidado!B14)&gt;0,INDEX(RegistroPago!$E$1:$E$2000,MATCH(Consolidado!B14,RegistroPago!$A$1:$A$2000,0))&lt;&gt;""),"PAGADA",IF(I14&lt;&gt;"","PENDIENTE","SIN EMITIR")),"")</f>
        <v/>
      </c>
      <c r="I14" s="10"/>
      <c r="J14" s="11"/>
      <c r="K14" s="29" t="str">
        <f t="shared" si="0"/>
        <v/>
      </c>
      <c r="L14" s="29" t="str">
        <f t="shared" si="1"/>
        <v/>
      </c>
    </row>
    <row r="15" spans="1:12" x14ac:dyDescent="0.25">
      <c r="A15" s="5"/>
      <c r="B15" s="6"/>
      <c r="C15" s="5"/>
      <c r="D15" s="5"/>
      <c r="E15" s="8"/>
      <c r="F15" s="9"/>
      <c r="G15" s="5"/>
      <c r="H15" s="28" t="str">
        <f>IFERROR(IF(AND(COUNTIF(RegistroPago!$A$1:$A$2000,Consolidado!B15)&gt;0,INDEX(RegistroPago!$E$1:$E$2000,MATCH(Consolidado!B15,RegistroPago!$A$1:$A$2000,0))&lt;&gt;""),"PAGADA",IF(I15&lt;&gt;"","PENDIENTE","SIN EMITIR")),"")</f>
        <v/>
      </c>
      <c r="I15" s="10"/>
      <c r="J15" s="11"/>
      <c r="K15" s="29" t="str">
        <f t="shared" si="0"/>
        <v/>
      </c>
      <c r="L15" s="29" t="str">
        <f t="shared" si="1"/>
        <v/>
      </c>
    </row>
    <row r="16" spans="1:12" x14ac:dyDescent="0.25">
      <c r="A16" s="5"/>
      <c r="B16" s="6"/>
      <c r="C16" s="5"/>
      <c r="D16" s="5"/>
      <c r="E16" s="8"/>
      <c r="F16" s="9"/>
      <c r="G16" s="5"/>
      <c r="H16" s="28" t="str">
        <f>IFERROR(IF(AND(COUNTIF(RegistroPago!$A$1:$A$2000,Consolidado!B16)&gt;0,INDEX(RegistroPago!$E$1:$E$2000,MATCH(Consolidado!B16,RegistroPago!$A$1:$A$2000,0))&lt;&gt;""),"PAGADA",IF(I16&lt;&gt;"","PENDIENTE","SIN EMITIR")),"")</f>
        <v/>
      </c>
      <c r="I16" s="10"/>
      <c r="J16" s="11"/>
      <c r="K16" s="29" t="str">
        <f t="shared" si="0"/>
        <v/>
      </c>
      <c r="L16" s="29" t="str">
        <f t="shared" si="1"/>
        <v/>
      </c>
    </row>
    <row r="17" spans="1:12" x14ac:dyDescent="0.25">
      <c r="A17" s="5"/>
      <c r="B17" s="6"/>
      <c r="C17" s="5"/>
      <c r="D17" s="5"/>
      <c r="E17" s="8"/>
      <c r="F17" s="9"/>
      <c r="G17" s="5"/>
      <c r="H17" s="28" t="str">
        <f>IFERROR(IF(AND(COUNTIF(RegistroPago!$A$1:$A$2000,Consolidado!B17)&gt;0,INDEX(RegistroPago!$E$1:$E$2000,MATCH(Consolidado!B17,RegistroPago!$A$1:$A$2000,0))&lt;&gt;""),"PAGADA",IF(I17&lt;&gt;"","PENDIENTE","SIN EMITIR")),"")</f>
        <v/>
      </c>
      <c r="I17" s="10"/>
      <c r="J17" s="11"/>
      <c r="K17" s="29" t="str">
        <f t="shared" si="0"/>
        <v/>
      </c>
      <c r="L17" s="29" t="str">
        <f t="shared" si="1"/>
        <v/>
      </c>
    </row>
    <row r="18" spans="1:12" x14ac:dyDescent="0.25">
      <c r="A18" s="5"/>
      <c r="B18" s="6"/>
      <c r="C18" s="5"/>
      <c r="D18" s="5"/>
      <c r="E18" s="8"/>
      <c r="F18" s="9"/>
      <c r="G18" s="5"/>
      <c r="H18" s="28" t="str">
        <f>IFERROR(IF(AND(COUNTIF(RegistroPago!$A$1:$A$2000,Consolidado!B18)&gt;0,INDEX(RegistroPago!$E$1:$E$2000,MATCH(Consolidado!B18,RegistroPago!$A$1:$A$2000,0))&lt;&gt;""),"PAGADA",IF(I18&lt;&gt;"","PENDIENTE","SIN EMITIR")),"")</f>
        <v/>
      </c>
      <c r="I18" s="10"/>
      <c r="J18" s="11"/>
      <c r="K18" s="29" t="str">
        <f t="shared" si="0"/>
        <v/>
      </c>
      <c r="L18" s="29" t="str">
        <f t="shared" si="1"/>
        <v/>
      </c>
    </row>
    <row r="19" spans="1:12" x14ac:dyDescent="0.25">
      <c r="A19" s="5"/>
      <c r="B19" s="6"/>
      <c r="C19" s="5"/>
      <c r="D19" s="5"/>
      <c r="E19" s="8"/>
      <c r="F19" s="9"/>
      <c r="G19" s="5"/>
      <c r="H19" s="28" t="str">
        <f>IFERROR(IF(AND(COUNTIF(RegistroPago!$A$1:$A$2000,Consolidado!B19)&gt;0,INDEX(RegistroPago!$E$1:$E$2000,MATCH(Consolidado!B19,RegistroPago!$A$1:$A$2000,0))&lt;&gt;""),"PAGADA",IF(I19&lt;&gt;"","PENDIENTE","SIN EMITIR")),"")</f>
        <v/>
      </c>
      <c r="I19" s="10"/>
      <c r="J19" s="11"/>
      <c r="K19" s="29" t="str">
        <f t="shared" si="0"/>
        <v/>
      </c>
      <c r="L19" s="29" t="str">
        <f t="shared" si="1"/>
        <v/>
      </c>
    </row>
    <row r="20" spans="1:12" ht="15.75" x14ac:dyDescent="0.25">
      <c r="A20" s="5"/>
      <c r="B20" s="7"/>
      <c r="C20" s="5"/>
      <c r="D20" s="5"/>
      <c r="E20" s="8"/>
      <c r="F20" s="9"/>
      <c r="G20" s="5"/>
      <c r="H20" s="28" t="str">
        <f>IFERROR(IF(AND(COUNTIF(RegistroPago!$A$1:$A$2000,Consolidado!B20)&gt;0,INDEX(RegistroPago!$E$1:$E$2000,MATCH(Consolidado!B20,RegistroPago!$A$1:$A$2000,0))&lt;&gt;""),"PAGADA",IF(I20&lt;&gt;"","PENDIENTE","SIN EMITIR")),"")</f>
        <v/>
      </c>
      <c r="I20" s="10"/>
      <c r="J20" s="11"/>
      <c r="K20" s="29" t="str">
        <f t="shared" si="0"/>
        <v/>
      </c>
      <c r="L20" s="29" t="str">
        <f t="shared" si="1"/>
        <v/>
      </c>
    </row>
    <row r="21" spans="1:12" ht="15.75" x14ac:dyDescent="0.25">
      <c r="A21" s="5"/>
      <c r="B21" s="7"/>
      <c r="C21" s="5"/>
      <c r="D21" s="5"/>
      <c r="E21" s="8"/>
      <c r="F21" s="9"/>
      <c r="G21" s="5"/>
      <c r="H21" s="28" t="str">
        <f>IFERROR(IF(AND(COUNTIF(RegistroPago!$A$1:$A$2000,Consolidado!B21)&gt;0,INDEX(RegistroPago!$E$1:$E$2000,MATCH(Consolidado!B21,RegistroPago!$A$1:$A$2000,0))&lt;&gt;""),"PAGADA",IF(I21&lt;&gt;"","PENDIENTE","SIN EMITIR")),"")</f>
        <v/>
      </c>
      <c r="I21" s="10"/>
      <c r="J21" s="11"/>
      <c r="K21" s="29" t="str">
        <f t="shared" si="0"/>
        <v/>
      </c>
      <c r="L21" s="29" t="str">
        <f t="shared" si="1"/>
        <v/>
      </c>
    </row>
    <row r="22" spans="1:12" ht="15.75" x14ac:dyDescent="0.25">
      <c r="A22" s="5"/>
      <c r="B22" s="7"/>
      <c r="C22" s="5"/>
      <c r="D22" s="5"/>
      <c r="E22" s="8"/>
      <c r="F22" s="9"/>
      <c r="G22" s="5"/>
      <c r="H22" s="28" t="str">
        <f>IFERROR(IF(AND(COUNTIF(RegistroPago!$A$1:$A$2000,Consolidado!B22)&gt;0,INDEX(RegistroPago!$E$1:$E$2000,MATCH(Consolidado!B22,RegistroPago!$A$1:$A$2000,0))&lt;&gt;""),"PAGADA",IF(I22&lt;&gt;"","PENDIENTE","SIN EMITIR")),"")</f>
        <v/>
      </c>
      <c r="I22" s="10"/>
      <c r="J22" s="11"/>
      <c r="K22" s="29" t="str">
        <f t="shared" si="0"/>
        <v/>
      </c>
      <c r="L22" s="29" t="str">
        <f t="shared" si="1"/>
        <v/>
      </c>
    </row>
    <row r="23" spans="1:12" ht="15.75" x14ac:dyDescent="0.25">
      <c r="A23" s="5"/>
      <c r="B23" s="7"/>
      <c r="C23" s="5"/>
      <c r="D23" s="5"/>
      <c r="E23" s="8"/>
      <c r="F23" s="9"/>
      <c r="G23" s="5"/>
      <c r="H23" s="28" t="str">
        <f>IFERROR(IF(AND(COUNTIF(RegistroPago!$A$1:$A$2000,Consolidado!B23)&gt;0,INDEX(RegistroPago!$E$1:$E$2000,MATCH(Consolidado!B23,RegistroPago!$A$1:$A$2000,0))&lt;&gt;""),"PAGADA",IF(I23&lt;&gt;"","PENDIENTE","SIN EMITIR")),"")</f>
        <v/>
      </c>
      <c r="I23" s="10"/>
      <c r="J23" s="11"/>
      <c r="K23" s="29" t="str">
        <f t="shared" si="0"/>
        <v/>
      </c>
      <c r="L23" s="29" t="str">
        <f t="shared" si="1"/>
        <v/>
      </c>
    </row>
    <row r="24" spans="1:12" ht="15.75" x14ac:dyDescent="0.25">
      <c r="A24" s="5"/>
      <c r="B24" s="7"/>
      <c r="C24" s="5"/>
      <c r="D24" s="5"/>
      <c r="E24" s="8"/>
      <c r="F24" s="9"/>
      <c r="G24" s="5"/>
      <c r="H24" s="28" t="str">
        <f>IFERROR(IF(AND(COUNTIF(RegistroPago!$A$1:$A$2000,Consolidado!B24)&gt;0,INDEX(RegistroPago!$E$1:$E$2000,MATCH(Consolidado!B24,RegistroPago!$A$1:$A$2000,0))&lt;&gt;""),"PAGADA",IF(I24&lt;&gt;"","PENDIENTE","SIN EMITIR")),"")</f>
        <v/>
      </c>
      <c r="I24" s="10"/>
      <c r="J24" s="11"/>
      <c r="K24" s="29" t="str">
        <f t="shared" si="0"/>
        <v/>
      </c>
      <c r="L24" s="29" t="str">
        <f t="shared" si="1"/>
        <v/>
      </c>
    </row>
    <row r="25" spans="1:12" ht="15.75" x14ac:dyDescent="0.25">
      <c r="A25" s="5"/>
      <c r="B25" s="7"/>
      <c r="C25" s="5"/>
      <c r="D25" s="5"/>
      <c r="E25" s="8"/>
      <c r="F25" s="9"/>
      <c r="G25" s="5"/>
      <c r="H25" s="28" t="str">
        <f>IFERROR(IF(AND(COUNTIF(RegistroPago!$A$1:$A$2000,Consolidado!B25)&gt;0,INDEX(RegistroPago!$E$1:$E$2000,MATCH(Consolidado!B25,RegistroPago!$A$1:$A$2000,0))&lt;&gt;""),"PAGADA",IF(I25&lt;&gt;"","PENDIENTE","SIN EMITIR")),"")</f>
        <v/>
      </c>
      <c r="I25" s="10"/>
      <c r="J25" s="11"/>
      <c r="K25" s="29" t="str">
        <f t="shared" si="0"/>
        <v/>
      </c>
      <c r="L25" s="29" t="str">
        <f t="shared" si="1"/>
        <v/>
      </c>
    </row>
    <row r="26" spans="1:12" ht="15.75" x14ac:dyDescent="0.25">
      <c r="A26" s="5"/>
      <c r="B26" s="7"/>
      <c r="C26" s="5"/>
      <c r="D26" s="5"/>
      <c r="E26" s="8"/>
      <c r="F26" s="9"/>
      <c r="G26" s="5"/>
      <c r="H26" s="28" t="str">
        <f>IFERROR(IF(AND(COUNTIF(RegistroPago!$A$1:$A$2000,Consolidado!B26)&gt;0,INDEX(RegistroPago!$E$1:$E$2000,MATCH(Consolidado!B26,RegistroPago!$A$1:$A$2000,0))&lt;&gt;""),"PAGADA",IF(I26&lt;&gt;"","PENDIENTE","SIN EMITIR")),"")</f>
        <v/>
      </c>
      <c r="I26" s="10"/>
      <c r="J26" s="11"/>
      <c r="K26" s="29" t="str">
        <f t="shared" si="0"/>
        <v/>
      </c>
      <c r="L26" s="29" t="str">
        <f t="shared" si="1"/>
        <v/>
      </c>
    </row>
    <row r="27" spans="1:12" x14ac:dyDescent="0.25">
      <c r="A27" s="5"/>
      <c r="B27" s="6"/>
      <c r="C27" s="5"/>
      <c r="D27" s="5"/>
      <c r="E27" s="8"/>
      <c r="F27" s="9"/>
      <c r="G27" s="5"/>
      <c r="H27" s="28" t="str">
        <f>IFERROR(IF(AND(COUNTIF(RegistroPago!$A$1:$A$2000,Consolidado!B27)&gt;0,INDEX(RegistroPago!$E$1:$E$2000,MATCH(Consolidado!B27,RegistroPago!$A$1:$A$2000,0))&lt;&gt;""),"PAGADA",IF(I27&lt;&gt;"","PENDIENTE","SIN EMITIR")),"")</f>
        <v/>
      </c>
      <c r="I27" s="10"/>
      <c r="J27" s="11"/>
      <c r="K27" s="29" t="str">
        <f t="shared" si="0"/>
        <v/>
      </c>
      <c r="L27" s="29" t="str">
        <f t="shared" si="1"/>
        <v/>
      </c>
    </row>
    <row r="28" spans="1:12" x14ac:dyDescent="0.25">
      <c r="A28" s="5"/>
      <c r="B28" s="6"/>
      <c r="C28" s="5"/>
      <c r="D28" s="5"/>
      <c r="E28" s="8"/>
      <c r="F28" s="9"/>
      <c r="G28" s="5"/>
      <c r="H28" s="28" t="str">
        <f>IFERROR(IF(AND(COUNTIF(RegistroPago!$A$1:$A$2000,Consolidado!B28)&gt;0,INDEX(RegistroPago!$E$1:$E$2000,MATCH(Consolidado!B28,RegistroPago!$A$1:$A$2000,0))&lt;&gt;""),"PAGADA",IF(I28&lt;&gt;"","PENDIENTE","SIN EMITIR")),"")</f>
        <v/>
      </c>
      <c r="I28" s="10"/>
      <c r="J28" s="11"/>
      <c r="K28" s="29" t="str">
        <f t="shared" si="0"/>
        <v/>
      </c>
      <c r="L28" s="29" t="str">
        <f t="shared" si="1"/>
        <v/>
      </c>
    </row>
    <row r="29" spans="1:12" x14ac:dyDescent="0.25">
      <c r="A29" s="5"/>
      <c r="B29" s="6"/>
      <c r="C29" s="5"/>
      <c r="D29" s="5"/>
      <c r="E29" s="8"/>
      <c r="F29" s="9"/>
      <c r="G29" s="5"/>
      <c r="H29" s="28" t="str">
        <f>IFERROR(IF(AND(COUNTIF(RegistroPago!$A$1:$A$2000,Consolidado!B29)&gt;0,INDEX(RegistroPago!$E$1:$E$2000,MATCH(Consolidado!B29,RegistroPago!$A$1:$A$2000,0))&lt;&gt;""),"PAGADA",IF(I29&lt;&gt;"","PENDIENTE","SIN EMITIR")),"")</f>
        <v/>
      </c>
      <c r="I29" s="10"/>
      <c r="J29" s="11"/>
      <c r="K29" s="29" t="str">
        <f t="shared" si="0"/>
        <v/>
      </c>
      <c r="L29" s="29" t="str">
        <f t="shared" si="1"/>
        <v/>
      </c>
    </row>
    <row r="30" spans="1:12" x14ac:dyDescent="0.25">
      <c r="A30" s="5"/>
      <c r="B30" s="6"/>
      <c r="C30" s="5"/>
      <c r="D30" s="5"/>
      <c r="E30" s="8"/>
      <c r="F30" s="9"/>
      <c r="G30" s="5"/>
      <c r="H30" s="28" t="str">
        <f>IFERROR(IF(AND(COUNTIF(RegistroPago!$A$1:$A$2000,Consolidado!B30)&gt;0,INDEX(RegistroPago!$E$1:$E$2000,MATCH(Consolidado!B30,RegistroPago!$A$1:$A$2000,0))&lt;&gt;""),"PAGADA",IF(I30&lt;&gt;"","PENDIENTE","SIN EMITIR")),"")</f>
        <v/>
      </c>
      <c r="I30" s="10"/>
      <c r="J30" s="11"/>
      <c r="K30" s="29" t="str">
        <f t="shared" si="0"/>
        <v/>
      </c>
      <c r="L30" s="29" t="str">
        <f t="shared" si="1"/>
        <v/>
      </c>
    </row>
    <row r="31" spans="1:12" x14ac:dyDescent="0.25">
      <c r="A31" s="5"/>
      <c r="B31" s="6"/>
      <c r="C31" s="5"/>
      <c r="D31" s="5"/>
      <c r="E31" s="8"/>
      <c r="F31" s="9"/>
      <c r="G31" s="5"/>
      <c r="H31" s="28" t="str">
        <f>IFERROR(IF(AND(COUNTIF(RegistroPago!$A$1:$A$2000,Consolidado!B31)&gt;0,INDEX(RegistroPago!$E$1:$E$2000,MATCH(Consolidado!B31,RegistroPago!$A$1:$A$2000,0))&lt;&gt;""),"PAGADA",IF(I31&lt;&gt;"","PENDIENTE","SIN EMITIR")),"")</f>
        <v/>
      </c>
      <c r="I31" s="10"/>
      <c r="J31" s="11"/>
      <c r="K31" s="29" t="str">
        <f t="shared" si="0"/>
        <v/>
      </c>
      <c r="L31" s="29" t="str">
        <f t="shared" si="1"/>
        <v/>
      </c>
    </row>
    <row r="32" spans="1:12" x14ac:dyDescent="0.25">
      <c r="A32" s="5"/>
      <c r="B32" s="6"/>
      <c r="C32" s="5"/>
      <c r="D32" s="5"/>
      <c r="E32" s="8"/>
      <c r="F32" s="9"/>
      <c r="G32" s="5"/>
      <c r="H32" s="28" t="str">
        <f>IFERROR(IF(AND(COUNTIF(RegistroPago!$A$1:$A$2000,Consolidado!B32)&gt;0,INDEX(RegistroPago!$E$1:$E$2000,MATCH(Consolidado!B32,RegistroPago!$A$1:$A$2000,0))&lt;&gt;""),"PAGADA",IF(I32&lt;&gt;"","PENDIENTE","SIN EMITIR")),"")</f>
        <v/>
      </c>
      <c r="I32" s="10"/>
      <c r="J32" s="11"/>
      <c r="K32" s="29" t="str">
        <f t="shared" si="0"/>
        <v/>
      </c>
      <c r="L32" s="29" t="str">
        <f t="shared" si="1"/>
        <v/>
      </c>
    </row>
    <row r="33" spans="1:12" x14ac:dyDescent="0.25">
      <c r="A33" s="5"/>
      <c r="B33" s="6"/>
      <c r="C33" s="5"/>
      <c r="D33" s="5"/>
      <c r="E33" s="8"/>
      <c r="F33" s="9"/>
      <c r="G33" s="5"/>
      <c r="H33" s="28" t="str">
        <f>IFERROR(IF(AND(COUNTIF(RegistroPago!$A$1:$A$2000,Consolidado!B33)&gt;0,INDEX(RegistroPago!$E$1:$E$2000,MATCH(Consolidado!B33,RegistroPago!$A$1:$A$2000,0))&lt;&gt;""),"PAGADA",IF(I33&lt;&gt;"","PENDIENTE","SIN EMITIR")),"")</f>
        <v/>
      </c>
      <c r="I33" s="10"/>
      <c r="J33" s="11"/>
      <c r="K33" s="29" t="str">
        <f t="shared" si="0"/>
        <v/>
      </c>
      <c r="L33" s="29" t="str">
        <f t="shared" si="1"/>
        <v/>
      </c>
    </row>
    <row r="34" spans="1:12" x14ac:dyDescent="0.25">
      <c r="A34" s="5"/>
      <c r="B34" s="6"/>
      <c r="C34" s="5"/>
      <c r="D34" s="5"/>
      <c r="E34" s="8"/>
      <c r="F34" s="9"/>
      <c r="G34" s="5"/>
      <c r="H34" s="28" t="str">
        <f>IFERROR(IF(AND(COUNTIF(RegistroPago!$A$1:$A$2000,Consolidado!B34)&gt;0,INDEX(RegistroPago!$E$1:$E$2000,MATCH(Consolidado!B34,RegistroPago!$A$1:$A$2000,0))&lt;&gt;""),"PAGADA",IF(I34&lt;&gt;"","PENDIENTE","SIN EMITIR")),"")</f>
        <v/>
      </c>
      <c r="I34" s="10"/>
      <c r="J34" s="11"/>
      <c r="K34" s="29" t="str">
        <f t="shared" si="0"/>
        <v/>
      </c>
      <c r="L34" s="29" t="str">
        <f t="shared" si="1"/>
        <v/>
      </c>
    </row>
    <row r="35" spans="1:12" x14ac:dyDescent="0.25">
      <c r="A35" s="5"/>
      <c r="B35" s="6"/>
      <c r="C35" s="5"/>
      <c r="D35" s="5"/>
      <c r="E35" s="8"/>
      <c r="F35" s="9"/>
      <c r="G35" s="5"/>
      <c r="H35" s="28" t="str">
        <f>IFERROR(IF(AND(COUNTIF(RegistroPago!$A$1:$A$2000,Consolidado!B35)&gt;0,INDEX(RegistroPago!$E$1:$E$2000,MATCH(Consolidado!B35,RegistroPago!$A$1:$A$2000,0))&lt;&gt;""),"PAGADA",IF(I35&lt;&gt;"","PENDIENTE","SIN EMITIR")),"")</f>
        <v/>
      </c>
      <c r="I35" s="10"/>
      <c r="J35" s="11"/>
      <c r="K35" s="29" t="str">
        <f t="shared" si="0"/>
        <v/>
      </c>
      <c r="L35" s="29" t="str">
        <f t="shared" si="1"/>
        <v/>
      </c>
    </row>
    <row r="36" spans="1:12" x14ac:dyDescent="0.25">
      <c r="A36" s="5"/>
      <c r="B36" s="6"/>
      <c r="C36" s="5"/>
      <c r="D36" s="5"/>
      <c r="E36" s="8"/>
      <c r="F36" s="9"/>
      <c r="G36" s="5"/>
      <c r="H36" s="28" t="str">
        <f>IFERROR(IF(AND(COUNTIF(RegistroPago!$A$1:$A$2000,Consolidado!B36)&gt;0,INDEX(RegistroPago!$E$1:$E$2000,MATCH(Consolidado!B36,RegistroPago!$A$1:$A$2000,0))&lt;&gt;""),"PAGADA",IF(I36&lt;&gt;"","PENDIENTE","SIN EMITIR")),"")</f>
        <v/>
      </c>
      <c r="I36" s="10"/>
      <c r="J36" s="11"/>
      <c r="K36" s="29" t="str">
        <f t="shared" si="0"/>
        <v/>
      </c>
      <c r="L36" s="29" t="str">
        <f t="shared" si="1"/>
        <v/>
      </c>
    </row>
    <row r="37" spans="1:12" x14ac:dyDescent="0.25">
      <c r="A37" s="5"/>
      <c r="B37" s="6"/>
      <c r="C37" s="5"/>
      <c r="D37" s="5"/>
      <c r="E37" s="8"/>
      <c r="F37" s="9"/>
      <c r="G37" s="5"/>
      <c r="H37" s="28" t="str">
        <f>IFERROR(IF(AND(COUNTIF(RegistroPago!$A$1:$A$2000,Consolidado!B37)&gt;0,INDEX(RegistroPago!$E$1:$E$2000,MATCH(Consolidado!B37,RegistroPago!$A$1:$A$2000,0))&lt;&gt;""),"PAGADA",IF(I37&lt;&gt;"","PENDIENTE","SIN EMITIR")),"")</f>
        <v/>
      </c>
      <c r="I37" s="10"/>
      <c r="J37" s="11"/>
      <c r="K37" s="29" t="str">
        <f t="shared" si="0"/>
        <v/>
      </c>
      <c r="L37" s="29" t="str">
        <f t="shared" si="1"/>
        <v/>
      </c>
    </row>
    <row r="38" spans="1:12" x14ac:dyDescent="0.25">
      <c r="A38" s="5"/>
      <c r="B38" s="6"/>
      <c r="C38" s="5"/>
      <c r="D38" s="5"/>
      <c r="E38" s="8"/>
      <c r="F38" s="9"/>
      <c r="G38" s="5"/>
      <c r="H38" s="28" t="str">
        <f>IFERROR(IF(AND(COUNTIF(RegistroPago!$A$1:$A$2000,Consolidado!B38)&gt;0,INDEX(RegistroPago!$E$1:$E$2000,MATCH(Consolidado!B38,RegistroPago!$A$1:$A$2000,0))&lt;&gt;""),"PAGADA",IF(I38&lt;&gt;"","PENDIENTE","SIN EMITIR")),"")</f>
        <v/>
      </c>
      <c r="I38" s="10"/>
      <c r="J38" s="11"/>
      <c r="K38" s="29" t="str">
        <f t="shared" si="0"/>
        <v/>
      </c>
      <c r="L38" s="29" t="str">
        <f t="shared" si="1"/>
        <v/>
      </c>
    </row>
    <row r="39" spans="1:12" x14ac:dyDescent="0.25">
      <c r="A39" s="5"/>
      <c r="B39" s="6"/>
      <c r="C39" s="5"/>
      <c r="D39" s="5"/>
      <c r="E39" s="8"/>
      <c r="F39" s="9"/>
      <c r="G39" s="5"/>
      <c r="H39" s="28" t="str">
        <f>IFERROR(IF(AND(COUNTIF(RegistroPago!$A$1:$A$2000,Consolidado!B39)&gt;0,INDEX(RegistroPago!$E$1:$E$2000,MATCH(Consolidado!B39,RegistroPago!$A$1:$A$2000,0))&lt;&gt;""),"PAGADA",IF(I39&lt;&gt;"","PENDIENTE","SIN EMITIR")),"")</f>
        <v/>
      </c>
      <c r="I39" s="10"/>
      <c r="J39" s="11"/>
      <c r="K39" s="29" t="str">
        <f t="shared" si="0"/>
        <v/>
      </c>
      <c r="L39" s="29" t="str">
        <f t="shared" si="1"/>
        <v/>
      </c>
    </row>
    <row r="40" spans="1:12" x14ac:dyDescent="0.25">
      <c r="A40" s="5"/>
      <c r="B40" s="6"/>
      <c r="C40" s="5"/>
      <c r="D40" s="5"/>
      <c r="E40" s="8"/>
      <c r="F40" s="9"/>
      <c r="G40" s="5"/>
      <c r="H40" s="28" t="str">
        <f>IFERROR(IF(AND(COUNTIF(RegistroPago!$A$1:$A$2000,Consolidado!B40)&gt;0,INDEX(RegistroPago!$E$1:$E$2000,MATCH(Consolidado!B40,RegistroPago!$A$1:$A$2000,0))&lt;&gt;""),"PAGADA",IF(I40&lt;&gt;"","PENDIENTE","SIN EMITIR")),"")</f>
        <v/>
      </c>
      <c r="I40" s="10"/>
      <c r="J40" s="11"/>
      <c r="K40" s="29" t="str">
        <f t="shared" si="0"/>
        <v/>
      </c>
      <c r="L40" s="29" t="str">
        <f t="shared" si="1"/>
        <v/>
      </c>
    </row>
    <row r="41" spans="1:12" x14ac:dyDescent="0.25">
      <c r="A41" s="5"/>
      <c r="B41" s="6"/>
      <c r="C41" s="5"/>
      <c r="D41" s="5"/>
      <c r="E41" s="8"/>
      <c r="F41" s="9"/>
      <c r="G41" s="5"/>
      <c r="H41" s="28" t="str">
        <f>IFERROR(IF(AND(COUNTIF(RegistroPago!$A$1:$A$2000,Consolidado!B41)&gt;0,INDEX(RegistroPago!$E$1:$E$2000,MATCH(Consolidado!B41,RegistroPago!$A$1:$A$2000,0))&lt;&gt;""),"PAGADA",IF(I41&lt;&gt;"","PENDIENTE","SIN EMITIR")),"")</f>
        <v/>
      </c>
      <c r="I41" s="10"/>
      <c r="J41" s="11"/>
      <c r="K41" s="29" t="str">
        <f t="shared" si="0"/>
        <v/>
      </c>
      <c r="L41" s="29" t="str">
        <f t="shared" si="1"/>
        <v/>
      </c>
    </row>
    <row r="42" spans="1:12" x14ac:dyDescent="0.25">
      <c r="A42" s="5"/>
      <c r="B42" s="6"/>
      <c r="C42" s="5"/>
      <c r="D42" s="5"/>
      <c r="E42" s="8"/>
      <c r="F42" s="9"/>
      <c r="G42" s="5"/>
      <c r="H42" s="28" t="str">
        <f>IFERROR(IF(AND(COUNTIF(RegistroPago!$A$1:$A$2000,Consolidado!B42)&gt;0,INDEX(RegistroPago!$E$1:$E$2000,MATCH(Consolidado!B42,RegistroPago!$A$1:$A$2000,0))&lt;&gt;""),"PAGADA",IF(I42&lt;&gt;"","PENDIENTE","SIN EMITIR")),"")</f>
        <v/>
      </c>
      <c r="I42" s="10"/>
      <c r="J42" s="11"/>
      <c r="K42" s="29" t="str">
        <f t="shared" si="0"/>
        <v/>
      </c>
      <c r="L42" s="29" t="str">
        <f t="shared" si="1"/>
        <v/>
      </c>
    </row>
    <row r="43" spans="1:12" x14ac:dyDescent="0.25">
      <c r="A43" s="5"/>
      <c r="B43" s="6"/>
      <c r="C43" s="5"/>
      <c r="D43" s="5"/>
      <c r="E43" s="8"/>
      <c r="F43" s="9"/>
      <c r="G43" s="5"/>
      <c r="H43" s="28" t="str">
        <f>IFERROR(IF(AND(COUNTIF(RegistroPago!$A$1:$A$2000,Consolidado!B43)&gt;0,INDEX(RegistroPago!$E$1:$E$2000,MATCH(Consolidado!B43,RegistroPago!$A$1:$A$2000,0))&lt;&gt;""),"PAGADA",IF(I43&lt;&gt;"","PENDIENTE","SIN EMITIR")),"")</f>
        <v/>
      </c>
      <c r="I43" s="10"/>
      <c r="J43" s="11"/>
      <c r="K43" s="29" t="str">
        <f t="shared" si="0"/>
        <v/>
      </c>
      <c r="L43" s="29" t="str">
        <f t="shared" si="1"/>
        <v/>
      </c>
    </row>
    <row r="44" spans="1:12" x14ac:dyDescent="0.25">
      <c r="A44" s="5"/>
      <c r="B44" s="6"/>
      <c r="C44" s="5"/>
      <c r="D44" s="5"/>
      <c r="E44" s="8"/>
      <c r="F44" s="9"/>
      <c r="G44" s="5"/>
      <c r="H44" s="28" t="str">
        <f>IFERROR(IF(AND(COUNTIF(RegistroPago!$A$1:$A$2000,Consolidado!B44)&gt;0,INDEX(RegistroPago!$E$1:$E$2000,MATCH(Consolidado!B44,RegistroPago!$A$1:$A$2000,0))&lt;&gt;""),"PAGADA",IF(I44&lt;&gt;"","PENDIENTE","SIN EMITIR")),"")</f>
        <v/>
      </c>
      <c r="I44" s="10"/>
      <c r="J44" s="11"/>
      <c r="K44" s="29" t="str">
        <f t="shared" si="0"/>
        <v/>
      </c>
      <c r="L44" s="29" t="str">
        <f t="shared" si="1"/>
        <v/>
      </c>
    </row>
    <row r="45" spans="1:12" ht="15.75" x14ac:dyDescent="0.25">
      <c r="A45" s="5"/>
      <c r="B45" s="7"/>
      <c r="C45" s="5"/>
      <c r="D45" s="5"/>
      <c r="E45" s="8"/>
      <c r="F45" s="9"/>
      <c r="G45" s="5"/>
      <c r="H45" s="28" t="str">
        <f>IFERROR(IF(AND(COUNTIF(RegistroPago!$A$1:$A$2000,Consolidado!B45)&gt;0,INDEX(RegistroPago!$E$1:$E$2000,MATCH(Consolidado!B45,RegistroPago!$A$1:$A$2000,0))&lt;&gt;""),"PAGADA",IF(I45&lt;&gt;"","PENDIENTE","SIN EMITIR")),"")</f>
        <v/>
      </c>
      <c r="I45" s="10"/>
      <c r="J45" s="11"/>
      <c r="K45" s="29" t="str">
        <f t="shared" si="0"/>
        <v/>
      </c>
      <c r="L45" s="29" t="str">
        <f t="shared" si="1"/>
        <v/>
      </c>
    </row>
    <row r="46" spans="1:12" ht="15.75" x14ac:dyDescent="0.25">
      <c r="A46" s="5"/>
      <c r="B46" s="7"/>
      <c r="C46" s="5"/>
      <c r="D46" s="5"/>
      <c r="E46" s="8"/>
      <c r="F46" s="9"/>
      <c r="G46" s="5"/>
      <c r="H46" s="28" t="str">
        <f>IFERROR(IF(AND(COUNTIF(RegistroPago!$A$1:$A$2000,Consolidado!B46)&gt;0,INDEX(RegistroPago!$E$1:$E$2000,MATCH(Consolidado!B46,RegistroPago!$A$1:$A$2000,0))&lt;&gt;""),"PAGADA",IF(I46&lt;&gt;"","PENDIENTE","SIN EMITIR")),"")</f>
        <v/>
      </c>
      <c r="I46" s="10"/>
      <c r="J46" s="11"/>
      <c r="K46" s="29" t="str">
        <f t="shared" si="0"/>
        <v/>
      </c>
      <c r="L46" s="29" t="str">
        <f t="shared" si="1"/>
        <v/>
      </c>
    </row>
    <row r="47" spans="1:12" ht="15.75" x14ac:dyDescent="0.25">
      <c r="A47" s="5"/>
      <c r="B47" s="7"/>
      <c r="C47" s="5"/>
      <c r="D47" s="5"/>
      <c r="E47" s="8"/>
      <c r="F47" s="9"/>
      <c r="G47" s="5"/>
      <c r="H47" s="28" t="str">
        <f>IFERROR(IF(AND(COUNTIF(RegistroPago!$A$1:$A$2000,Consolidado!B47)&gt;0,INDEX(RegistroPago!$E$1:$E$2000,MATCH(Consolidado!B47,RegistroPago!$A$1:$A$2000,0))&lt;&gt;""),"PAGADA",IF(I47&lt;&gt;"","PENDIENTE","SIN EMITIR")),"")</f>
        <v/>
      </c>
      <c r="I47" s="10"/>
      <c r="J47" s="11"/>
      <c r="K47" s="29" t="str">
        <f t="shared" si="0"/>
        <v/>
      </c>
      <c r="L47" s="29" t="str">
        <f t="shared" si="1"/>
        <v/>
      </c>
    </row>
    <row r="48" spans="1:12" ht="15.75" x14ac:dyDescent="0.25">
      <c r="A48" s="5"/>
      <c r="B48" s="7"/>
      <c r="C48" s="5"/>
      <c r="D48" s="5"/>
      <c r="E48" s="8"/>
      <c r="F48" s="9"/>
      <c r="G48" s="5"/>
      <c r="H48" s="28" t="s">
        <v>42</v>
      </c>
      <c r="I48" s="10"/>
      <c r="J48" s="11"/>
      <c r="K48" s="29" t="str">
        <f t="shared" si="0"/>
        <v/>
      </c>
      <c r="L48" s="29" t="str">
        <f t="shared" si="1"/>
        <v/>
      </c>
    </row>
    <row r="49" spans="1:12" ht="15.75" x14ac:dyDescent="0.25">
      <c r="A49" s="5"/>
      <c r="B49" s="7"/>
      <c r="C49" s="5"/>
      <c r="D49" s="5"/>
      <c r="E49" s="8"/>
      <c r="F49" s="9"/>
      <c r="G49" s="5"/>
      <c r="H49" s="28" t="str">
        <f>IFERROR(IF(AND(COUNTIF(RegistroPago!$A$1:$A$2000,Consolidado!B49)&gt;0,INDEX(RegistroPago!$E$1:$E$2000,MATCH(Consolidado!B49,RegistroPago!$A$1:$A$2000,0))&lt;&gt;""),"PAGADA",IF(I49&lt;&gt;"","PENDIENTE","SIN EMITIR")),"")</f>
        <v/>
      </c>
      <c r="I49" s="10"/>
      <c r="J49" s="11"/>
      <c r="K49" s="29" t="str">
        <f t="shared" si="0"/>
        <v/>
      </c>
      <c r="L49" s="29" t="str">
        <f t="shared" si="1"/>
        <v/>
      </c>
    </row>
    <row r="50" spans="1:12" ht="15.75" x14ac:dyDescent="0.25">
      <c r="A50" s="5"/>
      <c r="B50" s="7"/>
      <c r="C50" s="5"/>
      <c r="D50" s="5"/>
      <c r="E50" s="8"/>
      <c r="F50" s="9"/>
      <c r="G50" s="5"/>
      <c r="H50" s="28" t="str">
        <f>IFERROR(IF(AND(COUNTIF(RegistroPago!$A$1:$A$2000,Consolidado!B50)&gt;0,INDEX(RegistroPago!$E$1:$E$2000,MATCH(Consolidado!B50,RegistroPago!$A$1:$A$2000,0))&lt;&gt;""),"PAGADA",IF(I50&lt;&gt;"","PENDIENTE","SIN EMITIR")),"")</f>
        <v/>
      </c>
      <c r="I50" s="10"/>
      <c r="J50" s="11"/>
      <c r="K50" s="29" t="str">
        <f t="shared" si="0"/>
        <v/>
      </c>
      <c r="L50" s="29" t="str">
        <f t="shared" si="1"/>
        <v/>
      </c>
    </row>
    <row r="51" spans="1:12" ht="15.75" x14ac:dyDescent="0.25">
      <c r="A51" s="5"/>
      <c r="B51" s="7"/>
      <c r="C51" s="5"/>
      <c r="D51" s="5"/>
      <c r="E51" s="8"/>
      <c r="F51" s="9"/>
      <c r="G51" s="5"/>
      <c r="H51" s="28" t="str">
        <f>IFERROR(IF(AND(COUNTIF(RegistroPago!$A$1:$A$2000,Consolidado!B51)&gt;0,INDEX(RegistroPago!$E$1:$E$2000,MATCH(Consolidado!B51,RegistroPago!$A$1:$A$2000,0))&lt;&gt;""),"PAGADA",IF(I51&lt;&gt;"","PENDIENTE","SIN EMITIR")),"")</f>
        <v/>
      </c>
      <c r="I51" s="10"/>
      <c r="J51" s="11"/>
      <c r="K51" s="29" t="str">
        <f t="shared" si="0"/>
        <v/>
      </c>
      <c r="L51" s="29" t="str">
        <f t="shared" si="1"/>
        <v/>
      </c>
    </row>
    <row r="52" spans="1:12" ht="15.75" x14ac:dyDescent="0.25">
      <c r="A52" s="5"/>
      <c r="B52" s="7"/>
      <c r="C52" s="5"/>
      <c r="D52" s="5"/>
      <c r="E52" s="8"/>
      <c r="F52" s="9"/>
      <c r="G52" s="5"/>
      <c r="H52" s="28" t="str">
        <f>IFERROR(IF(AND(COUNTIF(RegistroPago!$A$1:$A$2000,Consolidado!B52)&gt;0,INDEX(RegistroPago!$E$1:$E$2000,MATCH(Consolidado!B52,RegistroPago!$A$1:$A$2000,0))&lt;&gt;""),"PAGADA",IF(I52&lt;&gt;"","PENDIENTE","SIN EMITIR")),"")</f>
        <v/>
      </c>
      <c r="I52" s="10"/>
      <c r="J52" s="11"/>
      <c r="K52" s="29" t="str">
        <f t="shared" si="0"/>
        <v/>
      </c>
      <c r="L52" s="29" t="str">
        <f t="shared" si="1"/>
        <v/>
      </c>
    </row>
    <row r="53" spans="1:12" ht="15.75" x14ac:dyDescent="0.25">
      <c r="A53" s="5"/>
      <c r="B53" s="7"/>
      <c r="C53" s="5"/>
      <c r="D53" s="5"/>
      <c r="E53" s="8"/>
      <c r="F53" s="9"/>
      <c r="G53" s="5"/>
      <c r="H53" s="28" t="str">
        <f>IFERROR(IF(AND(COUNTIF(RegistroPago!$A$1:$A$2000,Consolidado!B53)&gt;0,INDEX(RegistroPago!$E$1:$E$2000,MATCH(Consolidado!B53,RegistroPago!$A$1:$A$2000,0))&lt;&gt;""),"PAGADA",IF(I53&lt;&gt;"","PENDIENTE","SIN EMITIR")),"")</f>
        <v/>
      </c>
      <c r="I53" s="10"/>
      <c r="J53" s="11"/>
      <c r="K53" s="29" t="str">
        <f t="shared" si="0"/>
        <v/>
      </c>
      <c r="L53" s="29" t="str">
        <f t="shared" si="1"/>
        <v/>
      </c>
    </row>
    <row r="54" spans="1:12" ht="15.75" x14ac:dyDescent="0.25">
      <c r="A54" s="5"/>
      <c r="B54" s="7"/>
      <c r="C54" s="5"/>
      <c r="D54" s="5"/>
      <c r="E54" s="8"/>
      <c r="F54" s="9"/>
      <c r="G54" s="5"/>
      <c r="H54" s="28" t="str">
        <f>IFERROR(IF(AND(COUNTIF(RegistroPago!$A$1:$A$2000,Consolidado!B54)&gt;0,INDEX(RegistroPago!$E$1:$E$2000,MATCH(Consolidado!B54,RegistroPago!$A$1:$A$2000,0))&lt;&gt;""),"PAGADA",IF(I54&lt;&gt;"","PENDIENTE","SIN EMITIR")),"")</f>
        <v/>
      </c>
      <c r="I54" s="10"/>
      <c r="J54" s="11"/>
      <c r="K54" s="29" t="str">
        <f t="shared" si="0"/>
        <v/>
      </c>
      <c r="L54" s="29" t="str">
        <f t="shared" si="1"/>
        <v/>
      </c>
    </row>
    <row r="55" spans="1:12" ht="15.75" x14ac:dyDescent="0.25">
      <c r="A55" s="5"/>
      <c r="B55" s="7"/>
      <c r="C55" s="5"/>
      <c r="D55" s="5"/>
      <c r="E55" s="8"/>
      <c r="F55" s="9"/>
      <c r="G55" s="5"/>
      <c r="H55" s="28" t="str">
        <f>IFERROR(IF(AND(COUNTIF(RegistroPago!$A$1:$A$2000,Consolidado!B55)&gt;0,INDEX(RegistroPago!$E$1:$E$2000,MATCH(Consolidado!B55,RegistroPago!$A$1:$A$2000,0))&lt;&gt;""),"PAGADA",IF(I55&lt;&gt;"","PENDIENTE","SIN EMITIR")),"")</f>
        <v/>
      </c>
      <c r="I55" s="10"/>
      <c r="J55" s="11"/>
      <c r="K55" s="29" t="str">
        <f t="shared" si="0"/>
        <v/>
      </c>
      <c r="L55" s="29" t="str">
        <f t="shared" si="1"/>
        <v/>
      </c>
    </row>
    <row r="56" spans="1:12" x14ac:dyDescent="0.25">
      <c r="A56" s="5"/>
      <c r="B56" s="6"/>
      <c r="C56" s="5"/>
      <c r="D56" s="5"/>
      <c r="E56" s="8"/>
      <c r="F56" s="9"/>
      <c r="G56" s="5"/>
      <c r="H56" s="28" t="s">
        <v>39</v>
      </c>
      <c r="I56" s="10"/>
      <c r="J56" s="11"/>
      <c r="K56" s="29" t="str">
        <f t="shared" si="0"/>
        <v/>
      </c>
      <c r="L56" s="29" t="str">
        <f t="shared" si="1"/>
        <v/>
      </c>
    </row>
    <row r="57" spans="1:12" x14ac:dyDescent="0.25">
      <c r="A57" s="5"/>
      <c r="B57" s="6"/>
      <c r="C57" s="5"/>
      <c r="D57" s="5"/>
      <c r="E57" s="8"/>
      <c r="F57" s="9"/>
      <c r="G57" s="5"/>
      <c r="H57" s="28" t="s">
        <v>39</v>
      </c>
      <c r="I57" s="10"/>
      <c r="J57" s="11"/>
      <c r="K57" s="29" t="str">
        <f t="shared" si="0"/>
        <v/>
      </c>
      <c r="L57" s="29" t="str">
        <f t="shared" si="1"/>
        <v/>
      </c>
    </row>
    <row r="58" spans="1:12" x14ac:dyDescent="0.25">
      <c r="A58" s="5"/>
      <c r="B58" s="6"/>
      <c r="C58" s="5"/>
      <c r="D58" s="5"/>
      <c r="E58" s="8"/>
      <c r="F58" s="9"/>
      <c r="G58" s="5"/>
      <c r="H58" s="28" t="s">
        <v>39</v>
      </c>
      <c r="I58" s="10"/>
      <c r="J58" s="11"/>
      <c r="K58" s="29" t="str">
        <f t="shared" si="0"/>
        <v/>
      </c>
      <c r="L58" s="29" t="str">
        <f t="shared" si="1"/>
        <v/>
      </c>
    </row>
    <row r="59" spans="1:12" x14ac:dyDescent="0.25">
      <c r="A59" s="5"/>
      <c r="B59" s="6"/>
      <c r="C59" s="5"/>
      <c r="D59" s="5"/>
      <c r="E59" s="8"/>
      <c r="F59" s="9"/>
      <c r="G59" s="5"/>
      <c r="H59" s="28" t="s">
        <v>39</v>
      </c>
      <c r="I59" s="10"/>
      <c r="J59" s="11"/>
      <c r="K59" s="29" t="str">
        <f t="shared" si="0"/>
        <v/>
      </c>
      <c r="L59" s="29" t="str">
        <f t="shared" si="1"/>
        <v/>
      </c>
    </row>
    <row r="60" spans="1:12" x14ac:dyDescent="0.25">
      <c r="A60" s="5"/>
      <c r="B60" s="6"/>
      <c r="C60" s="5"/>
      <c r="D60" s="5"/>
      <c r="E60" s="8"/>
      <c r="F60" s="9"/>
      <c r="G60" s="5"/>
      <c r="H60" s="28" t="s">
        <v>39</v>
      </c>
      <c r="I60" s="10"/>
      <c r="J60" s="11"/>
      <c r="K60" s="29" t="str">
        <f t="shared" si="0"/>
        <v/>
      </c>
      <c r="L60" s="29" t="str">
        <f t="shared" si="1"/>
        <v/>
      </c>
    </row>
    <row r="61" spans="1:12" x14ac:dyDescent="0.25">
      <c r="A61" s="5"/>
      <c r="B61" s="6"/>
      <c r="C61" s="5"/>
      <c r="D61" s="5"/>
      <c r="E61" s="8"/>
      <c r="F61" s="9"/>
      <c r="G61" s="5"/>
      <c r="H61" s="28" t="s">
        <v>39</v>
      </c>
      <c r="I61" s="10"/>
      <c r="J61" s="11"/>
      <c r="K61" s="29" t="str">
        <f t="shared" si="0"/>
        <v/>
      </c>
      <c r="L61" s="29" t="str">
        <f t="shared" si="1"/>
        <v/>
      </c>
    </row>
    <row r="62" spans="1:12" x14ac:dyDescent="0.25">
      <c r="A62" s="5"/>
      <c r="B62" s="6"/>
      <c r="C62" s="5"/>
      <c r="D62" s="5"/>
      <c r="E62" s="8"/>
      <c r="F62" s="9"/>
      <c r="G62" s="5"/>
      <c r="H62" s="28" t="s">
        <v>39</v>
      </c>
      <c r="I62" s="10"/>
      <c r="J62" s="11"/>
      <c r="K62" s="29" t="str">
        <f t="shared" si="0"/>
        <v/>
      </c>
      <c r="L62" s="29" t="str">
        <f t="shared" si="1"/>
        <v/>
      </c>
    </row>
    <row r="63" spans="1:12" x14ac:dyDescent="0.25">
      <c r="A63" s="5"/>
      <c r="B63" s="6"/>
      <c r="C63" s="5"/>
      <c r="D63" s="5"/>
      <c r="E63" s="8"/>
      <c r="F63" s="9"/>
      <c r="G63" s="5"/>
      <c r="H63" s="28" t="s">
        <v>39</v>
      </c>
      <c r="I63" s="10"/>
      <c r="J63" s="11"/>
      <c r="K63" s="29" t="str">
        <f t="shared" si="0"/>
        <v/>
      </c>
      <c r="L63" s="29" t="str">
        <f t="shared" si="1"/>
        <v/>
      </c>
    </row>
    <row r="64" spans="1:12" x14ac:dyDescent="0.25">
      <c r="A64" s="5"/>
      <c r="B64" s="6"/>
      <c r="C64" s="5"/>
      <c r="D64" s="5"/>
      <c r="E64" s="8"/>
      <c r="F64" s="9"/>
      <c r="G64" s="5"/>
      <c r="H64" s="28" t="s">
        <v>39</v>
      </c>
      <c r="I64" s="10"/>
      <c r="J64" s="11"/>
      <c r="K64" s="29" t="str">
        <f t="shared" si="0"/>
        <v/>
      </c>
      <c r="L64" s="29" t="str">
        <f t="shared" si="1"/>
        <v/>
      </c>
    </row>
    <row r="65" spans="1:12" x14ac:dyDescent="0.25">
      <c r="A65" s="5"/>
      <c r="B65" s="6"/>
      <c r="C65" s="5"/>
      <c r="D65" s="5"/>
      <c r="E65" s="8"/>
      <c r="F65" s="9"/>
      <c r="G65" s="5"/>
      <c r="H65" s="28" t="s">
        <v>39</v>
      </c>
      <c r="I65" s="10"/>
      <c r="J65" s="11"/>
      <c r="K65" s="29" t="str">
        <f t="shared" si="0"/>
        <v/>
      </c>
      <c r="L65" s="29" t="str">
        <f t="shared" si="1"/>
        <v/>
      </c>
    </row>
    <row r="66" spans="1:12" x14ac:dyDescent="0.25">
      <c r="A66" s="5"/>
      <c r="B66" s="6"/>
      <c r="C66" s="5"/>
      <c r="D66" s="5"/>
      <c r="E66" s="8"/>
      <c r="F66" s="9"/>
      <c r="G66" s="5"/>
      <c r="H66" s="28" t="s">
        <v>39</v>
      </c>
      <c r="I66" s="10"/>
      <c r="J66" s="11"/>
      <c r="K66" s="29" t="str">
        <f t="shared" si="0"/>
        <v/>
      </c>
      <c r="L66" s="29" t="str">
        <f t="shared" si="1"/>
        <v/>
      </c>
    </row>
    <row r="67" spans="1:12" x14ac:dyDescent="0.25">
      <c r="A67" s="5"/>
      <c r="B67" s="6"/>
      <c r="C67" s="5"/>
      <c r="D67" s="5"/>
      <c r="E67" s="8"/>
      <c r="F67" s="9"/>
      <c r="G67" s="5"/>
      <c r="H67" s="28" t="s">
        <v>39</v>
      </c>
      <c r="I67" s="10"/>
      <c r="J67" s="11"/>
      <c r="K67" s="29" t="str">
        <f t="shared" ref="K67:K115" si="2">IF(J67&lt;&gt;"",J67*G67,"")</f>
        <v/>
      </c>
      <c r="L67" s="29" t="str">
        <f t="shared" ref="L67:L115" si="3">IF(K67&lt;&gt;"",K67*87.5%,"")</f>
        <v/>
      </c>
    </row>
    <row r="68" spans="1:12" ht="15.75" x14ac:dyDescent="0.25">
      <c r="A68" s="5"/>
      <c r="B68" s="7"/>
      <c r="C68" s="5"/>
      <c r="D68" s="5"/>
      <c r="E68" s="8"/>
      <c r="F68" s="9"/>
      <c r="G68" s="5"/>
      <c r="H68" s="28" t="str">
        <f>IFERROR(IF(AND(COUNTIF(RegistroPago!$A$1:$A$2000,Consolidado!B68)&gt;0,INDEX(RegistroPago!$E$1:$E$2000,MATCH(Consolidado!B68,RegistroPago!$A$1:$A$2000,0))&lt;&gt;""),"PAGADA",IF(I68&lt;&gt;"","PENDIENTE","SIN EMITIR")),"")</f>
        <v/>
      </c>
      <c r="I68" s="10"/>
      <c r="J68" s="11"/>
      <c r="K68" s="29" t="str">
        <f t="shared" si="2"/>
        <v/>
      </c>
      <c r="L68" s="29" t="str">
        <f t="shared" si="3"/>
        <v/>
      </c>
    </row>
    <row r="69" spans="1:12" x14ac:dyDescent="0.25">
      <c r="A69" s="5"/>
      <c r="B69" s="6"/>
      <c r="C69" s="5"/>
      <c r="D69" s="5"/>
      <c r="E69" s="8"/>
      <c r="F69" s="9"/>
      <c r="G69" s="5"/>
      <c r="H69" s="28" t="s">
        <v>42</v>
      </c>
      <c r="I69" s="10"/>
      <c r="J69" s="2"/>
      <c r="K69" s="29" t="str">
        <f t="shared" si="2"/>
        <v/>
      </c>
      <c r="L69" s="29" t="str">
        <f t="shared" si="3"/>
        <v/>
      </c>
    </row>
    <row r="70" spans="1:12" x14ac:dyDescent="0.25">
      <c r="A70" s="5"/>
      <c r="B70" s="6"/>
      <c r="C70" s="5"/>
      <c r="D70" s="5"/>
      <c r="E70" s="8"/>
      <c r="F70" s="9"/>
      <c r="G70" s="5"/>
      <c r="H70" s="28" t="s">
        <v>42</v>
      </c>
      <c r="I70" s="10"/>
      <c r="J70" s="2"/>
      <c r="K70" s="29" t="str">
        <f t="shared" si="2"/>
        <v/>
      </c>
      <c r="L70" s="29" t="str">
        <f t="shared" si="3"/>
        <v/>
      </c>
    </row>
    <row r="71" spans="1:12" x14ac:dyDescent="0.25">
      <c r="A71" s="5"/>
      <c r="B71" s="6"/>
      <c r="C71" s="5"/>
      <c r="D71" s="5"/>
      <c r="E71" s="8"/>
      <c r="F71" s="9"/>
      <c r="G71" s="5"/>
      <c r="H71" s="28" t="str">
        <f>IFERROR(IF(AND(COUNTIF(RegistroPago!$A$1:$A$2000,Consolidado!B71)&gt;0,INDEX(RegistroPago!$E$1:$E$2000,MATCH(Consolidado!B71,RegistroPago!$A$1:$A$2000,0))&lt;&gt;""),"PAGADA",IF(I71&lt;&gt;"","PENDIENTE","SIN EMITIR")),"")</f>
        <v/>
      </c>
      <c r="I71" s="10"/>
      <c r="J71" s="2"/>
      <c r="K71" s="29" t="str">
        <f t="shared" si="2"/>
        <v/>
      </c>
      <c r="L71" s="29" t="str">
        <f t="shared" si="3"/>
        <v/>
      </c>
    </row>
    <row r="72" spans="1:12" x14ac:dyDescent="0.25">
      <c r="A72" s="5"/>
      <c r="B72" s="6"/>
      <c r="C72" s="5"/>
      <c r="D72" s="5"/>
      <c r="E72" s="8"/>
      <c r="F72" s="9"/>
      <c r="G72" s="5"/>
      <c r="H72" s="28" t="str">
        <f>IFERROR(IF(AND(COUNTIF(RegistroPago!$A$1:$A$2000,Consolidado!B72)&gt;0,INDEX(RegistroPago!$E$1:$E$2000,MATCH(Consolidado!B72,RegistroPago!$A$1:$A$2000,0))&lt;&gt;""),"PAGADA",IF(I72&lt;&gt;"","PENDIENTE","SIN EMITIR")),"")</f>
        <v/>
      </c>
      <c r="I72" s="10"/>
      <c r="J72" s="2"/>
      <c r="K72" s="29" t="str">
        <f t="shared" si="2"/>
        <v/>
      </c>
      <c r="L72" s="29" t="str">
        <f t="shared" si="3"/>
        <v/>
      </c>
    </row>
    <row r="73" spans="1:12" x14ac:dyDescent="0.25">
      <c r="A73" s="5"/>
      <c r="B73" s="6"/>
      <c r="C73" s="5"/>
      <c r="D73" s="5"/>
      <c r="E73" s="8"/>
      <c r="F73" s="9"/>
      <c r="G73" s="5"/>
      <c r="H73" s="28" t="str">
        <f>IFERROR(IF(AND(COUNTIF(RegistroPago!$A$1:$A$2000,Consolidado!B73)&gt;0,INDEX(RegistroPago!$E$1:$E$2000,MATCH(Consolidado!B73,RegistroPago!$A$1:$A$2000,0))&lt;&gt;""),"PAGADA",IF(I73&lt;&gt;"","PENDIENTE","SIN EMITIR")),"")</f>
        <v/>
      </c>
      <c r="I73" s="10"/>
      <c r="J73" s="2"/>
      <c r="K73" s="29" t="str">
        <f t="shared" si="2"/>
        <v/>
      </c>
      <c r="L73" s="29" t="str">
        <f t="shared" si="3"/>
        <v/>
      </c>
    </row>
    <row r="74" spans="1:12" x14ac:dyDescent="0.25">
      <c r="A74" s="5"/>
      <c r="B74" s="6"/>
      <c r="C74" s="5"/>
      <c r="D74" s="5"/>
      <c r="E74" s="8"/>
      <c r="F74" s="9"/>
      <c r="G74" s="5"/>
      <c r="H74" s="28" t="str">
        <f>IFERROR(IF(AND(COUNTIF(RegistroPago!$A$1:$A$2000,Consolidado!B74)&gt;0,INDEX(RegistroPago!$E$1:$E$2000,MATCH(Consolidado!B74,RegistroPago!$A$1:$A$2000,0))&lt;&gt;""),"PAGADA",IF(I74&lt;&gt;"","PENDIENTE","SIN EMITIR")),"")</f>
        <v/>
      </c>
      <c r="I74" s="10"/>
      <c r="J74" s="2"/>
      <c r="K74" s="29" t="str">
        <f t="shared" si="2"/>
        <v/>
      </c>
      <c r="L74" s="29" t="str">
        <f t="shared" si="3"/>
        <v/>
      </c>
    </row>
    <row r="75" spans="1:12" x14ac:dyDescent="0.25">
      <c r="A75" s="5"/>
      <c r="B75" s="6"/>
      <c r="C75" s="5"/>
      <c r="D75" s="5"/>
      <c r="E75" s="8"/>
      <c r="F75" s="9"/>
      <c r="G75" s="5"/>
      <c r="H75" s="28" t="str">
        <f>IFERROR(IF(AND(COUNTIF(RegistroPago!$A$1:$A$2000,Consolidado!B75)&gt;0,INDEX(RegistroPago!$E$1:$E$2000,MATCH(Consolidado!B75,RegistroPago!$A$1:$A$2000,0))&lt;&gt;""),"PAGADA",IF(I75&lt;&gt;"","PENDIENTE","SIN EMITIR")),"")</f>
        <v/>
      </c>
      <c r="I75" s="10"/>
      <c r="J75" s="2"/>
      <c r="K75" s="29" t="str">
        <f t="shared" si="2"/>
        <v/>
      </c>
      <c r="L75" s="29" t="str">
        <f t="shared" si="3"/>
        <v/>
      </c>
    </row>
    <row r="76" spans="1:12" x14ac:dyDescent="0.25">
      <c r="A76" s="5"/>
      <c r="B76" s="6"/>
      <c r="C76" s="5"/>
      <c r="D76" s="5"/>
      <c r="E76" s="8"/>
      <c r="F76" s="9"/>
      <c r="G76" s="5"/>
      <c r="H76" s="28" t="str">
        <f>IFERROR(IF(AND(COUNTIF(RegistroPago!$A$1:$A$2000,Consolidado!B76)&gt;0,INDEX(RegistroPago!$E$1:$E$2000,MATCH(Consolidado!B76,RegistroPago!$A$1:$A$2000,0))&lt;&gt;""),"PAGADA",IF(I76&lt;&gt;"","PENDIENTE","SIN EMITIR")),"")</f>
        <v/>
      </c>
      <c r="I76" s="10"/>
      <c r="J76" s="2"/>
      <c r="K76" s="29" t="str">
        <f t="shared" si="2"/>
        <v/>
      </c>
      <c r="L76" s="29" t="str">
        <f t="shared" si="3"/>
        <v/>
      </c>
    </row>
    <row r="77" spans="1:12" x14ac:dyDescent="0.25">
      <c r="A77" s="5"/>
      <c r="B77" s="6"/>
      <c r="C77" s="5"/>
      <c r="D77" s="5"/>
      <c r="E77" s="8"/>
      <c r="F77" s="9"/>
      <c r="G77" s="5"/>
      <c r="H77" s="28" t="str">
        <f>IFERROR(IF(AND(COUNTIF(RegistroPago!$A$1:$A$2000,Consolidado!B77)&gt;0,INDEX(RegistroPago!$E$1:$E$2000,MATCH(Consolidado!B77,RegistroPago!$A$1:$A$2000,0))&lt;&gt;""),"PAGADA",IF(I77&lt;&gt;"","PENDIENTE","SIN EMITIR")),"")</f>
        <v/>
      </c>
      <c r="I77" s="10"/>
      <c r="J77" s="2"/>
      <c r="K77" s="29" t="str">
        <f t="shared" si="2"/>
        <v/>
      </c>
      <c r="L77" s="29" t="str">
        <f t="shared" si="3"/>
        <v/>
      </c>
    </row>
    <row r="78" spans="1:12" x14ac:dyDescent="0.25">
      <c r="A78" s="5"/>
      <c r="B78" s="6"/>
      <c r="C78" s="5"/>
      <c r="D78" s="5"/>
      <c r="E78" s="8"/>
      <c r="F78" s="9"/>
      <c r="G78" s="5"/>
      <c r="H78" s="28" t="str">
        <f>IFERROR(IF(AND(COUNTIF(RegistroPago!$A$1:$A$2000,Consolidado!B78)&gt;0,INDEX(RegistroPago!$E$1:$E$2000,MATCH(Consolidado!B78,RegistroPago!$A$1:$A$2000,0))&lt;&gt;""),"PAGADA",IF(I78&lt;&gt;"","PENDIENTE","SIN EMITIR")),"")</f>
        <v/>
      </c>
      <c r="I78" s="10"/>
      <c r="J78" s="2"/>
      <c r="K78" s="29" t="str">
        <f t="shared" si="2"/>
        <v/>
      </c>
      <c r="L78" s="29" t="str">
        <f t="shared" si="3"/>
        <v/>
      </c>
    </row>
    <row r="79" spans="1:12" x14ac:dyDescent="0.25">
      <c r="A79" s="5"/>
      <c r="B79" s="6"/>
      <c r="C79" s="5"/>
      <c r="D79" s="5"/>
      <c r="E79" s="8"/>
      <c r="F79" s="9"/>
      <c r="G79" s="5"/>
      <c r="H79" s="28" t="str">
        <f>IFERROR(IF(AND(COUNTIF(RegistroPago!$A$1:$A$2000,Consolidado!B79)&gt;0,INDEX(RegistroPago!$E$1:$E$2000,MATCH(Consolidado!B79,RegistroPago!$A$1:$A$2000,0))&lt;&gt;""),"PAGADA",IF(I79&lt;&gt;"","PENDIENTE","SIN EMITIR")),"")</f>
        <v/>
      </c>
      <c r="I79" s="10"/>
      <c r="J79" s="2"/>
      <c r="K79" s="29" t="str">
        <f t="shared" si="2"/>
        <v/>
      </c>
      <c r="L79" s="29" t="str">
        <f t="shared" si="3"/>
        <v/>
      </c>
    </row>
    <row r="80" spans="1:12" x14ac:dyDescent="0.25">
      <c r="A80" s="5"/>
      <c r="B80" s="6"/>
      <c r="C80" s="5"/>
      <c r="D80" s="5"/>
      <c r="E80" s="8"/>
      <c r="F80" s="9"/>
      <c r="G80" s="5"/>
      <c r="H80" s="28" t="str">
        <f>IFERROR(IF(AND(COUNTIF(RegistroPago!$A$1:$A$2000,Consolidado!B80)&gt;0,INDEX(RegistroPago!$E$1:$E$2000,MATCH(Consolidado!B80,RegistroPago!$A$1:$A$2000,0))&lt;&gt;""),"PAGADA",IF(I80&lt;&gt;"","PENDIENTE","SIN EMITIR")),"")</f>
        <v/>
      </c>
      <c r="I80" s="10"/>
      <c r="J80" s="2"/>
      <c r="K80" s="29" t="str">
        <f t="shared" si="2"/>
        <v/>
      </c>
      <c r="L80" s="29" t="str">
        <f t="shared" si="3"/>
        <v/>
      </c>
    </row>
    <row r="81" spans="1:12" x14ac:dyDescent="0.25">
      <c r="A81" s="5"/>
      <c r="B81" s="6"/>
      <c r="C81" s="5"/>
      <c r="D81" s="5"/>
      <c r="E81" s="8"/>
      <c r="F81" s="9"/>
      <c r="G81" s="5"/>
      <c r="H81" s="28" t="str">
        <f>IFERROR(IF(AND(COUNTIF(RegistroPago!$A$1:$A$2000,Consolidado!B81)&gt;0,INDEX(RegistroPago!$E$1:$E$2000,MATCH(Consolidado!B81,RegistroPago!$A$1:$A$2000,0))&lt;&gt;""),"PAGADA",IF(I81&lt;&gt;"","PENDIENTE","SIN EMITIR")),"")</f>
        <v/>
      </c>
      <c r="I81" s="10"/>
      <c r="J81" s="2"/>
      <c r="K81" s="29" t="str">
        <f t="shared" si="2"/>
        <v/>
      </c>
      <c r="L81" s="29" t="str">
        <f t="shared" si="3"/>
        <v/>
      </c>
    </row>
    <row r="82" spans="1:12" x14ac:dyDescent="0.25">
      <c r="A82" s="5"/>
      <c r="B82" s="6"/>
      <c r="C82" s="5"/>
      <c r="D82" s="5"/>
      <c r="E82" s="8"/>
      <c r="F82" s="9"/>
      <c r="G82" s="5"/>
      <c r="H82" s="28" t="str">
        <f>IFERROR(IF(AND(COUNTIF(RegistroPago!$A$1:$A$2000,Consolidado!B82)&gt;0,INDEX(RegistroPago!$E$1:$E$2000,MATCH(Consolidado!B82,RegistroPago!$A$1:$A$2000,0))&lt;&gt;""),"PAGADA",IF(I82&lt;&gt;"","PENDIENTE","SIN EMITIR")),"")</f>
        <v/>
      </c>
      <c r="I82" s="10"/>
      <c r="J82" s="2"/>
      <c r="K82" s="29" t="str">
        <f t="shared" si="2"/>
        <v/>
      </c>
      <c r="L82" s="29" t="str">
        <f t="shared" si="3"/>
        <v/>
      </c>
    </row>
    <row r="83" spans="1:12" x14ac:dyDescent="0.25">
      <c r="A83" s="5"/>
      <c r="B83" s="6"/>
      <c r="C83" s="5"/>
      <c r="D83" s="5"/>
      <c r="E83" s="8"/>
      <c r="F83" s="9"/>
      <c r="G83" s="5"/>
      <c r="H83" s="28" t="str">
        <f>IFERROR(IF(AND(COUNTIF(RegistroPago!$A$1:$A$2000,Consolidado!B83)&gt;0,INDEX(RegistroPago!$E$1:$E$2000,MATCH(Consolidado!B83,RegistroPago!$A$1:$A$2000,0))&lt;&gt;""),"PAGADA",IF(I83&lt;&gt;"","PENDIENTE","SIN EMITIR")),"")</f>
        <v/>
      </c>
      <c r="I83" s="10"/>
      <c r="J83" s="2"/>
      <c r="K83" s="29" t="str">
        <f t="shared" si="2"/>
        <v/>
      </c>
      <c r="L83" s="29" t="str">
        <f t="shared" si="3"/>
        <v/>
      </c>
    </row>
    <row r="84" spans="1:12" x14ac:dyDescent="0.25">
      <c r="A84" s="5"/>
      <c r="B84" s="6"/>
      <c r="C84" s="5"/>
      <c r="D84" s="5"/>
      <c r="E84" s="8"/>
      <c r="F84" s="9"/>
      <c r="G84" s="5"/>
      <c r="H84" s="28" t="str">
        <f>IFERROR(IF(AND(COUNTIF(RegistroPago!$A$1:$A$2000,Consolidado!B84)&gt;0,INDEX(RegistroPago!$E$1:$E$2000,MATCH(Consolidado!B84,RegistroPago!$A$1:$A$2000,0))&lt;&gt;""),"PAGADA",IF(I84&lt;&gt;"","PENDIENTE","SIN EMITIR")),"")</f>
        <v/>
      </c>
      <c r="I84" s="10"/>
      <c r="J84" s="2"/>
      <c r="K84" s="29" t="str">
        <f t="shared" si="2"/>
        <v/>
      </c>
      <c r="L84" s="29" t="str">
        <f t="shared" si="3"/>
        <v/>
      </c>
    </row>
    <row r="85" spans="1:12" x14ac:dyDescent="0.25">
      <c r="A85" s="5"/>
      <c r="B85" s="6"/>
      <c r="C85" s="5"/>
      <c r="D85" s="5"/>
      <c r="E85" s="8"/>
      <c r="F85" s="9"/>
      <c r="G85" s="5"/>
      <c r="H85" s="28" t="str">
        <f>IFERROR(IF(AND(COUNTIF(RegistroPago!$A$1:$A$2000,Consolidado!B85)&gt;0,INDEX(RegistroPago!$E$1:$E$2000,MATCH(Consolidado!B85,RegistroPago!$A$1:$A$2000,0))&lt;&gt;""),"PAGADA",IF(I85&lt;&gt;"","PENDIENTE","SIN EMITIR")),"")</f>
        <v/>
      </c>
      <c r="I85" s="10"/>
      <c r="J85" s="2"/>
      <c r="K85" s="29" t="str">
        <f t="shared" si="2"/>
        <v/>
      </c>
      <c r="L85" s="29" t="str">
        <f t="shared" si="3"/>
        <v/>
      </c>
    </row>
    <row r="86" spans="1:12" x14ac:dyDescent="0.25">
      <c r="A86" s="5"/>
      <c r="B86" s="6"/>
      <c r="C86" s="5"/>
      <c r="D86" s="5"/>
      <c r="E86" s="8"/>
      <c r="F86" s="9"/>
      <c r="G86" s="5"/>
      <c r="H86" s="28" t="str">
        <f>IFERROR(IF(AND(COUNTIF(RegistroPago!$A$1:$A$2000,Consolidado!B86)&gt;0,INDEX(RegistroPago!$E$1:$E$2000,MATCH(Consolidado!B86,RegistroPago!$A$1:$A$2000,0))&lt;&gt;""),"PAGADA",IF(I86&lt;&gt;"","PENDIENTE","SIN EMITIR")),"")</f>
        <v/>
      </c>
      <c r="I86" s="10"/>
      <c r="J86" s="2"/>
      <c r="K86" s="29" t="str">
        <f t="shared" si="2"/>
        <v/>
      </c>
      <c r="L86" s="29" t="str">
        <f t="shared" si="3"/>
        <v/>
      </c>
    </row>
    <row r="87" spans="1:12" x14ac:dyDescent="0.25">
      <c r="A87" s="5"/>
      <c r="B87" s="6"/>
      <c r="C87" s="5"/>
      <c r="D87" s="5"/>
      <c r="E87" s="8"/>
      <c r="F87" s="9"/>
      <c r="G87" s="5"/>
      <c r="H87" s="28" t="str">
        <f>IFERROR(IF(AND(COUNTIF(RegistroPago!$A$1:$A$2000,Consolidado!B87)&gt;0,INDEX(RegistroPago!$E$1:$E$2000,MATCH(Consolidado!B87,RegistroPago!$A$1:$A$2000,0))&lt;&gt;""),"PAGADA",IF(I87&lt;&gt;"","PENDIENTE","SIN EMITIR")),"")</f>
        <v/>
      </c>
      <c r="I87" s="10"/>
      <c r="J87" s="2"/>
      <c r="K87" s="29" t="str">
        <f t="shared" si="2"/>
        <v/>
      </c>
      <c r="L87" s="29" t="str">
        <f t="shared" si="3"/>
        <v/>
      </c>
    </row>
    <row r="88" spans="1:12" ht="15.75" x14ac:dyDescent="0.25">
      <c r="A88" s="5"/>
      <c r="B88" s="7"/>
      <c r="C88" s="5"/>
      <c r="D88" s="5"/>
      <c r="E88" s="8"/>
      <c r="F88" s="9"/>
      <c r="G88" s="5"/>
      <c r="H88" s="28" t="str">
        <f>IFERROR(IF(AND(COUNTIF(RegistroPago!$A$1:$A$2000,Consolidado!B88)&gt;0,INDEX(RegistroPago!$E$1:$E$2000,MATCH(Consolidado!B88,RegistroPago!$A$1:$A$2000,0))&lt;&gt;""),"PAGADA",IF(I88&lt;&gt;"","PENDIENTE","SIN EMITIR")),"")</f>
        <v/>
      </c>
      <c r="I88" s="10"/>
      <c r="J88" s="2"/>
      <c r="K88" s="29" t="str">
        <f t="shared" si="2"/>
        <v/>
      </c>
      <c r="L88" s="29" t="str">
        <f t="shared" si="3"/>
        <v/>
      </c>
    </row>
    <row r="89" spans="1:12" ht="15.75" x14ac:dyDescent="0.25">
      <c r="A89" s="5"/>
      <c r="B89" s="7"/>
      <c r="C89" s="5"/>
      <c r="D89" s="5"/>
      <c r="E89" s="8"/>
      <c r="F89" s="9"/>
      <c r="G89" s="5"/>
      <c r="H89" s="28" t="str">
        <f>IFERROR(IF(AND(COUNTIF(RegistroPago!$A$1:$A$2000,Consolidado!B89)&gt;0,INDEX(RegistroPago!$E$1:$E$2000,MATCH(Consolidado!B89,RegistroPago!$A$1:$A$2000,0))&lt;&gt;""),"PAGADA",IF(I89&lt;&gt;"","PENDIENTE","SIN EMITIR")),"")</f>
        <v/>
      </c>
      <c r="I89" s="10"/>
      <c r="J89" s="2"/>
      <c r="K89" s="29" t="str">
        <f t="shared" si="2"/>
        <v/>
      </c>
      <c r="L89" s="29" t="str">
        <f t="shared" si="3"/>
        <v/>
      </c>
    </row>
    <row r="90" spans="1:12" ht="15.75" x14ac:dyDescent="0.25">
      <c r="A90" s="5"/>
      <c r="B90" s="7"/>
      <c r="C90" s="5"/>
      <c r="D90" s="5"/>
      <c r="E90" s="8"/>
      <c r="F90" s="9"/>
      <c r="G90" s="5"/>
      <c r="H90" s="28" t="str">
        <f>IFERROR(IF(AND(COUNTIF(RegistroPago!$A$1:$A$2000,Consolidado!B90)&gt;0,INDEX(RegistroPago!$E$1:$E$2000,MATCH(Consolidado!B90,RegistroPago!$A$1:$A$2000,0))&lt;&gt;""),"PAGADA",IF(I90&lt;&gt;"","PENDIENTE","SIN EMITIR")),"")</f>
        <v/>
      </c>
      <c r="I90" s="10"/>
      <c r="J90" s="2"/>
      <c r="K90" s="29" t="str">
        <f t="shared" si="2"/>
        <v/>
      </c>
      <c r="L90" s="29" t="str">
        <f t="shared" si="3"/>
        <v/>
      </c>
    </row>
    <row r="91" spans="1:12" ht="15.75" x14ac:dyDescent="0.25">
      <c r="A91" s="5"/>
      <c r="B91" s="7"/>
      <c r="C91" s="5"/>
      <c r="D91" s="5"/>
      <c r="E91" s="8"/>
      <c r="F91" s="9"/>
      <c r="G91" s="5"/>
      <c r="H91" s="28" t="str">
        <f>IFERROR(IF(AND(COUNTIF(RegistroPago!$A$1:$A$2000,Consolidado!B91)&gt;0,INDEX(RegistroPago!$E$1:$E$2000,MATCH(Consolidado!B91,RegistroPago!$A$1:$A$2000,0))&lt;&gt;""),"PAGADA",IF(I91&lt;&gt;"","PENDIENTE","SIN EMITIR")),"")</f>
        <v/>
      </c>
      <c r="I91" s="10"/>
      <c r="J91" s="2"/>
      <c r="K91" s="29" t="str">
        <f t="shared" si="2"/>
        <v/>
      </c>
      <c r="L91" s="29" t="str">
        <f t="shared" si="3"/>
        <v/>
      </c>
    </row>
    <row r="92" spans="1:12" ht="15.75" x14ac:dyDescent="0.25">
      <c r="A92" s="5"/>
      <c r="B92" s="7"/>
      <c r="C92" s="5"/>
      <c r="D92" s="5"/>
      <c r="E92" s="8"/>
      <c r="F92" s="9"/>
      <c r="G92" s="5"/>
      <c r="H92" s="28" t="str">
        <f>IFERROR(IF(AND(COUNTIF(RegistroPago!$A$1:$A$2000,Consolidado!B92)&gt;0,INDEX(RegistroPago!$E$1:$E$2000,MATCH(Consolidado!B92,RegistroPago!$A$1:$A$2000,0))&lt;&gt;""),"PAGADA",IF(I92&lt;&gt;"","PENDIENTE","SIN EMITIR")),"")</f>
        <v/>
      </c>
      <c r="I92" s="10"/>
      <c r="J92" s="2"/>
      <c r="K92" s="29" t="str">
        <f t="shared" si="2"/>
        <v/>
      </c>
      <c r="L92" s="29" t="str">
        <f t="shared" si="3"/>
        <v/>
      </c>
    </row>
    <row r="93" spans="1:12" ht="15.75" x14ac:dyDescent="0.25">
      <c r="A93" s="5"/>
      <c r="B93" s="7"/>
      <c r="C93" s="5"/>
      <c r="D93" s="5"/>
      <c r="E93" s="8"/>
      <c r="F93" s="9"/>
      <c r="G93" s="5"/>
      <c r="H93" s="28" t="str">
        <f>IFERROR(IF(AND(COUNTIF(RegistroPago!$A$1:$A$2000,Consolidado!B93)&gt;0,INDEX(RegistroPago!$E$1:$E$2000,MATCH(Consolidado!B93,RegistroPago!$A$1:$A$2000,0))&lt;&gt;""),"PAGADA",IF(I93&lt;&gt;"","PENDIENTE","SIN EMITIR")),"")</f>
        <v/>
      </c>
      <c r="I93" s="10"/>
      <c r="J93" s="2"/>
      <c r="K93" s="29" t="str">
        <f t="shared" si="2"/>
        <v/>
      </c>
      <c r="L93" s="29" t="str">
        <f t="shared" si="3"/>
        <v/>
      </c>
    </row>
    <row r="94" spans="1:12" ht="15.75" x14ac:dyDescent="0.25">
      <c r="A94" s="5"/>
      <c r="B94" s="7"/>
      <c r="C94" s="5"/>
      <c r="D94" s="5"/>
      <c r="E94" s="8"/>
      <c r="F94" s="9"/>
      <c r="G94" s="5"/>
      <c r="H94" s="28" t="str">
        <f>IFERROR(IF(AND(COUNTIF(RegistroPago!$A$1:$A$2000,Consolidado!B94)&gt;0,INDEX(RegistroPago!$E$1:$E$2000,MATCH(Consolidado!B94,RegistroPago!$A$1:$A$2000,0))&lt;&gt;""),"PAGADA",IF(I94&lt;&gt;"","PENDIENTE","SIN EMITIR")),"")</f>
        <v/>
      </c>
      <c r="I94" s="10"/>
      <c r="J94" s="2"/>
      <c r="K94" s="29" t="str">
        <f t="shared" si="2"/>
        <v/>
      </c>
      <c r="L94" s="29" t="str">
        <f t="shared" si="3"/>
        <v/>
      </c>
    </row>
    <row r="95" spans="1:12" ht="15.75" x14ac:dyDescent="0.25">
      <c r="A95" s="5"/>
      <c r="B95" s="7"/>
      <c r="C95" s="5"/>
      <c r="D95" s="5"/>
      <c r="E95" s="8"/>
      <c r="F95" s="9"/>
      <c r="G95" s="5"/>
      <c r="H95" s="28" t="str">
        <f>IFERROR(IF(AND(COUNTIF(RegistroPago!$A$1:$A$2000,Consolidado!B95)&gt;0,INDEX(RegistroPago!$E$1:$E$2000,MATCH(Consolidado!B95,RegistroPago!$A$1:$A$2000,0))&lt;&gt;""),"PAGADA",IF(I95&lt;&gt;"","PENDIENTE","SIN EMITIR")),"")</f>
        <v/>
      </c>
      <c r="I95" s="10"/>
      <c r="J95" s="2"/>
      <c r="K95" s="29" t="str">
        <f t="shared" si="2"/>
        <v/>
      </c>
      <c r="L95" s="29" t="str">
        <f t="shared" si="3"/>
        <v/>
      </c>
    </row>
    <row r="96" spans="1:12" ht="15.75" x14ac:dyDescent="0.25">
      <c r="A96" s="5"/>
      <c r="B96" s="7"/>
      <c r="C96" s="5"/>
      <c r="D96" s="5"/>
      <c r="E96" s="8"/>
      <c r="F96" s="9"/>
      <c r="G96" s="5"/>
      <c r="H96" s="28" t="str">
        <f>IFERROR(IF(AND(COUNTIF(RegistroPago!$A$1:$A$2000,Consolidado!B96)&gt;0,INDEX(RegistroPago!$E$1:$E$2000,MATCH(Consolidado!B96,RegistroPago!$A$1:$A$2000,0))&lt;&gt;""),"PAGADA",IF(I96&lt;&gt;"","PENDIENTE","SIN EMITIR")),"")</f>
        <v/>
      </c>
      <c r="I96" s="10"/>
      <c r="J96" s="2"/>
      <c r="K96" s="29" t="str">
        <f t="shared" si="2"/>
        <v/>
      </c>
      <c r="L96" s="29" t="str">
        <f t="shared" si="3"/>
        <v/>
      </c>
    </row>
    <row r="97" spans="1:12" ht="15.75" x14ac:dyDescent="0.25">
      <c r="A97" s="5"/>
      <c r="B97" s="7"/>
      <c r="C97" s="5"/>
      <c r="D97" s="5"/>
      <c r="E97" s="8"/>
      <c r="F97" s="9"/>
      <c r="G97" s="5"/>
      <c r="H97" s="28" t="str">
        <f>IFERROR(IF(AND(COUNTIF(RegistroPago!$A$1:$A$2000,Consolidado!B97)&gt;0,INDEX(RegistroPago!$E$1:$E$2000,MATCH(Consolidado!B97,RegistroPago!$A$1:$A$2000,0))&lt;&gt;""),"PAGADA",IF(I97&lt;&gt;"","PENDIENTE","SIN EMITIR")),"")</f>
        <v/>
      </c>
      <c r="I97" s="10"/>
      <c r="J97" s="2"/>
      <c r="K97" s="29" t="str">
        <f t="shared" si="2"/>
        <v/>
      </c>
      <c r="L97" s="29" t="str">
        <f t="shared" si="3"/>
        <v/>
      </c>
    </row>
    <row r="98" spans="1:12" ht="15.75" x14ac:dyDescent="0.25">
      <c r="A98" s="5"/>
      <c r="B98" s="7"/>
      <c r="C98" s="5"/>
      <c r="D98" s="5"/>
      <c r="E98" s="8"/>
      <c r="F98" s="9"/>
      <c r="G98" s="5"/>
      <c r="H98" s="28" t="str">
        <f>IFERROR(IF(AND(COUNTIF(RegistroPago!$A$1:$A$2000,Consolidado!B98)&gt;0,INDEX(RegistroPago!$E$1:$E$2000,MATCH(Consolidado!B98,RegistroPago!$A$1:$A$2000,0))&lt;&gt;""),"PAGADA",IF(I98&lt;&gt;"","PENDIENTE","SIN EMITIR")),"")</f>
        <v/>
      </c>
      <c r="I98" s="10"/>
      <c r="J98" s="2"/>
      <c r="K98" s="29" t="str">
        <f t="shared" si="2"/>
        <v/>
      </c>
      <c r="L98" s="29" t="str">
        <f t="shared" si="3"/>
        <v/>
      </c>
    </row>
    <row r="99" spans="1:12" ht="15.75" x14ac:dyDescent="0.25">
      <c r="A99" s="5"/>
      <c r="B99" s="7"/>
      <c r="C99" s="5"/>
      <c r="D99" s="5"/>
      <c r="E99" s="8"/>
      <c r="F99" s="9"/>
      <c r="G99" s="5"/>
      <c r="H99" s="28" t="str">
        <f>IFERROR(IF(AND(COUNTIF(RegistroPago!$A$1:$A$2000,Consolidado!B99)&gt;0,INDEX(RegistroPago!$E$1:$E$2000,MATCH(Consolidado!B99,RegistroPago!$A$1:$A$2000,0))&lt;&gt;""),"PAGADA",IF(I99&lt;&gt;"","PENDIENTE","SIN EMITIR")),"")</f>
        <v/>
      </c>
      <c r="I99" s="10"/>
      <c r="J99" s="2"/>
      <c r="K99" s="29" t="str">
        <f t="shared" si="2"/>
        <v/>
      </c>
      <c r="L99" s="29" t="str">
        <f t="shared" si="3"/>
        <v/>
      </c>
    </row>
    <row r="100" spans="1:12" ht="15.75" x14ac:dyDescent="0.25">
      <c r="A100" s="5"/>
      <c r="B100" s="7"/>
      <c r="C100" s="5"/>
      <c r="D100" s="5"/>
      <c r="E100" s="8"/>
      <c r="F100" s="9"/>
      <c r="G100" s="5"/>
      <c r="H100" s="28" t="str">
        <f>IFERROR(IF(AND(COUNTIF(RegistroPago!$A$1:$A$2000,Consolidado!B100)&gt;0,INDEX(RegistroPago!$E$1:$E$2000,MATCH(Consolidado!B100,RegistroPago!$A$1:$A$2000,0))&lt;&gt;""),"PAGADA",IF(I100&lt;&gt;"","PENDIENTE","SIN EMITIR")),"")</f>
        <v/>
      </c>
      <c r="I100" s="10">
        <v>46125</v>
      </c>
      <c r="J100" s="2"/>
      <c r="K100" s="29" t="str">
        <f t="shared" si="2"/>
        <v/>
      </c>
      <c r="L100" s="29" t="str">
        <f t="shared" si="3"/>
        <v/>
      </c>
    </row>
    <row r="101" spans="1:12" ht="15.75" x14ac:dyDescent="0.25">
      <c r="A101" s="5"/>
      <c r="B101" s="7"/>
      <c r="C101" s="5"/>
      <c r="D101" s="5"/>
      <c r="E101" s="8"/>
      <c r="F101" s="9"/>
      <c r="G101" s="5"/>
      <c r="H101" s="28" t="str">
        <f>IFERROR(IF(AND(COUNTIF(RegistroPago!$A$1:$A$2000,Consolidado!B101)&gt;0,INDEX(RegistroPago!$E$1:$E$2000,MATCH(Consolidado!B101,RegistroPago!$A$1:$A$2000,0))&lt;&gt;""),"PAGADA",IF(I101&lt;&gt;"","PENDIENTE","SIN EMITIR")),"")</f>
        <v/>
      </c>
      <c r="I101" s="10">
        <v>46125</v>
      </c>
      <c r="J101" s="2"/>
      <c r="K101" s="29" t="str">
        <f t="shared" si="2"/>
        <v/>
      </c>
      <c r="L101" s="29" t="str">
        <f t="shared" si="3"/>
        <v/>
      </c>
    </row>
    <row r="102" spans="1:12" ht="15.75" x14ac:dyDescent="0.25">
      <c r="A102" s="5"/>
      <c r="B102" s="7"/>
      <c r="C102" s="5"/>
      <c r="D102" s="5"/>
      <c r="E102" s="8"/>
      <c r="F102" s="9"/>
      <c r="G102" s="5"/>
      <c r="H102" s="28" t="str">
        <f>IFERROR(IF(AND(COUNTIF(RegistroPago!$A$1:$A$2000,Consolidado!B102)&gt;0,INDEX(RegistroPago!$E$1:$E$2000,MATCH(Consolidado!B102,RegistroPago!$A$1:$A$2000,0))&lt;&gt;""),"PAGADA",IF(I102&lt;&gt;"","PENDIENTE","SIN EMITIR")),"")</f>
        <v/>
      </c>
      <c r="I102" s="10">
        <v>46125</v>
      </c>
      <c r="J102" s="2"/>
      <c r="K102" s="29" t="str">
        <f t="shared" si="2"/>
        <v/>
      </c>
      <c r="L102" s="29" t="str">
        <f t="shared" si="3"/>
        <v/>
      </c>
    </row>
    <row r="103" spans="1:12" x14ac:dyDescent="0.25">
      <c r="A103" s="5"/>
      <c r="B103" s="6"/>
      <c r="C103" s="5"/>
      <c r="D103" s="5"/>
      <c r="E103" s="8"/>
      <c r="F103" s="9"/>
      <c r="G103" s="5"/>
      <c r="H103" s="28" t="str">
        <f>IFERROR(IF(AND(COUNTIF(RegistroPago!$A$1:$A$2000,Consolidado!B103)&gt;0,INDEX(RegistroPago!$E$1:$E$2000,MATCH(Consolidado!B103,RegistroPago!$A$1:$A$2000,0))&lt;&gt;""),"PAGADA",IF(I103&lt;&gt;"","PENDIENTE","SIN EMITIR")),"")</f>
        <v/>
      </c>
      <c r="I103" s="10">
        <v>46125</v>
      </c>
      <c r="J103" s="2"/>
      <c r="K103" s="29" t="str">
        <f t="shared" si="2"/>
        <v/>
      </c>
      <c r="L103" s="29" t="str">
        <f t="shared" si="3"/>
        <v/>
      </c>
    </row>
    <row r="104" spans="1:12" x14ac:dyDescent="0.25">
      <c r="A104" s="5"/>
      <c r="B104" s="6"/>
      <c r="C104" s="5"/>
      <c r="D104" s="5"/>
      <c r="E104" s="8"/>
      <c r="F104" s="9"/>
      <c r="G104" s="5"/>
      <c r="H104" s="28" t="str">
        <f>IFERROR(IF(AND(COUNTIF(RegistroPago!$A$1:$A$2000,Consolidado!B104)&gt;0,INDEX(RegistroPago!$E$1:$E$2000,MATCH(Consolidado!B104,RegistroPago!$A$1:$A$2000,0))&lt;&gt;""),"PAGADA",IF(I104&lt;&gt;"","PENDIENTE","SIN EMITIR")),"")</f>
        <v/>
      </c>
      <c r="I104" s="10">
        <v>46125</v>
      </c>
      <c r="J104" s="2"/>
      <c r="K104" s="29" t="str">
        <f t="shared" si="2"/>
        <v/>
      </c>
      <c r="L104" s="29" t="str">
        <f t="shared" si="3"/>
        <v/>
      </c>
    </row>
    <row r="105" spans="1:12" ht="15.75" x14ac:dyDescent="0.25">
      <c r="A105" s="5"/>
      <c r="B105" s="7"/>
      <c r="C105" s="5"/>
      <c r="D105" s="5"/>
      <c r="E105" s="8"/>
      <c r="F105" s="9"/>
      <c r="G105" s="5"/>
      <c r="H105" s="28" t="str">
        <f>IFERROR(IF(AND(COUNTIF(RegistroPago!$A$1:$A$2000,Consolidado!B105)&gt;0,INDEX(RegistroPago!$E$1:$E$2000,MATCH(Consolidado!B105,RegistroPago!$A$1:$A$2000,0))&lt;&gt;""),"PAGADA",IF(I105&lt;&gt;"","PENDIENTE","SIN EMITIR")),"")</f>
        <v/>
      </c>
      <c r="I105" s="10">
        <v>46125</v>
      </c>
      <c r="J105" s="2"/>
      <c r="K105" s="29" t="str">
        <f t="shared" si="2"/>
        <v/>
      </c>
      <c r="L105" s="29" t="str">
        <f t="shared" si="3"/>
        <v/>
      </c>
    </row>
    <row r="106" spans="1:12" ht="15.75" x14ac:dyDescent="0.25">
      <c r="A106" s="5"/>
      <c r="B106" s="7"/>
      <c r="C106" s="5"/>
      <c r="D106" s="5"/>
      <c r="E106" s="8"/>
      <c r="F106" s="9"/>
      <c r="G106" s="5"/>
      <c r="H106" s="28" t="str">
        <f>IFERROR(IF(AND(COUNTIF(RegistroPago!$A$1:$A$2000,Consolidado!B106)&gt;0,INDEX(RegistroPago!$E$1:$E$2000,MATCH(Consolidado!B106,RegistroPago!$A$1:$A$2000,0))&lt;&gt;""),"PAGADA",IF(I106&lt;&gt;"","PENDIENTE","SIN EMITIR")),"")</f>
        <v/>
      </c>
      <c r="I106" s="10">
        <v>46125</v>
      </c>
      <c r="J106" s="2"/>
      <c r="K106" s="29" t="str">
        <f t="shared" si="2"/>
        <v/>
      </c>
      <c r="L106" s="29" t="str">
        <f t="shared" si="3"/>
        <v/>
      </c>
    </row>
    <row r="107" spans="1:12" ht="15.75" x14ac:dyDescent="0.25">
      <c r="A107" s="5"/>
      <c r="B107" s="7"/>
      <c r="C107" s="5"/>
      <c r="D107" s="5"/>
      <c r="E107" s="8"/>
      <c r="F107" s="9"/>
      <c r="G107" s="5"/>
      <c r="H107" s="28" t="str">
        <f>IFERROR(IF(AND(COUNTIF(RegistroPago!$A$1:$A$2000,Consolidado!B107)&gt;0,INDEX(RegistroPago!$E$1:$E$2000,MATCH(Consolidado!B107,RegistroPago!$A$1:$A$2000,0))&lt;&gt;""),"PAGADA",IF(I107&lt;&gt;"","PENDIENTE","SIN EMITIR")),"")</f>
        <v/>
      </c>
      <c r="I107" s="10">
        <v>46125</v>
      </c>
      <c r="J107" s="2"/>
      <c r="K107" s="29" t="str">
        <f t="shared" si="2"/>
        <v/>
      </c>
      <c r="L107" s="29" t="str">
        <f t="shared" si="3"/>
        <v/>
      </c>
    </row>
    <row r="108" spans="1:12" ht="15.75" x14ac:dyDescent="0.25">
      <c r="A108" s="5"/>
      <c r="B108" s="7"/>
      <c r="C108" s="5"/>
      <c r="D108" s="5"/>
      <c r="E108" s="8"/>
      <c r="F108" s="9"/>
      <c r="G108" s="5"/>
      <c r="H108" s="28" t="str">
        <f>IFERROR(IF(AND(COUNTIF(RegistroPago!$A$1:$A$2000,Consolidado!B108)&gt;0,INDEX(RegistroPago!$E$1:$E$2000,MATCH(Consolidado!B108,RegistroPago!$A$1:$A$2000,0))&lt;&gt;""),"PAGADA",IF(I108&lt;&gt;"","PENDIENTE","SIN EMITIR")),"")</f>
        <v/>
      </c>
      <c r="I108" s="10">
        <v>46125</v>
      </c>
      <c r="J108" s="2"/>
      <c r="K108" s="29" t="str">
        <f t="shared" si="2"/>
        <v/>
      </c>
      <c r="L108" s="29" t="str">
        <f t="shared" si="3"/>
        <v/>
      </c>
    </row>
    <row r="109" spans="1:12" ht="15.75" x14ac:dyDescent="0.25">
      <c r="A109" s="5"/>
      <c r="B109" s="7"/>
      <c r="C109" s="5"/>
      <c r="D109" s="5"/>
      <c r="E109" s="8"/>
      <c r="F109" s="9"/>
      <c r="G109" s="5"/>
      <c r="H109" s="28" t="str">
        <f>IFERROR(IF(AND(COUNTIF(RegistroPago!$A$1:$A$2000,Consolidado!B109)&gt;0,INDEX(RegistroPago!$E$1:$E$2000,MATCH(Consolidado!B109,RegistroPago!$A$1:$A$2000,0))&lt;&gt;""),"PAGADA",IF(I109&lt;&gt;"","PENDIENTE","SIN EMITIR")),"")</f>
        <v/>
      </c>
      <c r="I109" s="10">
        <v>46125</v>
      </c>
      <c r="J109" s="2"/>
      <c r="K109" s="29" t="str">
        <f t="shared" si="2"/>
        <v/>
      </c>
      <c r="L109" s="29" t="str">
        <f t="shared" si="3"/>
        <v/>
      </c>
    </row>
    <row r="110" spans="1:12" ht="15.75" x14ac:dyDescent="0.25">
      <c r="A110" s="5"/>
      <c r="B110" s="7"/>
      <c r="C110" s="5"/>
      <c r="D110" s="5"/>
      <c r="E110" s="8"/>
      <c r="F110" s="9"/>
      <c r="G110" s="5"/>
      <c r="H110" s="28" t="str">
        <f>IFERROR(IF(AND(COUNTIF(RegistroPago!$A$1:$A$2000,Consolidado!B110)&gt;0,INDEX(RegistroPago!$E$1:$E$2000,MATCH(Consolidado!B110,RegistroPago!$A$1:$A$2000,0))&lt;&gt;""),"PAGADA",IF(I110&lt;&gt;"","PENDIENTE","SIN EMITIR")),"")</f>
        <v/>
      </c>
      <c r="I110" s="10">
        <v>46125</v>
      </c>
      <c r="J110" s="2"/>
      <c r="K110" s="29" t="str">
        <f t="shared" si="2"/>
        <v/>
      </c>
      <c r="L110" s="29" t="str">
        <f t="shared" si="3"/>
        <v/>
      </c>
    </row>
    <row r="111" spans="1:12" ht="15.75" x14ac:dyDescent="0.25">
      <c r="A111" s="5"/>
      <c r="B111" s="7"/>
      <c r="C111" s="5"/>
      <c r="D111" s="5"/>
      <c r="E111" s="8"/>
      <c r="F111" s="9"/>
      <c r="G111" s="5"/>
      <c r="H111" s="28" t="str">
        <f>IFERROR(IF(AND(COUNTIF(RegistroPago!$A$1:$A$2000,Consolidado!B111)&gt;0,INDEX(RegistroPago!$E$1:$E$2000,MATCH(Consolidado!B111,RegistroPago!$A$1:$A$2000,0))&lt;&gt;""),"PAGADA",IF(I111&lt;&gt;"","PENDIENTE","SIN EMITIR")),"")</f>
        <v/>
      </c>
      <c r="I111" s="10">
        <v>46125</v>
      </c>
      <c r="J111" s="2"/>
      <c r="K111" s="29" t="str">
        <f t="shared" si="2"/>
        <v/>
      </c>
      <c r="L111" s="29" t="str">
        <f t="shared" si="3"/>
        <v/>
      </c>
    </row>
    <row r="112" spans="1:12" ht="15.75" x14ac:dyDescent="0.25">
      <c r="A112" s="5"/>
      <c r="B112" s="7"/>
      <c r="C112" s="5"/>
      <c r="D112" s="5"/>
      <c r="E112" s="8"/>
      <c r="F112" s="9"/>
      <c r="G112" s="5"/>
      <c r="H112" s="28" t="str">
        <f>IFERROR(IF(AND(COUNTIF(RegistroPago!$A$1:$A$2000,Consolidado!B112)&gt;0,INDEX(RegistroPago!$E$1:$E$2000,MATCH(Consolidado!B112,RegistroPago!$A$1:$A$2000,0))&lt;&gt;""),"PAGADA",IF(I112&lt;&gt;"","PENDIENTE","SIN EMITIR")),"")</f>
        <v/>
      </c>
      <c r="I112" s="10">
        <v>46125</v>
      </c>
      <c r="J112" s="2"/>
      <c r="K112" s="29" t="str">
        <f t="shared" si="2"/>
        <v/>
      </c>
      <c r="L112" s="29" t="str">
        <f t="shared" si="3"/>
        <v/>
      </c>
    </row>
    <row r="113" spans="1:12" ht="15.75" x14ac:dyDescent="0.25">
      <c r="A113" s="5"/>
      <c r="B113" s="7"/>
      <c r="C113" s="5"/>
      <c r="D113" s="5"/>
      <c r="E113" s="8"/>
      <c r="F113" s="9"/>
      <c r="G113" s="5"/>
      <c r="H113" s="28" t="str">
        <f>IFERROR(IF(AND(COUNTIF(RegistroPago!$A$1:$A$2000,Consolidado!B113)&gt;0,INDEX(RegistroPago!$E$1:$E$2000,MATCH(Consolidado!B113,RegistroPago!$A$1:$A$2000,0))&lt;&gt;""),"PAGADA",IF(I113&lt;&gt;"","PENDIENTE","SIN EMITIR")),"")</f>
        <v/>
      </c>
      <c r="I113" s="10">
        <v>46125</v>
      </c>
      <c r="J113" s="2"/>
      <c r="K113" s="29" t="str">
        <f t="shared" si="2"/>
        <v/>
      </c>
      <c r="L113" s="29" t="str">
        <f t="shared" si="3"/>
        <v/>
      </c>
    </row>
    <row r="114" spans="1:12" ht="15.75" x14ac:dyDescent="0.25">
      <c r="A114" s="5"/>
      <c r="B114" s="7"/>
      <c r="C114" s="5"/>
      <c r="D114" s="5"/>
      <c r="E114" s="8"/>
      <c r="F114" s="9"/>
      <c r="G114" s="5"/>
      <c r="H114" s="28" t="str">
        <f>IFERROR(IF(AND(COUNTIF(RegistroPago!$A$1:$A$2000,Consolidado!B114)&gt;0,INDEX(RegistroPago!$E$1:$E$2000,MATCH(Consolidado!B114,RegistroPago!$A$1:$A$2000,0))&lt;&gt;""),"PAGADA",IF(I114&lt;&gt;"","PENDIENTE","SIN EMITIR")),"")</f>
        <v/>
      </c>
      <c r="I114" s="10">
        <v>46125</v>
      </c>
      <c r="J114" s="2"/>
      <c r="K114" s="29" t="str">
        <f t="shared" si="2"/>
        <v/>
      </c>
      <c r="L114" s="29" t="str">
        <f t="shared" si="3"/>
        <v/>
      </c>
    </row>
    <row r="115" spans="1:12" ht="15.75" x14ac:dyDescent="0.25">
      <c r="A115" s="5"/>
      <c r="B115" s="7"/>
      <c r="C115" s="5"/>
      <c r="D115" s="5"/>
      <c r="E115" s="8"/>
      <c r="F115" s="9"/>
      <c r="G115" s="5"/>
      <c r="H115" s="28" t="str">
        <f>IFERROR(IF(AND(COUNTIF(RegistroPago!$A$1:$A$2000,Consolidado!B115)&gt;0,INDEX(RegistroPago!$E$1:$E$2000,MATCH(Consolidado!B115,RegistroPago!$A$1:$A$2000,0))&lt;&gt;""),"PAGADA",IF(I115&lt;&gt;"","PENDIENTE","SIN EMITIR")),"")</f>
        <v/>
      </c>
      <c r="I115" s="10">
        <v>46125</v>
      </c>
      <c r="J115" s="2"/>
      <c r="K115" s="29" t="str">
        <f t="shared" si="2"/>
        <v/>
      </c>
      <c r="L115" s="29" t="str">
        <f t="shared" si="3"/>
        <v/>
      </c>
    </row>
    <row r="116" spans="1:12" ht="15.75" x14ac:dyDescent="0.25">
      <c r="A116" s="5"/>
      <c r="B116" s="7"/>
      <c r="C116" s="5"/>
      <c r="D116" s="5"/>
      <c r="E116" s="8"/>
      <c r="F116" s="9"/>
      <c r="G116" s="5"/>
      <c r="H116" s="28" t="str">
        <f>IFERROR(IF(AND(COUNTIF(RegistroPago!$A$1:$A$2000,Consolidado!B116)&gt;0,INDEX(RegistroPago!$E$1:$E$2000,MATCH(Consolidado!B116,RegistroPago!$A$1:$A$2000,0))&lt;&gt;""),"PAGADA",IF(I116&lt;&gt;"","PENDIENTE","SIN EMITIR")),"")</f>
        <v/>
      </c>
      <c r="I116" s="10"/>
      <c r="J116" s="2"/>
      <c r="K116" s="29"/>
      <c r="L116" s="29"/>
    </row>
    <row r="117" spans="1:12" ht="15.75" x14ac:dyDescent="0.25">
      <c r="A117" s="5"/>
      <c r="B117" s="7"/>
      <c r="C117" s="5"/>
      <c r="D117" s="5"/>
      <c r="E117" s="8"/>
      <c r="F117" s="9"/>
      <c r="G117" s="5"/>
      <c r="H117" s="28" t="str">
        <f>IFERROR(IF(AND(COUNTIF(RegistroPago!$A$1:$A$2000,Consolidado!B117)&gt;0,INDEX(RegistroPago!$E$1:$E$2000,MATCH(Consolidado!B117,RegistroPago!$A$1:$A$2000,0))&lt;&gt;""),"PAGADA",IF(I117&lt;&gt;"","PENDIENTE","SIN EMITIR")),"")</f>
        <v/>
      </c>
      <c r="I117" s="10"/>
      <c r="J117" s="2"/>
      <c r="K117" s="29"/>
      <c r="L117" s="29"/>
    </row>
    <row r="118" spans="1:12" ht="15.75" x14ac:dyDescent="0.25">
      <c r="A118" s="5"/>
      <c r="B118" s="7"/>
      <c r="C118" s="5"/>
      <c r="D118" s="5"/>
      <c r="E118" s="8"/>
      <c r="F118" s="9"/>
      <c r="G118" s="5"/>
      <c r="H118" s="28" t="str">
        <f>IFERROR(IF(AND(COUNTIF(RegistroPago!$A$1:$A$2000,Consolidado!B118)&gt;0,INDEX(RegistroPago!$E$1:$E$2000,MATCH(Consolidado!B118,RegistroPago!$A$1:$A$2000,0))&lt;&gt;""),"PAGADA",IF(I118&lt;&gt;"","PENDIENTE","SIN EMITIR")),"")</f>
        <v/>
      </c>
      <c r="I118" s="10"/>
      <c r="J118" s="2"/>
      <c r="K118" s="29"/>
      <c r="L118" s="29"/>
    </row>
    <row r="119" spans="1:12" ht="15.75" x14ac:dyDescent="0.25">
      <c r="A119" s="5"/>
      <c r="B119" s="7"/>
      <c r="C119" s="5"/>
      <c r="D119" s="5"/>
      <c r="E119" s="8"/>
      <c r="F119" s="9"/>
      <c r="G119" s="5"/>
      <c r="H119" s="28" t="str">
        <f>IFERROR(IF(AND(COUNTIF(RegistroPago!$A$1:$A$2000,Consolidado!B119)&gt;0,INDEX(RegistroPago!$E$1:$E$2000,MATCH(Consolidado!B119,RegistroPago!$A$1:$A$2000,0))&lt;&gt;""),"PAGADA",IF(I119&lt;&gt;"","PENDIENTE","SIN EMITIR")),"")</f>
        <v/>
      </c>
      <c r="I119" s="10"/>
      <c r="J119" s="2"/>
      <c r="K119" s="29"/>
      <c r="L119" s="29"/>
    </row>
    <row r="120" spans="1:12" ht="15.75" x14ac:dyDescent="0.25">
      <c r="A120" s="5"/>
      <c r="B120" s="7"/>
      <c r="C120" s="5"/>
      <c r="D120" s="5"/>
      <c r="E120" s="8"/>
      <c r="F120" s="9"/>
      <c r="G120" s="5"/>
      <c r="H120" s="28" t="str">
        <f>IFERROR(IF(AND(COUNTIF(RegistroPago!$A$1:$A$2000,Consolidado!B120)&gt;0,INDEX(RegistroPago!$E$1:$E$2000,MATCH(Consolidado!B120,RegistroPago!$A$1:$A$2000,0))&lt;&gt;""),"PAGADA",IF(I120&lt;&gt;"","PENDIENTE","SIN EMITIR")),"")</f>
        <v/>
      </c>
      <c r="I120" s="10"/>
      <c r="J120" s="2"/>
      <c r="K120" s="29"/>
      <c r="L120" s="29"/>
    </row>
    <row r="121" spans="1:12" ht="15.75" x14ac:dyDescent="0.25">
      <c r="A121" s="5"/>
      <c r="B121" s="7"/>
      <c r="C121" s="5"/>
      <c r="D121" s="5"/>
      <c r="E121" s="8"/>
      <c r="F121" s="9"/>
      <c r="G121" s="5"/>
      <c r="H121" s="28" t="str">
        <f>IFERROR(IF(AND(COUNTIF(RegistroPago!$A$1:$A$2000,Consolidado!B121)&gt;0,INDEX(RegistroPago!$E$1:$E$2000,MATCH(Consolidado!B121,RegistroPago!$A$1:$A$2000,0))&lt;&gt;""),"PAGADA",IF(I121&lt;&gt;"","PENDIENTE","SIN EMITIR")),"")</f>
        <v/>
      </c>
      <c r="I121" s="10"/>
      <c r="J121" s="2"/>
      <c r="K121" s="29"/>
      <c r="L121" s="29"/>
    </row>
    <row r="122" spans="1:12" ht="15.75" x14ac:dyDescent="0.25">
      <c r="A122" s="5"/>
      <c r="B122" s="7"/>
      <c r="C122" s="5"/>
      <c r="D122" s="5"/>
      <c r="E122" s="8"/>
      <c r="F122" s="9"/>
      <c r="G122" s="5"/>
      <c r="H122" s="28" t="str">
        <f>IFERROR(IF(AND(COUNTIF(RegistroPago!$A$1:$A$2000,Consolidado!B122)&gt;0,INDEX(RegistroPago!$E$1:$E$2000,MATCH(Consolidado!B122,RegistroPago!$A$1:$A$2000,0))&lt;&gt;""),"PAGADA",IF(I122&lt;&gt;"","PENDIENTE","SIN EMITIR")),"")</f>
        <v/>
      </c>
      <c r="I122" s="10"/>
      <c r="J122" s="2"/>
      <c r="K122" s="29"/>
      <c r="L122" s="29"/>
    </row>
    <row r="123" spans="1:12" ht="15.75" x14ac:dyDescent="0.25">
      <c r="A123" s="5"/>
      <c r="B123" s="7"/>
      <c r="C123" s="5"/>
      <c r="D123" s="5"/>
      <c r="E123" s="8"/>
      <c r="F123" s="9"/>
      <c r="G123" s="5"/>
      <c r="H123" s="28" t="str">
        <f>IFERROR(IF(AND(COUNTIF(RegistroPago!$A$1:$A$2000,Consolidado!B123)&gt;0,INDEX(RegistroPago!$E$1:$E$2000,MATCH(Consolidado!B123,RegistroPago!$A$1:$A$2000,0))&lt;&gt;""),"PAGADA",IF(I123&lt;&gt;"","PENDIENTE","SIN EMITIR")),"")</f>
        <v/>
      </c>
      <c r="I123" s="10"/>
      <c r="J123" s="2"/>
      <c r="K123" s="29"/>
      <c r="L123" s="29"/>
    </row>
    <row r="124" spans="1:12" ht="15.75" x14ac:dyDescent="0.25">
      <c r="A124" s="5"/>
      <c r="B124" s="7"/>
      <c r="C124" s="5"/>
      <c r="D124" s="5"/>
      <c r="E124" s="8"/>
      <c r="F124" s="9"/>
      <c r="G124" s="5"/>
      <c r="H124" s="28" t="str">
        <f>IFERROR(IF(AND(COUNTIF(RegistroPago!$A$1:$A$2000,Consolidado!B124)&gt;0,INDEX(RegistroPago!$E$1:$E$2000,MATCH(Consolidado!B124,RegistroPago!$A$1:$A$2000,0))&lt;&gt;""),"PAGADA",IF(I124&lt;&gt;"","PENDIENTE","SIN EMITIR")),"")</f>
        <v/>
      </c>
      <c r="I124" s="10"/>
      <c r="J124" s="2"/>
      <c r="K124" s="29"/>
      <c r="L124" s="29"/>
    </row>
    <row r="125" spans="1:12" ht="15.75" x14ac:dyDescent="0.25">
      <c r="A125" s="5"/>
      <c r="B125" s="7"/>
      <c r="C125" s="5"/>
      <c r="D125" s="5"/>
      <c r="E125" s="8"/>
      <c r="F125" s="9"/>
      <c r="G125" s="5"/>
      <c r="H125" s="28" t="str">
        <f>IFERROR(IF(AND(COUNTIF(RegistroPago!$A$1:$A$2000,Consolidado!B125)&gt;0,INDEX(RegistroPago!$E$1:$E$2000,MATCH(Consolidado!B125,RegistroPago!$A$1:$A$2000,0))&lt;&gt;""),"PAGADA",IF(I125&lt;&gt;"","PENDIENTE","SIN EMITIR")),"")</f>
        <v/>
      </c>
      <c r="I125" s="10"/>
      <c r="J125" s="2"/>
      <c r="K125" s="29"/>
      <c r="L125" s="29"/>
    </row>
    <row r="126" spans="1:12" ht="15.75" x14ac:dyDescent="0.25">
      <c r="A126" s="5"/>
      <c r="B126" s="7"/>
      <c r="C126" s="5"/>
      <c r="D126" s="5"/>
      <c r="E126" s="8"/>
      <c r="F126" s="9"/>
      <c r="G126" s="5"/>
      <c r="H126" s="28" t="str">
        <f>IFERROR(IF(AND(COUNTIF(RegistroPago!$A$1:$A$2000,Consolidado!B126)&gt;0,INDEX(RegistroPago!$E$1:$E$2000,MATCH(Consolidado!B126,RegistroPago!$A$1:$A$2000,0))&lt;&gt;""),"PAGADA",IF(I126&lt;&gt;"","PENDIENTE","SIN EMITIR")),"")</f>
        <v/>
      </c>
      <c r="I126" s="10"/>
      <c r="J126" s="2"/>
      <c r="K126" s="29"/>
      <c r="L126" s="29"/>
    </row>
    <row r="127" spans="1:12" ht="15.75" x14ac:dyDescent="0.25">
      <c r="A127" s="5"/>
      <c r="B127" s="7"/>
      <c r="C127" s="5"/>
      <c r="D127" s="5"/>
      <c r="E127" s="8"/>
      <c r="F127" s="9"/>
      <c r="G127" s="5"/>
      <c r="H127" s="28" t="str">
        <f>IFERROR(IF(AND(COUNTIF(RegistroPago!$A$1:$A$2000,Consolidado!B127)&gt;0,INDEX(RegistroPago!$E$1:$E$2000,MATCH(Consolidado!B127,RegistroPago!$A$1:$A$2000,0))&lt;&gt;""),"PAGADA",IF(I127&lt;&gt;"","PENDIENTE","SIN EMITIR")),"")</f>
        <v/>
      </c>
      <c r="I127" s="10"/>
      <c r="J127" s="2"/>
      <c r="K127" s="29"/>
      <c r="L127" s="29"/>
    </row>
    <row r="128" spans="1:12" ht="15.75" x14ac:dyDescent="0.25">
      <c r="A128" s="5"/>
      <c r="B128" s="7"/>
      <c r="C128" s="5"/>
      <c r="D128" s="5"/>
      <c r="E128" s="8"/>
      <c r="F128" s="9"/>
      <c r="G128" s="5"/>
      <c r="H128" s="28" t="str">
        <f>IFERROR(IF(AND(COUNTIF(RegistroPago!$A$1:$A$2000,Consolidado!B128)&gt;0,INDEX(RegistroPago!$E$1:$E$2000,MATCH(Consolidado!B128,RegistroPago!$A$1:$A$2000,0))&lt;&gt;""),"PAGADA",IF(I128&lt;&gt;"","PENDIENTE","SIN EMITIR")),"")</f>
        <v/>
      </c>
      <c r="I128" s="10"/>
      <c r="J128" s="2"/>
      <c r="K128" s="29"/>
      <c r="L128" s="29"/>
    </row>
    <row r="129" spans="1:12" ht="15.75" x14ac:dyDescent="0.25">
      <c r="A129" s="5"/>
      <c r="B129" s="7"/>
      <c r="C129" s="5"/>
      <c r="D129" s="5"/>
      <c r="E129" s="8"/>
      <c r="F129" s="9"/>
      <c r="G129" s="5"/>
      <c r="H129" s="28" t="str">
        <f>IFERROR(IF(AND(COUNTIF(RegistroPago!$A$1:$A$2000,Consolidado!B129)&gt;0,INDEX(RegistroPago!$E$1:$E$2000,MATCH(Consolidado!B129,RegistroPago!$A$1:$A$2000,0))&lt;&gt;""),"PAGADA",IF(I129&lt;&gt;"","PENDIENTE","SIN EMITIR")),"")</f>
        <v/>
      </c>
      <c r="I129" s="10"/>
      <c r="J129" s="2"/>
      <c r="K129" s="29"/>
      <c r="L129" s="29"/>
    </row>
    <row r="130" spans="1:12" ht="15.75" x14ac:dyDescent="0.25">
      <c r="A130" s="5"/>
      <c r="B130" s="7"/>
      <c r="C130" s="5"/>
      <c r="D130" s="5"/>
      <c r="E130" s="8"/>
      <c r="F130" s="9"/>
      <c r="G130" s="5"/>
      <c r="H130" s="28" t="str">
        <f>IFERROR(IF(AND(COUNTIF(RegistroPago!$A$1:$A$2000,Consolidado!B130)&gt;0,INDEX(RegistroPago!$E$1:$E$2000,MATCH(Consolidado!B130,RegistroPago!$A$1:$A$2000,0))&lt;&gt;""),"PAGADA",IF(I130&lt;&gt;"","PENDIENTE","SIN EMITIR")),"")</f>
        <v/>
      </c>
      <c r="I130" s="10"/>
      <c r="J130" s="2"/>
      <c r="K130" s="29"/>
      <c r="L130" s="29"/>
    </row>
    <row r="131" spans="1:12" ht="15.75" x14ac:dyDescent="0.25">
      <c r="A131" s="5"/>
      <c r="B131" s="7"/>
      <c r="C131" s="5"/>
      <c r="D131" s="5"/>
      <c r="E131" s="8"/>
      <c r="F131" s="9"/>
      <c r="G131" s="5"/>
      <c r="H131" s="28" t="str">
        <f>IFERROR(IF(AND(COUNTIF(RegistroPago!$A$1:$A$2000,Consolidado!B131)&gt;0,INDEX(RegistroPago!$E$1:$E$2000,MATCH(Consolidado!B131,RegistroPago!$A$1:$A$2000,0))&lt;&gt;""),"PAGADA",IF(I131&lt;&gt;"","PENDIENTE","SIN EMITIR")),"")</f>
        <v/>
      </c>
      <c r="I131" s="10"/>
      <c r="J131" s="2"/>
      <c r="K131" s="29"/>
      <c r="L131" s="29"/>
    </row>
    <row r="132" spans="1:12" ht="15.75" x14ac:dyDescent="0.25">
      <c r="A132" s="5"/>
      <c r="B132" s="7"/>
      <c r="C132" s="5"/>
      <c r="D132" s="5"/>
      <c r="E132" s="8"/>
      <c r="F132" s="9"/>
      <c r="G132" s="5"/>
      <c r="H132" s="28" t="str">
        <f>IFERROR(IF(AND(COUNTIF(RegistroPago!$A$1:$A$2000,Consolidado!B132)&gt;0,INDEX(RegistroPago!$E$1:$E$2000,MATCH(Consolidado!B132,RegistroPago!$A$1:$A$2000,0))&lt;&gt;""),"PAGADA",IF(I132&lt;&gt;"","PENDIENTE","SIN EMITIR")),"")</f>
        <v/>
      </c>
      <c r="I132" s="10"/>
      <c r="J132" s="2"/>
      <c r="K132" s="29"/>
      <c r="L132" s="29"/>
    </row>
    <row r="133" spans="1:12" ht="15.75" x14ac:dyDescent="0.25">
      <c r="A133" s="5"/>
      <c r="B133" s="7"/>
      <c r="C133" s="5"/>
      <c r="D133" s="5"/>
      <c r="E133" s="8"/>
      <c r="F133" s="9"/>
      <c r="G133" s="5"/>
      <c r="H133" s="28" t="str">
        <f>IFERROR(IF(AND(COUNTIF(RegistroPago!$A$1:$A$2000,Consolidado!B133)&gt;0,INDEX(RegistroPago!$E$1:$E$2000,MATCH(Consolidado!B133,RegistroPago!$A$1:$A$2000,0))&lt;&gt;""),"PAGADA",IF(I133&lt;&gt;"","PENDIENTE","SIN EMITIR")),"")</f>
        <v/>
      </c>
      <c r="I133" s="10"/>
      <c r="J133" s="2"/>
      <c r="K133" s="29"/>
      <c r="L133" s="29"/>
    </row>
    <row r="134" spans="1:12" ht="15.75" x14ac:dyDescent="0.25">
      <c r="A134" s="5"/>
      <c r="B134" s="7"/>
      <c r="C134" s="5"/>
      <c r="D134" s="5"/>
      <c r="E134" s="8"/>
      <c r="F134" s="9"/>
      <c r="G134" s="5"/>
      <c r="H134" s="28" t="str">
        <f>IFERROR(IF(AND(COUNTIF(RegistroPago!$A$1:$A$2000,Consolidado!B134)&gt;0,INDEX(RegistroPago!$E$1:$E$2000,MATCH(Consolidado!B134,RegistroPago!$A$1:$A$2000,0))&lt;&gt;""),"PAGADA",IF(I134&lt;&gt;"","PENDIENTE","SIN EMITIR")),"")</f>
        <v/>
      </c>
      <c r="I134" s="10"/>
      <c r="J134" s="2"/>
      <c r="K134" s="29"/>
      <c r="L134" s="29"/>
    </row>
    <row r="135" spans="1:12" ht="15.75" x14ac:dyDescent="0.25">
      <c r="A135" s="5"/>
      <c r="B135" s="7"/>
      <c r="C135" s="5"/>
      <c r="D135" s="5"/>
      <c r="E135" s="8"/>
      <c r="F135" s="9"/>
      <c r="G135" s="5"/>
      <c r="H135" s="28" t="str">
        <f>IFERROR(IF(AND(COUNTIF(RegistroPago!$A$1:$A$2000,Consolidado!B135)&gt;0,INDEX(RegistroPago!$E$1:$E$2000,MATCH(Consolidado!B135,RegistroPago!$A$1:$A$2000,0))&lt;&gt;""),"PAGADA",IF(I135&lt;&gt;"","PENDIENTE","SIN EMITIR")),"")</f>
        <v/>
      </c>
      <c r="I135" s="10"/>
      <c r="J135" s="2"/>
      <c r="K135" s="29"/>
      <c r="L135" s="29"/>
    </row>
    <row r="136" spans="1:12" ht="15.75" x14ac:dyDescent="0.25">
      <c r="A136" s="5"/>
      <c r="B136" s="7"/>
      <c r="C136" s="5"/>
      <c r="D136" s="5"/>
      <c r="E136" s="8"/>
      <c r="F136" s="9"/>
      <c r="G136" s="5"/>
      <c r="H136" s="28" t="str">
        <f>IFERROR(IF(AND(COUNTIF(RegistroPago!$A$1:$A$2000,Consolidado!B136)&gt;0,INDEX(RegistroPago!$E$1:$E$2000,MATCH(Consolidado!B136,RegistroPago!$A$1:$A$2000,0))&lt;&gt;""),"PAGADA",IF(I136&lt;&gt;"","PENDIENTE","SIN EMITIR")),"")</f>
        <v/>
      </c>
      <c r="I136" s="10"/>
      <c r="J136" s="2"/>
      <c r="K136" s="29"/>
      <c r="L136" s="29"/>
    </row>
    <row r="137" spans="1:12" ht="15.75" x14ac:dyDescent="0.25">
      <c r="A137" s="5"/>
      <c r="B137" s="7"/>
      <c r="C137" s="5"/>
      <c r="D137" s="5"/>
      <c r="E137" s="8"/>
      <c r="F137" s="9"/>
      <c r="G137" s="5"/>
      <c r="H137" s="28" t="str">
        <f>IFERROR(IF(AND(COUNTIF(RegistroPago!$A$1:$A$2000,Consolidado!B137)&gt;0,INDEX(RegistroPago!$E$1:$E$2000,MATCH(Consolidado!B137,RegistroPago!$A$1:$A$2000,0))&lt;&gt;""),"PAGADA",IF(I137&lt;&gt;"","PENDIENTE","SIN EMITIR")),"")</f>
        <v/>
      </c>
      <c r="I137" s="10"/>
      <c r="J137" s="2"/>
      <c r="K137" s="29"/>
      <c r="L137" s="29"/>
    </row>
    <row r="138" spans="1:12" ht="15.75" x14ac:dyDescent="0.25">
      <c r="A138" s="5"/>
      <c r="B138" s="7"/>
      <c r="C138" s="5"/>
      <c r="D138" s="5"/>
      <c r="E138" s="8"/>
      <c r="F138" s="9"/>
      <c r="G138" s="5"/>
      <c r="H138" s="28" t="str">
        <f>IFERROR(IF(AND(COUNTIF(RegistroPago!$A$1:$A$2000,Consolidado!B138)&gt;0,INDEX(RegistroPago!$E$1:$E$2000,MATCH(Consolidado!B138,RegistroPago!$A$1:$A$2000,0))&lt;&gt;""),"PAGADA",IF(I138&lt;&gt;"","PENDIENTE","SIN EMITIR")),"")</f>
        <v/>
      </c>
      <c r="I138" s="10"/>
      <c r="J138" s="2"/>
      <c r="K138" s="29"/>
      <c r="L138" s="29"/>
    </row>
    <row r="139" spans="1:12" ht="15.75" x14ac:dyDescent="0.25">
      <c r="A139" s="5"/>
      <c r="B139" s="7"/>
      <c r="C139" s="5"/>
      <c r="D139" s="5"/>
      <c r="E139" s="8"/>
      <c r="F139" s="9"/>
      <c r="G139" s="5"/>
      <c r="H139" s="28" t="str">
        <f>IFERROR(IF(AND(COUNTIF(RegistroPago!$A$1:$A$2000,Consolidado!B139)&gt;0,INDEX(RegistroPago!$E$1:$E$2000,MATCH(Consolidado!B139,RegistroPago!$A$1:$A$2000,0))&lt;&gt;""),"PAGADA",IF(I139&lt;&gt;"","PENDIENTE","SIN EMITIR")),"")</f>
        <v/>
      </c>
      <c r="I139" s="10"/>
      <c r="J139" s="2"/>
      <c r="K139" s="29"/>
      <c r="L139" s="29"/>
    </row>
    <row r="140" spans="1:12" ht="15.75" x14ac:dyDescent="0.25">
      <c r="A140" s="5"/>
      <c r="B140" s="7"/>
      <c r="C140" s="5"/>
      <c r="D140" s="5"/>
      <c r="E140" s="8"/>
      <c r="F140" s="9"/>
      <c r="G140" s="5"/>
      <c r="H140" s="28" t="str">
        <f>IFERROR(IF(AND(COUNTIF(RegistroPago!$A$1:$A$2000,Consolidado!B140)&gt;0,INDEX(RegistroPago!$E$1:$E$2000,MATCH(Consolidado!B140,RegistroPago!$A$1:$A$2000,0))&lt;&gt;""),"PAGADA",IF(I140&lt;&gt;"","PENDIENTE","SIN EMITIR")),"")</f>
        <v/>
      </c>
      <c r="I140" s="10"/>
      <c r="J140" s="2"/>
      <c r="K140" s="29"/>
      <c r="L140" s="29"/>
    </row>
    <row r="141" spans="1:12" ht="15.75" x14ac:dyDescent="0.25">
      <c r="A141" s="5"/>
      <c r="B141" s="7"/>
      <c r="C141" s="5"/>
      <c r="D141" s="5"/>
      <c r="E141" s="8"/>
      <c r="F141" s="9"/>
      <c r="G141" s="5"/>
      <c r="H141" s="28" t="str">
        <f>IFERROR(IF(AND(COUNTIF(RegistroPago!$A$1:$A$2000,Consolidado!B141)&gt;0,INDEX(RegistroPago!$E$1:$E$2000,MATCH(Consolidado!B141,RegistroPago!$A$1:$A$2000,0))&lt;&gt;""),"PAGADA",IF(I141&lt;&gt;"","PENDIENTE","SIN EMITIR")),"")</f>
        <v/>
      </c>
      <c r="I141" s="10"/>
      <c r="J141" s="2"/>
      <c r="K141" s="29"/>
      <c r="L141" s="29"/>
    </row>
    <row r="142" spans="1:12" ht="15.75" x14ac:dyDescent="0.25">
      <c r="A142" s="5"/>
      <c r="B142" s="7"/>
      <c r="C142" s="5"/>
      <c r="D142" s="5"/>
      <c r="E142" s="8"/>
      <c r="F142" s="9"/>
      <c r="G142" s="5"/>
      <c r="H142" s="28" t="str">
        <f>IFERROR(IF(AND(COUNTIF(RegistroPago!$A$1:$A$2000,Consolidado!B142)&gt;0,INDEX(RegistroPago!$E$1:$E$2000,MATCH(Consolidado!B142,RegistroPago!$A$1:$A$2000,0))&lt;&gt;""),"PAGADA",IF(I142&lt;&gt;"","PENDIENTE","SIN EMITIR")),"")</f>
        <v/>
      </c>
      <c r="I142" s="10"/>
      <c r="J142" s="2"/>
      <c r="K142" s="29"/>
      <c r="L142" s="29"/>
    </row>
    <row r="143" spans="1:12" ht="15.75" x14ac:dyDescent="0.25">
      <c r="A143" s="5"/>
      <c r="B143" s="7"/>
      <c r="C143" s="5"/>
      <c r="D143" s="5"/>
      <c r="E143" s="8"/>
      <c r="F143" s="9"/>
      <c r="G143" s="5"/>
      <c r="H143" s="28" t="str">
        <f>IFERROR(IF(AND(COUNTIF(RegistroPago!$A$1:$A$2000,Consolidado!B143)&gt;0,INDEX(RegistroPago!$E$1:$E$2000,MATCH(Consolidado!B143,RegistroPago!$A$1:$A$2000,0))&lt;&gt;""),"PAGADA",IF(I143&lt;&gt;"","PENDIENTE","SIN EMITIR")),"")</f>
        <v/>
      </c>
      <c r="I143" s="10"/>
      <c r="J143" s="2"/>
      <c r="K143" s="29"/>
      <c r="L143" s="29"/>
    </row>
    <row r="144" spans="1:12" ht="15.75" x14ac:dyDescent="0.25">
      <c r="A144" s="5"/>
      <c r="B144" s="7"/>
      <c r="C144" s="5"/>
      <c r="D144" s="5"/>
      <c r="E144" s="8"/>
      <c r="F144" s="9"/>
      <c r="G144" s="5"/>
      <c r="H144" s="28" t="str">
        <f>IFERROR(IF(AND(COUNTIF(RegistroPago!$A$1:$A$2000,Consolidado!B144)&gt;0,INDEX(RegistroPago!$E$1:$E$2000,MATCH(Consolidado!B144,RegistroPago!$A$1:$A$2000,0))&lt;&gt;""),"PAGADA",IF(I144&lt;&gt;"","PENDIENTE","SIN EMITIR")),"")</f>
        <v/>
      </c>
      <c r="I144" s="10"/>
      <c r="J144" s="2"/>
      <c r="K144" s="29"/>
      <c r="L144" s="29"/>
    </row>
    <row r="145" spans="1:12" ht="15.75" x14ac:dyDescent="0.25">
      <c r="A145" s="5"/>
      <c r="B145" s="7"/>
      <c r="C145" s="5"/>
      <c r="D145" s="5"/>
      <c r="E145" s="8"/>
      <c r="F145" s="9"/>
      <c r="G145" s="5"/>
      <c r="H145" s="28" t="str">
        <f>IFERROR(IF(AND(COUNTIF(RegistroPago!$A$1:$A$2000,Consolidado!B145)&gt;0,INDEX(RegistroPago!$E$1:$E$2000,MATCH(Consolidado!B145,RegistroPago!$A$1:$A$2000,0))&lt;&gt;""),"PAGADA",IF(I145&lt;&gt;"","PENDIENTE","SIN EMITIR")),"")</f>
        <v/>
      </c>
      <c r="I145" s="10"/>
      <c r="J145" s="2"/>
      <c r="K145" s="29"/>
      <c r="L145" s="29"/>
    </row>
    <row r="146" spans="1:12" ht="15.75" x14ac:dyDescent="0.25">
      <c r="A146" s="5"/>
      <c r="B146" s="7"/>
      <c r="C146" s="5"/>
      <c r="D146" s="5"/>
      <c r="E146" s="8"/>
      <c r="F146" s="9"/>
      <c r="G146" s="5"/>
      <c r="H146" s="28" t="str">
        <f>IFERROR(IF(AND(COUNTIF(RegistroPago!$A$1:$A$2000,Consolidado!B146)&gt;0,INDEX(RegistroPago!$E$1:$E$2000,MATCH(Consolidado!B146,RegistroPago!$A$1:$A$2000,0))&lt;&gt;""),"PAGADA",IF(I146&lt;&gt;"","PENDIENTE","SIN EMITIR")),"")</f>
        <v/>
      </c>
      <c r="I146" s="10"/>
      <c r="J146" s="2"/>
      <c r="K146" s="29"/>
      <c r="L146" s="29"/>
    </row>
    <row r="147" spans="1:12" ht="15.75" x14ac:dyDescent="0.25">
      <c r="A147" s="5"/>
      <c r="B147" s="7"/>
      <c r="C147" s="5"/>
      <c r="D147" s="5"/>
      <c r="E147" s="8"/>
      <c r="F147" s="9"/>
      <c r="G147" s="5"/>
      <c r="H147" s="28" t="str">
        <f>IFERROR(IF(AND(COUNTIF(RegistroPago!$A$1:$A$2000,Consolidado!B147)&gt;0,INDEX(RegistroPago!$E$1:$E$2000,MATCH(Consolidado!B147,RegistroPago!$A$1:$A$2000,0))&lt;&gt;""),"PAGADA",IF(I147&lt;&gt;"","PENDIENTE","SIN EMITIR")),"")</f>
        <v/>
      </c>
      <c r="I147" s="10"/>
      <c r="J147" s="2"/>
      <c r="K147" s="29"/>
      <c r="L147" s="29"/>
    </row>
    <row r="148" spans="1:12" ht="15.75" x14ac:dyDescent="0.25">
      <c r="A148" s="5"/>
      <c r="B148" s="7"/>
      <c r="C148" s="5"/>
      <c r="D148" s="5"/>
      <c r="E148" s="8"/>
      <c r="F148" s="9"/>
      <c r="G148" s="5"/>
      <c r="H148" s="28" t="str">
        <f>IFERROR(IF(AND(COUNTIF(RegistroPago!$A$1:$A$2000,Consolidado!B148)&gt;0,INDEX(RegistroPago!$E$1:$E$2000,MATCH(Consolidado!B148,RegistroPago!$A$1:$A$2000,0))&lt;&gt;""),"PAGADA",IF(I148&lt;&gt;"","PENDIENTE","SIN EMITIR")),"")</f>
        <v/>
      </c>
      <c r="I148" s="10"/>
      <c r="J148" s="2"/>
      <c r="K148" s="29"/>
      <c r="L148" s="29"/>
    </row>
    <row r="149" spans="1:12" ht="15.75" x14ac:dyDescent="0.25">
      <c r="A149" s="5"/>
      <c r="B149" s="7"/>
      <c r="C149" s="5"/>
      <c r="D149" s="5"/>
      <c r="E149" s="8"/>
      <c r="F149" s="9"/>
      <c r="G149" s="5"/>
      <c r="H149" s="28" t="str">
        <f>IFERROR(IF(AND(COUNTIF(RegistroPago!$A$1:$A$2000,Consolidado!B149)&gt;0,INDEX(RegistroPago!$E$1:$E$2000,MATCH(Consolidado!B149,RegistroPago!$A$1:$A$2000,0))&lt;&gt;""),"PAGADA",IF(I149&lt;&gt;"","PENDIENTE","SIN EMITIR")),"")</f>
        <v/>
      </c>
      <c r="I149" s="10"/>
      <c r="J149" s="2"/>
      <c r="K149" s="29"/>
      <c r="L149" s="29"/>
    </row>
    <row r="150" spans="1:12" ht="15.75" x14ac:dyDescent="0.25">
      <c r="A150" s="5"/>
      <c r="B150" s="7"/>
      <c r="C150" s="5"/>
      <c r="D150" s="5"/>
      <c r="E150" s="8"/>
      <c r="F150" s="9"/>
      <c r="G150" s="5"/>
      <c r="H150" s="28" t="str">
        <f>IFERROR(IF(AND(COUNTIF(RegistroPago!$A$1:$A$2000,Consolidado!B150)&gt;0,INDEX(RegistroPago!$E$1:$E$2000,MATCH(Consolidado!B150,RegistroPago!$A$1:$A$2000,0))&lt;&gt;""),"PAGADA",IF(I150&lt;&gt;"","PENDIENTE","SIN EMITIR")),"")</f>
        <v/>
      </c>
      <c r="I150" s="10"/>
      <c r="J150" s="2"/>
      <c r="K150" s="29"/>
      <c r="L150" s="29"/>
    </row>
    <row r="151" spans="1:12" ht="15.75" x14ac:dyDescent="0.25">
      <c r="A151" s="5"/>
      <c r="B151" s="7"/>
      <c r="C151" s="5"/>
      <c r="D151" s="5"/>
      <c r="E151" s="8"/>
      <c r="F151" s="9"/>
      <c r="G151" s="5"/>
      <c r="H151" s="28" t="str">
        <f>IFERROR(IF(AND(COUNTIF(RegistroPago!$A$1:$A$2000,Consolidado!B151)&gt;0,INDEX(RegistroPago!$E$1:$E$2000,MATCH(Consolidado!B151,RegistroPago!$A$1:$A$2000,0))&lt;&gt;""),"PAGADA",IF(I151&lt;&gt;"","PENDIENTE","SIN EMITIR")),"")</f>
        <v/>
      </c>
      <c r="I151" s="10"/>
      <c r="J151" s="2"/>
      <c r="K151" s="29"/>
      <c r="L151" s="29"/>
    </row>
    <row r="152" spans="1:12" ht="15.75" x14ac:dyDescent="0.25">
      <c r="A152" s="5"/>
      <c r="B152" s="7"/>
      <c r="C152" s="5"/>
      <c r="D152" s="5"/>
      <c r="E152" s="8"/>
      <c r="F152" s="9"/>
      <c r="G152" s="5"/>
      <c r="H152" s="28" t="str">
        <f>IFERROR(IF(AND(COUNTIF(RegistroPago!$A$1:$A$2000,Consolidado!B152)&gt;0,INDEX(RegistroPago!$E$1:$E$2000,MATCH(Consolidado!B152,RegistroPago!$A$1:$A$2000,0))&lt;&gt;""),"PAGADA",IF(I152&lt;&gt;"","PENDIENTE","SIN EMITIR")),"")</f>
        <v/>
      </c>
      <c r="I152" s="10"/>
      <c r="J152" s="2"/>
      <c r="K152" s="29"/>
      <c r="L152" s="29"/>
    </row>
    <row r="153" spans="1:12" ht="15.75" x14ac:dyDescent="0.25">
      <c r="A153" s="5"/>
      <c r="B153" s="7"/>
      <c r="C153" s="5"/>
      <c r="D153" s="5"/>
      <c r="E153" s="8"/>
      <c r="F153" s="9"/>
      <c r="G153" s="5"/>
      <c r="H153" s="28" t="str">
        <f>IFERROR(IF(AND(COUNTIF(RegistroPago!$A$1:$A$2000,Consolidado!B153)&gt;0,INDEX(RegistroPago!$E$1:$E$2000,MATCH(Consolidado!B153,RegistroPago!$A$1:$A$2000,0))&lt;&gt;""),"PAGADA",IF(I153&lt;&gt;"","PENDIENTE","SIN EMITIR")),"")</f>
        <v/>
      </c>
      <c r="I153" s="10"/>
      <c r="J153" s="2"/>
      <c r="K153" s="29"/>
      <c r="L153" s="29"/>
    </row>
    <row r="154" spans="1:12" ht="15.75" x14ac:dyDescent="0.25">
      <c r="A154" s="5"/>
      <c r="B154" s="7"/>
      <c r="C154" s="5"/>
      <c r="D154" s="5"/>
      <c r="E154" s="8"/>
      <c r="F154" s="9"/>
      <c r="G154" s="5"/>
      <c r="H154" s="28" t="str">
        <f>IFERROR(IF(AND(COUNTIF(RegistroPago!$A$1:$A$2000,Consolidado!B154)&gt;0,INDEX(RegistroPago!$E$1:$E$2000,MATCH(Consolidado!B154,RegistroPago!$A$1:$A$2000,0))&lt;&gt;""),"PAGADA",IF(I154&lt;&gt;"","PENDIENTE","SIN EMITIR")),"")</f>
        <v/>
      </c>
      <c r="I154" s="10"/>
      <c r="J154" s="2"/>
      <c r="K154" s="29"/>
      <c r="L154" s="29"/>
    </row>
    <row r="155" spans="1:12" ht="15.75" x14ac:dyDescent="0.25">
      <c r="A155" s="5"/>
      <c r="B155" s="7"/>
      <c r="C155" s="5"/>
      <c r="D155" s="5"/>
      <c r="E155" s="8"/>
      <c r="F155" s="9"/>
      <c r="G155" s="5"/>
      <c r="H155" s="28" t="str">
        <f>IFERROR(IF(AND(COUNTIF(RegistroPago!$A$1:$A$2000,Consolidado!B155)&gt;0,INDEX(RegistroPago!$E$1:$E$2000,MATCH(Consolidado!B155,RegistroPago!$A$1:$A$2000,0))&lt;&gt;""),"PAGADA",IF(I155&lt;&gt;"","PENDIENTE","SIN EMITIR")),"")</f>
        <v/>
      </c>
      <c r="I155" s="10"/>
      <c r="J155" s="2"/>
      <c r="K155" s="29"/>
      <c r="L155" s="29"/>
    </row>
    <row r="156" spans="1:12" ht="15.75" x14ac:dyDescent="0.25">
      <c r="A156" s="5"/>
      <c r="B156" s="7"/>
      <c r="C156" s="5"/>
      <c r="D156" s="5"/>
      <c r="E156" s="8"/>
      <c r="F156" s="9"/>
      <c r="G156" s="5"/>
      <c r="H156" s="28" t="str">
        <f>IFERROR(IF(AND(COUNTIF(RegistroPago!$A$1:$A$2000,Consolidado!B156)&gt;0,INDEX(RegistroPago!$E$1:$E$2000,MATCH(Consolidado!B156,RegistroPago!$A$1:$A$2000,0))&lt;&gt;""),"PAGADA",IF(I156&lt;&gt;"","PENDIENTE","SIN EMITIR")),"")</f>
        <v/>
      </c>
      <c r="I156" s="10"/>
      <c r="J156" s="2"/>
      <c r="K156" s="29"/>
      <c r="L156" s="29"/>
    </row>
    <row r="157" spans="1:12" ht="15.75" x14ac:dyDescent="0.25">
      <c r="A157" s="5"/>
      <c r="B157" s="7"/>
      <c r="C157" s="5"/>
      <c r="D157" s="5"/>
      <c r="E157" s="8"/>
      <c r="F157" s="9"/>
      <c r="G157" s="5"/>
      <c r="H157" s="28" t="str">
        <f>IFERROR(IF(AND(COUNTIF(RegistroPago!$A$1:$A$2000,Consolidado!B157)&gt;0,INDEX(RegistroPago!$E$1:$E$2000,MATCH(Consolidado!B157,RegistroPago!$A$1:$A$2000,0))&lt;&gt;""),"PAGADA",IF(I157&lt;&gt;"","PENDIENTE","SIN EMITIR")),"")</f>
        <v/>
      </c>
      <c r="I157" s="10"/>
      <c r="J157" s="2"/>
      <c r="K157" s="29"/>
      <c r="L157" s="29"/>
    </row>
    <row r="158" spans="1:12" ht="15.75" x14ac:dyDescent="0.25">
      <c r="A158" s="5"/>
      <c r="B158" s="7"/>
      <c r="C158" s="5"/>
      <c r="D158" s="5"/>
      <c r="E158" s="8"/>
      <c r="F158" s="9"/>
      <c r="G158" s="5"/>
      <c r="H158" s="28" t="str">
        <f>IFERROR(IF(AND(COUNTIF(RegistroPago!$A$1:$A$2000,Consolidado!B158)&gt;0,INDEX(RegistroPago!$E$1:$E$2000,MATCH(Consolidado!B158,RegistroPago!$A$1:$A$2000,0))&lt;&gt;""),"PAGADA",IF(I158&lt;&gt;"","PENDIENTE","SIN EMITIR")),"")</f>
        <v/>
      </c>
      <c r="I158" s="10"/>
      <c r="J158" s="2"/>
      <c r="K158" s="29"/>
      <c r="L158" s="29"/>
    </row>
    <row r="159" spans="1:12" ht="15.75" x14ac:dyDescent="0.25">
      <c r="A159" s="5"/>
      <c r="B159" s="7"/>
      <c r="C159" s="5"/>
      <c r="D159" s="5"/>
      <c r="E159" s="8"/>
      <c r="F159" s="9"/>
      <c r="G159" s="5"/>
      <c r="H159" s="28" t="str">
        <f>IFERROR(IF(AND(COUNTIF(RegistroPago!$A$1:$A$2000,Consolidado!B159)&gt;0,INDEX(RegistroPago!$E$1:$E$2000,MATCH(Consolidado!B159,RegistroPago!$A$1:$A$2000,0))&lt;&gt;""),"PAGADA",IF(I159&lt;&gt;"","PENDIENTE","SIN EMITIR")),"")</f>
        <v/>
      </c>
      <c r="I159" s="10"/>
      <c r="J159" s="2"/>
      <c r="K159" s="29"/>
      <c r="L159" s="29"/>
    </row>
    <row r="160" spans="1:12" ht="15.75" x14ac:dyDescent="0.25">
      <c r="A160" s="5"/>
      <c r="B160" s="7"/>
      <c r="C160" s="5"/>
      <c r="D160" s="5"/>
      <c r="E160" s="8"/>
      <c r="F160" s="9"/>
      <c r="G160" s="5"/>
      <c r="H160" s="28" t="str">
        <f>IFERROR(IF(AND(COUNTIF(RegistroPago!$A$1:$A$2000,Consolidado!B160)&gt;0,INDEX(RegistroPago!$E$1:$E$2000,MATCH(Consolidado!B160,RegistroPago!$A$1:$A$2000,0))&lt;&gt;""),"PAGADA",IF(I160&lt;&gt;"","PENDIENTE","SIN EMITIR")),"")</f>
        <v/>
      </c>
      <c r="I160" s="10"/>
      <c r="J160" s="2"/>
      <c r="K160" s="29"/>
      <c r="L160" s="29"/>
    </row>
    <row r="161" spans="1:12" ht="15.75" x14ac:dyDescent="0.25">
      <c r="A161" s="5"/>
      <c r="B161" s="7"/>
      <c r="C161" s="5"/>
      <c r="D161" s="5"/>
      <c r="E161" s="8"/>
      <c r="F161" s="9"/>
      <c r="G161" s="5"/>
      <c r="H161" s="28" t="str">
        <f>IFERROR(IF(AND(COUNTIF(RegistroPago!$A$1:$A$2000,Consolidado!B161)&gt;0,INDEX(RegistroPago!$E$1:$E$2000,MATCH(Consolidado!B161,RegistroPago!$A$1:$A$2000,0))&lt;&gt;""),"PAGADA",IF(I161&lt;&gt;"","PENDIENTE","SIN EMITIR")),"")</f>
        <v/>
      </c>
      <c r="I161" s="10"/>
      <c r="J161" s="2"/>
      <c r="K161" s="29"/>
      <c r="L161" s="29"/>
    </row>
    <row r="162" spans="1:12" ht="15.75" x14ac:dyDescent="0.25">
      <c r="A162" s="5"/>
      <c r="B162" s="7"/>
      <c r="C162" s="5"/>
      <c r="D162" s="5"/>
      <c r="E162" s="8"/>
      <c r="F162" s="9"/>
      <c r="G162" s="5"/>
      <c r="H162" s="28" t="str">
        <f>IFERROR(IF(AND(COUNTIF(RegistroPago!$A$1:$A$2000,Consolidado!B162)&gt;0,INDEX(RegistroPago!$E$1:$E$2000,MATCH(Consolidado!B162,RegistroPago!$A$1:$A$2000,0))&lt;&gt;""),"PAGADA",IF(I162&lt;&gt;"","PENDIENTE","SIN EMITIR")),"")</f>
        <v/>
      </c>
      <c r="I162" s="10"/>
      <c r="J162" s="2"/>
      <c r="K162" s="29"/>
      <c r="L162" s="29"/>
    </row>
    <row r="163" spans="1:12" ht="15.75" x14ac:dyDescent="0.25">
      <c r="A163" s="5"/>
      <c r="B163" s="7"/>
      <c r="C163" s="5"/>
      <c r="D163" s="5"/>
      <c r="E163" s="8"/>
      <c r="F163" s="9"/>
      <c r="G163" s="5"/>
      <c r="H163" s="28" t="str">
        <f>IFERROR(IF(AND(COUNTIF(RegistroPago!$A$1:$A$2000,Consolidado!B163)&gt;0,INDEX(RegistroPago!$E$1:$E$2000,MATCH(Consolidado!B163,RegistroPago!$A$1:$A$2000,0))&lt;&gt;""),"PAGADA",IF(I163&lt;&gt;"","PENDIENTE","SIN EMITIR")),"")</f>
        <v/>
      </c>
      <c r="I163" s="10"/>
      <c r="J163" s="2"/>
      <c r="K163" s="29"/>
      <c r="L163" s="29"/>
    </row>
    <row r="164" spans="1:12" ht="15.75" x14ac:dyDescent="0.25">
      <c r="A164" s="5"/>
      <c r="B164" s="7"/>
      <c r="C164" s="5"/>
      <c r="D164" s="5"/>
      <c r="E164" s="8"/>
      <c r="F164" s="9"/>
      <c r="G164" s="5"/>
      <c r="H164" s="28" t="str">
        <f>IFERROR(IF(AND(COUNTIF(RegistroPago!$A$1:$A$2000,Consolidado!B164)&gt;0,INDEX(RegistroPago!$E$1:$E$2000,MATCH(Consolidado!B164,RegistroPago!$A$1:$A$2000,0))&lt;&gt;""),"PAGADA",IF(I164&lt;&gt;"","PENDIENTE","SIN EMITIR")),"")</f>
        <v/>
      </c>
      <c r="I164" s="10"/>
      <c r="J164" s="2"/>
      <c r="K164" s="29"/>
      <c r="L164" s="29"/>
    </row>
    <row r="165" spans="1:12" ht="15.75" x14ac:dyDescent="0.25">
      <c r="A165" s="5"/>
      <c r="B165" s="7"/>
      <c r="C165" s="5"/>
      <c r="D165" s="5"/>
      <c r="E165" s="8"/>
      <c r="F165" s="9"/>
      <c r="G165" s="5"/>
      <c r="H165" s="28" t="str">
        <f>IFERROR(IF(AND(COUNTIF(RegistroPago!$A$1:$A$2000,Consolidado!B165)&gt;0,INDEX(RegistroPago!$E$1:$E$2000,MATCH(Consolidado!B165,RegistroPago!$A$1:$A$2000,0))&lt;&gt;""),"PAGADA",IF(I165&lt;&gt;"","PENDIENTE","SIN EMITIR")),"")</f>
        <v/>
      </c>
      <c r="I165" s="10"/>
      <c r="J165" s="2"/>
      <c r="K165" s="29"/>
      <c r="L165" s="29"/>
    </row>
    <row r="166" spans="1:12" ht="15.75" x14ac:dyDescent="0.25">
      <c r="A166" s="5"/>
      <c r="B166" s="7"/>
      <c r="C166" s="5"/>
      <c r="D166" s="5"/>
      <c r="E166" s="8"/>
      <c r="F166" s="9"/>
      <c r="G166" s="5"/>
      <c r="H166" s="28" t="str">
        <f>IFERROR(IF(AND(COUNTIF(RegistroPago!$A$1:$A$2000,Consolidado!B166)&gt;0,INDEX(RegistroPago!$E$1:$E$2000,MATCH(Consolidado!B166,RegistroPago!$A$1:$A$2000,0))&lt;&gt;""),"PAGADA",IF(I166&lt;&gt;"","PENDIENTE","SIN EMITIR")),"")</f>
        <v/>
      </c>
      <c r="I166" s="10"/>
      <c r="J166" s="2"/>
      <c r="K166" s="29"/>
      <c r="L166" s="29"/>
    </row>
    <row r="167" spans="1:12" ht="15.75" x14ac:dyDescent="0.25">
      <c r="A167" s="5"/>
      <c r="B167" s="7"/>
      <c r="C167" s="5"/>
      <c r="D167" s="5"/>
      <c r="E167" s="8"/>
      <c r="F167" s="9"/>
      <c r="G167" s="5"/>
      <c r="H167" s="28" t="str">
        <f>IFERROR(IF(AND(COUNTIF(RegistroPago!$A$1:$A$2000,Consolidado!B167)&gt;0,INDEX(RegistroPago!$E$1:$E$2000,MATCH(Consolidado!B167,RegistroPago!$A$1:$A$2000,0))&lt;&gt;""),"PAGADA",IF(I167&lt;&gt;"","PENDIENTE","SIN EMITIR")),"")</f>
        <v/>
      </c>
      <c r="I167" s="10"/>
      <c r="J167" s="2"/>
      <c r="K167" s="29"/>
      <c r="L167" s="29"/>
    </row>
    <row r="168" spans="1:12" ht="15.75" x14ac:dyDescent="0.25">
      <c r="A168" s="5"/>
      <c r="B168" s="7"/>
      <c r="C168" s="5"/>
      <c r="D168" s="5"/>
      <c r="E168" s="8"/>
      <c r="F168" s="9"/>
      <c r="G168" s="5"/>
      <c r="H168" s="28" t="str">
        <f>IFERROR(IF(AND(COUNTIF(RegistroPago!$A$1:$A$2000,Consolidado!B168)&gt;0,INDEX(RegistroPago!$E$1:$E$2000,MATCH(Consolidado!B168,RegistroPago!$A$1:$A$2000,0))&lt;&gt;""),"PAGADA",IF(I168&lt;&gt;"","PENDIENTE","SIN EMITIR")),"")</f>
        <v/>
      </c>
      <c r="I168" s="10"/>
      <c r="J168" s="2"/>
      <c r="K168" s="29"/>
      <c r="L168" s="29"/>
    </row>
    <row r="169" spans="1:12" ht="15.75" x14ac:dyDescent="0.25">
      <c r="A169" s="5"/>
      <c r="B169" s="7"/>
      <c r="C169" s="5"/>
      <c r="D169" s="5"/>
      <c r="E169" s="8"/>
      <c r="F169" s="9"/>
      <c r="G169" s="5"/>
      <c r="H169" s="28" t="str">
        <f>IFERROR(IF(AND(COUNTIF(RegistroPago!$A$1:$A$2000,Consolidado!B169)&gt;0,INDEX(RegistroPago!$E$1:$E$2000,MATCH(Consolidado!B169,RegistroPago!$A$1:$A$2000,0))&lt;&gt;""),"PAGADA",IF(I169&lt;&gt;"","PENDIENTE","SIN EMITIR")),"")</f>
        <v/>
      </c>
      <c r="I169" s="10"/>
      <c r="J169" s="2"/>
      <c r="K169" s="29"/>
      <c r="L169" s="29"/>
    </row>
    <row r="170" spans="1:12" ht="15.75" x14ac:dyDescent="0.25">
      <c r="A170" s="5"/>
      <c r="B170" s="7"/>
      <c r="C170" s="5"/>
      <c r="D170" s="5"/>
      <c r="E170" s="8"/>
      <c r="F170" s="9"/>
      <c r="G170" s="5"/>
      <c r="H170" s="28" t="str">
        <f>IFERROR(IF(AND(COUNTIF(RegistroPago!$A$1:$A$2000,Consolidado!B170)&gt;0,INDEX(RegistroPago!$E$1:$E$2000,MATCH(Consolidado!B170,RegistroPago!$A$1:$A$2000,0))&lt;&gt;""),"PAGADA",IF(I170&lt;&gt;"","PENDIENTE","SIN EMITIR")),"")</f>
        <v/>
      </c>
      <c r="I170" s="10"/>
      <c r="J170" s="2"/>
      <c r="K170" s="29"/>
      <c r="L170" s="29"/>
    </row>
    <row r="171" spans="1:12" ht="15.75" x14ac:dyDescent="0.25">
      <c r="A171" s="5"/>
      <c r="B171" s="7"/>
      <c r="C171" s="5"/>
      <c r="D171" s="5"/>
      <c r="E171" s="8"/>
      <c r="F171" s="9"/>
      <c r="G171" s="5"/>
      <c r="H171" s="28" t="str">
        <f>IFERROR(IF(AND(COUNTIF(RegistroPago!$A$1:$A$2000,Consolidado!B171)&gt;0,INDEX(RegistroPago!$E$1:$E$2000,MATCH(Consolidado!B171,RegistroPago!$A$1:$A$2000,0))&lt;&gt;""),"PAGADA",IF(I171&lt;&gt;"","PENDIENTE","SIN EMITIR")),"")</f>
        <v/>
      </c>
      <c r="I171" s="10"/>
      <c r="J171" s="2"/>
      <c r="K171" s="29"/>
      <c r="L171" s="29"/>
    </row>
    <row r="172" spans="1:12" ht="15.75" x14ac:dyDescent="0.25">
      <c r="A172" s="5"/>
      <c r="B172" s="7"/>
      <c r="C172" s="5"/>
      <c r="D172" s="5"/>
      <c r="E172" s="8"/>
      <c r="F172" s="9"/>
      <c r="G172" s="5"/>
      <c r="H172" s="28" t="str">
        <f>IFERROR(IF(AND(COUNTIF(RegistroPago!$A$1:$A$2000,Consolidado!B172)&gt;0,INDEX(RegistroPago!$E$1:$E$2000,MATCH(Consolidado!B172,RegistroPago!$A$1:$A$2000,0))&lt;&gt;""),"PAGADA",IF(I172&lt;&gt;"","PENDIENTE","SIN EMITIR")),"")</f>
        <v/>
      </c>
      <c r="I172" s="10"/>
      <c r="J172" s="2"/>
      <c r="K172" s="29"/>
      <c r="L172" s="29"/>
    </row>
    <row r="173" spans="1:12" ht="15.75" x14ac:dyDescent="0.25">
      <c r="A173" s="5"/>
      <c r="B173" s="7"/>
      <c r="C173" s="5"/>
      <c r="D173" s="5"/>
      <c r="E173" s="8"/>
      <c r="F173" s="9"/>
      <c r="G173" s="5"/>
      <c r="H173" s="28" t="str">
        <f>IFERROR(IF(AND(COUNTIF(RegistroPago!$A$1:$A$2000,Consolidado!B173)&gt;0,INDEX(RegistroPago!$E$1:$E$2000,MATCH(Consolidado!B173,RegistroPago!$A$1:$A$2000,0))&lt;&gt;""),"PAGADA",IF(I173&lt;&gt;"","PENDIENTE","SIN EMITIR")),"")</f>
        <v/>
      </c>
      <c r="I173" s="10"/>
      <c r="J173" s="2"/>
      <c r="K173" s="29"/>
      <c r="L173" s="29"/>
    </row>
    <row r="174" spans="1:12" ht="15.75" x14ac:dyDescent="0.25">
      <c r="A174" s="5"/>
      <c r="B174" s="7"/>
      <c r="C174" s="5"/>
      <c r="D174" s="5"/>
      <c r="E174" s="8"/>
      <c r="F174" s="9"/>
      <c r="G174" s="5"/>
      <c r="H174" s="28" t="str">
        <f>IFERROR(IF(AND(COUNTIF(RegistroPago!$A$1:$A$2000,Consolidado!B174)&gt;0,INDEX(RegistroPago!$E$1:$E$2000,MATCH(Consolidado!B174,RegistroPago!$A$1:$A$2000,0))&lt;&gt;""),"PAGADA",IF(I174&lt;&gt;"","PENDIENTE","SIN EMITIR")),"")</f>
        <v/>
      </c>
      <c r="I174" s="10"/>
      <c r="J174" s="2"/>
      <c r="K174" s="29"/>
      <c r="L174" s="29"/>
    </row>
    <row r="175" spans="1:12" ht="15.75" x14ac:dyDescent="0.25">
      <c r="A175" s="5"/>
      <c r="B175" s="7"/>
      <c r="C175" s="5"/>
      <c r="D175" s="5"/>
      <c r="E175" s="8"/>
      <c r="F175" s="9"/>
      <c r="G175" s="5"/>
      <c r="H175" s="28" t="str">
        <f>IFERROR(IF(AND(COUNTIF(RegistroPago!$A$1:$A$2000,Consolidado!B175)&gt;0,INDEX(RegistroPago!$E$1:$E$2000,MATCH(Consolidado!B175,RegistroPago!$A$1:$A$2000,0))&lt;&gt;""),"PAGADA",IF(I175&lt;&gt;"","PENDIENTE","SIN EMITIR")),"")</f>
        <v/>
      </c>
      <c r="I175" s="10"/>
      <c r="J175" s="2"/>
      <c r="K175" s="29"/>
      <c r="L175" s="29"/>
    </row>
    <row r="176" spans="1:12" ht="15.75" x14ac:dyDescent="0.25">
      <c r="A176" s="5"/>
      <c r="B176" s="7"/>
      <c r="C176" s="5"/>
      <c r="D176" s="5"/>
      <c r="E176" s="8"/>
      <c r="F176" s="9"/>
      <c r="G176" s="5"/>
      <c r="H176" s="28" t="str">
        <f>IFERROR(IF(AND(COUNTIF(RegistroPago!$A$1:$A$2000,Consolidado!B176)&gt;0,INDEX(RegistroPago!$E$1:$E$2000,MATCH(Consolidado!B176,RegistroPago!$A$1:$A$2000,0))&lt;&gt;""),"PAGADA",IF(I176&lt;&gt;"","PENDIENTE","SIN EMITIR")),"")</f>
        <v/>
      </c>
      <c r="I176" s="10"/>
      <c r="J176" s="2"/>
      <c r="K176" s="29"/>
      <c r="L176" s="29"/>
    </row>
    <row r="177" spans="1:12" ht="15.75" x14ac:dyDescent="0.25">
      <c r="A177" s="5"/>
      <c r="B177" s="7"/>
      <c r="C177" s="5"/>
      <c r="D177" s="5"/>
      <c r="E177" s="8"/>
      <c r="F177" s="9"/>
      <c r="G177" s="5"/>
      <c r="H177" s="28" t="str">
        <f>IFERROR(IF(AND(COUNTIF(RegistroPago!$A$1:$A$2000,Consolidado!B177)&gt;0,INDEX(RegistroPago!$E$1:$E$2000,MATCH(Consolidado!B177,RegistroPago!$A$1:$A$2000,0))&lt;&gt;""),"PAGADA",IF(I177&lt;&gt;"","PENDIENTE","SIN EMITIR")),"")</f>
        <v/>
      </c>
      <c r="I177" s="10"/>
      <c r="J177" s="2"/>
      <c r="K177" s="29"/>
      <c r="L177" s="29"/>
    </row>
    <row r="178" spans="1:12" ht="15.75" x14ac:dyDescent="0.25">
      <c r="A178" s="5"/>
      <c r="B178" s="7"/>
      <c r="C178" s="5"/>
      <c r="D178" s="5"/>
      <c r="E178" s="8"/>
      <c r="F178" s="9"/>
      <c r="G178" s="5"/>
      <c r="H178" s="28" t="str">
        <f>IFERROR(IF(AND(COUNTIF(RegistroPago!$A$1:$A$2000,Consolidado!B178)&gt;0,INDEX(RegistroPago!$E$1:$E$2000,MATCH(Consolidado!B178,RegistroPago!$A$1:$A$2000,0))&lt;&gt;""),"PAGADA",IF(I178&lt;&gt;"","PENDIENTE","SIN EMITIR")),"")</f>
        <v/>
      </c>
      <c r="I178" s="10"/>
      <c r="J178" s="2"/>
      <c r="K178" s="29"/>
      <c r="L178" s="29"/>
    </row>
    <row r="179" spans="1:12" ht="15.75" x14ac:dyDescent="0.25">
      <c r="A179" s="5"/>
      <c r="B179" s="7"/>
      <c r="C179" s="5"/>
      <c r="D179" s="5"/>
      <c r="E179" s="8"/>
      <c r="F179" s="9"/>
      <c r="G179" s="5"/>
      <c r="H179" s="28" t="str">
        <f>IFERROR(IF(AND(COUNTIF(RegistroPago!$A$1:$A$2000,Consolidado!B179)&gt;0,INDEX(RegistroPago!$E$1:$E$2000,MATCH(Consolidado!B179,RegistroPago!$A$1:$A$2000,0))&lt;&gt;""),"PAGADA",IF(I179&lt;&gt;"","PENDIENTE","SIN EMITIR")),"")</f>
        <v/>
      </c>
      <c r="I179" s="10"/>
      <c r="J179" s="2"/>
      <c r="K179" s="29"/>
      <c r="L179" s="29"/>
    </row>
    <row r="180" spans="1:12" ht="15.75" x14ac:dyDescent="0.25">
      <c r="A180" s="5"/>
      <c r="B180" s="7"/>
      <c r="C180" s="5"/>
      <c r="D180" s="5"/>
      <c r="E180" s="8"/>
      <c r="F180" s="9"/>
      <c r="G180" s="5"/>
      <c r="H180" s="28" t="str">
        <f>IFERROR(IF(AND(COUNTIF(RegistroPago!$A$1:$A$2000,Consolidado!B180)&gt;0,INDEX(RegistroPago!$E$1:$E$2000,MATCH(Consolidado!B180,RegistroPago!$A$1:$A$2000,0))&lt;&gt;""),"PAGADA",IF(I180&lt;&gt;"","PENDIENTE","SIN EMITIR")),"")</f>
        <v/>
      </c>
      <c r="I180" s="10"/>
      <c r="J180" s="2"/>
      <c r="K180" s="29"/>
      <c r="L180" s="29"/>
    </row>
    <row r="181" spans="1:12" ht="15.75" x14ac:dyDescent="0.25">
      <c r="A181" s="5"/>
      <c r="B181" s="7"/>
      <c r="C181" s="5"/>
      <c r="D181" s="5"/>
      <c r="E181" s="8"/>
      <c r="F181" s="9"/>
      <c r="G181" s="5"/>
      <c r="H181" s="28" t="str">
        <f>IFERROR(IF(AND(COUNTIF(RegistroPago!$A$1:$A$2000,Consolidado!B181)&gt;0,INDEX(RegistroPago!$E$1:$E$2000,MATCH(Consolidado!B181,RegistroPago!$A$1:$A$2000,0))&lt;&gt;""),"PAGADA",IF(I181&lt;&gt;"","PENDIENTE","SIN EMITIR")),"")</f>
        <v/>
      </c>
      <c r="I181" s="10"/>
      <c r="J181" s="2"/>
      <c r="K181" s="29"/>
      <c r="L181" s="29"/>
    </row>
    <row r="182" spans="1:12" ht="15.75" x14ac:dyDescent="0.25">
      <c r="A182" s="5"/>
      <c r="B182" s="7"/>
      <c r="C182" s="5"/>
      <c r="D182" s="5"/>
      <c r="E182" s="8"/>
      <c r="F182" s="9"/>
      <c r="G182" s="5"/>
      <c r="H182" s="28" t="str">
        <f>IFERROR(IF(AND(COUNTIF(RegistroPago!$A$1:$A$2000,Consolidado!B182)&gt;0,INDEX(RegistroPago!$E$1:$E$2000,MATCH(Consolidado!B182,RegistroPago!$A$1:$A$2000,0))&lt;&gt;""),"PAGADA",IF(I182&lt;&gt;"","PENDIENTE","SIN EMITIR")),"")</f>
        <v/>
      </c>
      <c r="I182" s="10"/>
      <c r="J182" s="2"/>
      <c r="K182" s="29"/>
      <c r="L182" s="29"/>
    </row>
    <row r="183" spans="1:12" ht="15.75" x14ac:dyDescent="0.25">
      <c r="A183" s="5"/>
      <c r="B183" s="7"/>
      <c r="C183" s="5"/>
      <c r="D183" s="5"/>
      <c r="E183" s="8"/>
      <c r="F183" s="9"/>
      <c r="G183" s="5"/>
      <c r="H183" s="28" t="str">
        <f>IFERROR(IF(AND(COUNTIF(RegistroPago!$A$1:$A$2000,Consolidado!B183)&gt;0,INDEX(RegistroPago!$E$1:$E$2000,MATCH(Consolidado!B183,RegistroPago!$A$1:$A$2000,0))&lt;&gt;""),"PAGADA",IF(I183&lt;&gt;"","PENDIENTE","SIN EMITIR")),"")</f>
        <v/>
      </c>
      <c r="I183" s="10"/>
      <c r="J183" s="2"/>
      <c r="K183" s="29"/>
      <c r="L183" s="29"/>
    </row>
    <row r="184" spans="1:12" ht="15.75" x14ac:dyDescent="0.25">
      <c r="A184" s="5"/>
      <c r="B184" s="7"/>
      <c r="C184" s="5"/>
      <c r="D184" s="5"/>
      <c r="E184" s="8"/>
      <c r="F184" s="9"/>
      <c r="G184" s="5"/>
      <c r="H184" s="28" t="str">
        <f>IFERROR(IF(AND(COUNTIF(RegistroPago!$A$1:$A$2000,Consolidado!B184)&gt;0,INDEX(RegistroPago!$E$1:$E$2000,MATCH(Consolidado!B184,RegistroPago!$A$1:$A$2000,0))&lt;&gt;""),"PAGADA",IF(I184&lt;&gt;"","PENDIENTE","SIN EMITIR")),"")</f>
        <v/>
      </c>
      <c r="I184" s="10"/>
      <c r="J184" s="2"/>
      <c r="K184" s="29"/>
      <c r="L184" s="29"/>
    </row>
    <row r="185" spans="1:12" ht="15.75" x14ac:dyDescent="0.25">
      <c r="A185" s="5"/>
      <c r="B185" s="7"/>
      <c r="C185" s="5"/>
      <c r="D185" s="5"/>
      <c r="E185" s="8"/>
      <c r="F185" s="9"/>
      <c r="G185" s="5"/>
      <c r="H185" s="28" t="str">
        <f>IFERROR(IF(AND(COUNTIF(RegistroPago!$A$1:$A$2000,Consolidado!B185)&gt;0,INDEX(RegistroPago!$E$1:$E$2000,MATCH(Consolidado!B185,RegistroPago!$A$1:$A$2000,0))&lt;&gt;""),"PAGADA",IF(I185&lt;&gt;"","PENDIENTE","SIN EMITIR")),"")</f>
        <v/>
      </c>
      <c r="I185" s="10"/>
      <c r="J185" s="2"/>
      <c r="K185" s="29"/>
      <c r="L185" s="29"/>
    </row>
    <row r="186" spans="1:12" ht="15.75" x14ac:dyDescent="0.25">
      <c r="A186" s="5"/>
      <c r="B186" s="7"/>
      <c r="C186" s="5"/>
      <c r="D186" s="5"/>
      <c r="E186" s="8"/>
      <c r="F186" s="9"/>
      <c r="G186" s="5"/>
      <c r="H186" s="28" t="str">
        <f>IFERROR(IF(AND(COUNTIF(RegistroPago!$A$1:$A$2000,Consolidado!B186)&gt;0,INDEX(RegistroPago!$E$1:$E$2000,MATCH(Consolidado!B186,RegistroPago!$A$1:$A$2000,0))&lt;&gt;""),"PAGADA",IF(I186&lt;&gt;"","PENDIENTE","SIN EMITIR")),"")</f>
        <v/>
      </c>
      <c r="I186" s="10"/>
      <c r="J186" s="2"/>
      <c r="K186" s="29"/>
      <c r="L186" s="29"/>
    </row>
    <row r="187" spans="1:12" ht="15.75" x14ac:dyDescent="0.25">
      <c r="A187" s="5"/>
      <c r="B187" s="7"/>
      <c r="C187" s="5"/>
      <c r="D187" s="5"/>
      <c r="E187" s="8"/>
      <c r="F187" s="9"/>
      <c r="G187" s="5"/>
      <c r="H187" s="28" t="str">
        <f>IFERROR(IF(AND(COUNTIF(RegistroPago!$A$1:$A$2000,Consolidado!B187)&gt;0,INDEX(RegistroPago!$E$1:$E$2000,MATCH(Consolidado!B187,RegistroPago!$A$1:$A$2000,0))&lt;&gt;""),"PAGADA",IF(I187&lt;&gt;"","PENDIENTE","SIN EMITIR")),"")</f>
        <v/>
      </c>
      <c r="I187" s="10"/>
      <c r="J187" s="2"/>
      <c r="K187" s="29"/>
      <c r="L187" s="29"/>
    </row>
    <row r="188" spans="1:12" ht="15.75" x14ac:dyDescent="0.25">
      <c r="A188" s="5"/>
      <c r="B188" s="7"/>
      <c r="C188" s="5"/>
      <c r="D188" s="5"/>
      <c r="E188" s="8"/>
      <c r="F188" s="9"/>
      <c r="G188" s="5"/>
      <c r="H188" s="28" t="str">
        <f>IFERROR(IF(AND(COUNTIF(RegistroPago!$A$1:$A$2000,Consolidado!B188)&gt;0,INDEX(RegistroPago!$E$1:$E$2000,MATCH(Consolidado!B188,RegistroPago!$A$1:$A$2000,0))&lt;&gt;""),"PAGADA",IF(I188&lt;&gt;"","PENDIENTE","SIN EMITIR")),"")</f>
        <v/>
      </c>
      <c r="I188" s="10"/>
      <c r="J188" s="2"/>
      <c r="K188" s="29"/>
      <c r="L188" s="29"/>
    </row>
    <row r="189" spans="1:12" ht="15.75" x14ac:dyDescent="0.25">
      <c r="A189" s="5"/>
      <c r="B189" s="7"/>
      <c r="C189" s="5"/>
      <c r="D189" s="5"/>
      <c r="E189" s="8"/>
      <c r="F189" s="9"/>
      <c r="G189" s="5"/>
      <c r="H189" s="28" t="str">
        <f>IFERROR(IF(AND(COUNTIF(RegistroPago!$A$1:$A$2000,Consolidado!B189)&gt;0,INDEX(RegistroPago!$E$1:$E$2000,MATCH(Consolidado!B189,RegistroPago!$A$1:$A$2000,0))&lt;&gt;""),"PAGADA",IF(I189&lt;&gt;"","PENDIENTE","SIN EMITIR")),"")</f>
        <v/>
      </c>
      <c r="I189" s="10"/>
      <c r="J189" s="2"/>
      <c r="K189" s="29"/>
      <c r="L189" s="29"/>
    </row>
    <row r="190" spans="1:12" ht="15.75" x14ac:dyDescent="0.25">
      <c r="A190" s="5"/>
      <c r="B190" s="7"/>
      <c r="C190" s="5"/>
      <c r="D190" s="5"/>
      <c r="E190" s="8"/>
      <c r="F190" s="9"/>
      <c r="G190" s="5"/>
      <c r="H190" s="28" t="str">
        <f>IFERROR(IF(AND(COUNTIF(RegistroPago!$A$1:$A$2000,Consolidado!B190)&gt;0,INDEX(RegistroPago!$E$1:$E$2000,MATCH(Consolidado!B190,RegistroPago!$A$1:$A$2000,0))&lt;&gt;""),"PAGADA",IF(I190&lt;&gt;"","PENDIENTE","SIN EMITIR")),"")</f>
        <v/>
      </c>
      <c r="I190" s="10"/>
      <c r="J190" s="2"/>
      <c r="K190" s="29"/>
      <c r="L190" s="29"/>
    </row>
    <row r="191" spans="1:12" ht="15.75" x14ac:dyDescent="0.25">
      <c r="A191" s="5"/>
      <c r="B191" s="7"/>
      <c r="C191" s="5"/>
      <c r="D191" s="5"/>
      <c r="E191" s="8"/>
      <c r="F191" s="9"/>
      <c r="G191" s="5"/>
      <c r="H191" s="28" t="str">
        <f>IFERROR(IF(AND(COUNTIF(RegistroPago!$A$1:$A$2000,Consolidado!B191)&gt;0,INDEX(RegistroPago!$E$1:$E$2000,MATCH(Consolidado!B191,RegistroPago!$A$1:$A$2000,0))&lt;&gt;""),"PAGADA",IF(I191&lt;&gt;"","PENDIENTE","SIN EMITIR")),"")</f>
        <v/>
      </c>
      <c r="I191" s="10"/>
      <c r="J191" s="2"/>
      <c r="K191" s="29"/>
      <c r="L191" s="29"/>
    </row>
    <row r="192" spans="1:12" ht="15.75" x14ac:dyDescent="0.25">
      <c r="A192" s="5"/>
      <c r="B192" s="7"/>
      <c r="C192" s="5"/>
      <c r="D192" s="5"/>
      <c r="E192" s="8"/>
      <c r="F192" s="9"/>
      <c r="G192" s="5"/>
      <c r="H192" s="28" t="str">
        <f>IFERROR(IF(AND(COUNTIF(RegistroPago!$A$1:$A$2000,Consolidado!B192)&gt;0,INDEX(RegistroPago!$E$1:$E$2000,MATCH(Consolidado!B192,RegistroPago!$A$1:$A$2000,0))&lt;&gt;""),"PAGADA",IF(I192&lt;&gt;"","PENDIENTE","SIN EMITIR")),"")</f>
        <v/>
      </c>
      <c r="I192" s="10"/>
      <c r="J192" s="2"/>
      <c r="K192" s="29"/>
      <c r="L192" s="29"/>
    </row>
    <row r="193" spans="1:12" ht="15.75" x14ac:dyDescent="0.25">
      <c r="A193" s="5"/>
      <c r="B193" s="7"/>
      <c r="C193" s="5"/>
      <c r="D193" s="5"/>
      <c r="E193" s="8"/>
      <c r="F193" s="9"/>
      <c r="G193" s="5"/>
      <c r="H193" s="28" t="str">
        <f>IFERROR(IF(AND(COUNTIF(RegistroPago!$A$1:$A$2000,Consolidado!B193)&gt;0,INDEX(RegistroPago!$E$1:$E$2000,MATCH(Consolidado!B193,RegistroPago!$A$1:$A$2000,0))&lt;&gt;""),"PAGADA",IF(I193&lt;&gt;"","PENDIENTE","SIN EMITIR")),"")</f>
        <v/>
      </c>
      <c r="I193" s="10"/>
      <c r="J193" s="2"/>
      <c r="K193" s="29"/>
      <c r="L193" s="29"/>
    </row>
    <row r="194" spans="1:12" ht="15.75" x14ac:dyDescent="0.25">
      <c r="A194" s="5"/>
      <c r="B194" s="7"/>
      <c r="C194" s="5"/>
      <c r="D194" s="5"/>
      <c r="E194" s="8"/>
      <c r="F194" s="9"/>
      <c r="G194" s="5"/>
      <c r="H194" s="28" t="str">
        <f>IFERROR(IF(AND(COUNTIF(RegistroPago!$A$1:$A$2000,Consolidado!B194)&gt;0,INDEX(RegistroPago!$E$1:$E$2000,MATCH(Consolidado!B194,RegistroPago!$A$1:$A$2000,0))&lt;&gt;""),"PAGADA",IF(I194&lt;&gt;"","PENDIENTE","SIN EMITIR")),"")</f>
        <v/>
      </c>
      <c r="I194" s="10"/>
      <c r="J194" s="2"/>
      <c r="K194" s="29"/>
      <c r="L194" s="29"/>
    </row>
    <row r="195" spans="1:12" ht="15.75" x14ac:dyDescent="0.25">
      <c r="A195" s="5"/>
      <c r="B195" s="7"/>
      <c r="C195" s="5"/>
      <c r="D195" s="5"/>
      <c r="E195" s="8"/>
      <c r="F195" s="9"/>
      <c r="G195" s="5"/>
      <c r="H195" s="28" t="str">
        <f>IFERROR(IF(AND(COUNTIF(RegistroPago!$A$1:$A$2000,Consolidado!B195)&gt;0,INDEX(RegistroPago!$E$1:$E$2000,MATCH(Consolidado!B195,RegistroPago!$A$1:$A$2000,0))&lt;&gt;""),"PAGADA",IF(I195&lt;&gt;"","PENDIENTE","SIN EMITIR")),"")</f>
        <v/>
      </c>
      <c r="I195" s="10"/>
      <c r="J195" s="2"/>
      <c r="K195" s="29"/>
      <c r="L195" s="29"/>
    </row>
    <row r="196" spans="1:12" ht="15.75" x14ac:dyDescent="0.25">
      <c r="A196" s="5"/>
      <c r="B196" s="7"/>
      <c r="C196" s="5"/>
      <c r="D196" s="5"/>
      <c r="E196" s="8"/>
      <c r="F196" s="9"/>
      <c r="G196" s="5"/>
      <c r="H196" s="28" t="str">
        <f>IFERROR(IF(AND(COUNTIF(RegistroPago!$A$1:$A$2000,Consolidado!B196)&gt;0,INDEX(RegistroPago!$E$1:$E$2000,MATCH(Consolidado!B196,RegistroPago!$A$1:$A$2000,0))&lt;&gt;""),"PAGADA",IF(I196&lt;&gt;"","PENDIENTE","SIN EMITIR")),"")</f>
        <v/>
      </c>
      <c r="I196" s="10"/>
      <c r="J196" s="2"/>
      <c r="K196" s="29"/>
      <c r="L196" s="29"/>
    </row>
    <row r="197" spans="1:12" ht="15.75" x14ac:dyDescent="0.25">
      <c r="A197" s="5"/>
      <c r="B197" s="7"/>
      <c r="C197" s="5"/>
      <c r="D197" s="5"/>
      <c r="E197" s="8"/>
      <c r="F197" s="9"/>
      <c r="G197" s="5"/>
      <c r="H197" s="28" t="str">
        <f>IFERROR(IF(AND(COUNTIF(RegistroPago!$A$1:$A$2000,Consolidado!B197)&gt;0,INDEX(RegistroPago!$E$1:$E$2000,MATCH(Consolidado!B197,RegistroPago!$A$1:$A$2000,0))&lt;&gt;""),"PAGADA",IF(I197&lt;&gt;"","PENDIENTE","SIN EMITIR")),"")</f>
        <v/>
      </c>
      <c r="I197" s="10"/>
      <c r="J197" s="2"/>
      <c r="K197" s="29"/>
      <c r="L197" s="29"/>
    </row>
    <row r="198" spans="1:12" ht="15.75" x14ac:dyDescent="0.25">
      <c r="A198" s="5"/>
      <c r="B198" s="7"/>
      <c r="C198" s="5"/>
      <c r="D198" s="5"/>
      <c r="E198" s="8"/>
      <c r="F198" s="9"/>
      <c r="G198" s="5"/>
      <c r="H198" s="28" t="str">
        <f>IFERROR(IF(AND(COUNTIF(RegistroPago!$A$1:$A$2000,Consolidado!B198)&gt;0,INDEX(RegistroPago!$E$1:$E$2000,MATCH(Consolidado!B198,RegistroPago!$A$1:$A$2000,0))&lt;&gt;""),"PAGADA",IF(I198&lt;&gt;"","PENDIENTE","SIN EMITIR")),"")</f>
        <v/>
      </c>
      <c r="I198" s="10"/>
      <c r="J198" s="2"/>
      <c r="K198" s="29"/>
      <c r="L198" s="29"/>
    </row>
    <row r="199" spans="1:12" ht="15.75" x14ac:dyDescent="0.25">
      <c r="A199" s="5"/>
      <c r="B199" s="7"/>
      <c r="C199" s="5"/>
      <c r="D199" s="5"/>
      <c r="E199" s="8"/>
      <c r="F199" s="9"/>
      <c r="G199" s="5"/>
      <c r="H199" s="28" t="str">
        <f>IFERROR(IF(AND(COUNTIF(RegistroPago!$A$1:$A$2000,Consolidado!B199)&gt;0,INDEX(RegistroPago!$E$1:$E$2000,MATCH(Consolidado!B199,RegistroPago!$A$1:$A$2000,0))&lt;&gt;""),"PAGADA",IF(I199&lt;&gt;"","PENDIENTE","SIN EMITIR")),"")</f>
        <v/>
      </c>
      <c r="I199" s="10"/>
      <c r="J199" s="2"/>
      <c r="K199" s="29"/>
      <c r="L199" s="29"/>
    </row>
    <row r="200" spans="1:12" ht="15.75" x14ac:dyDescent="0.25">
      <c r="A200" s="5"/>
      <c r="B200" s="7"/>
      <c r="C200" s="5"/>
      <c r="D200" s="5"/>
      <c r="E200" s="8"/>
      <c r="F200" s="9"/>
      <c r="G200" s="5"/>
      <c r="H200" s="28" t="str">
        <f>IFERROR(IF(AND(COUNTIF(RegistroPago!$A$1:$A$2000,Consolidado!B200)&gt;0,INDEX(RegistroPago!$E$1:$E$2000,MATCH(Consolidado!B200,RegistroPago!$A$1:$A$2000,0))&lt;&gt;""),"PAGADA",IF(I200&lt;&gt;"","PENDIENTE","SIN EMITIR")),"")</f>
        <v/>
      </c>
      <c r="I200" s="10"/>
      <c r="J200" s="2"/>
      <c r="K200" s="29"/>
      <c r="L200" s="29"/>
    </row>
    <row r="201" spans="1:12" ht="15.75" x14ac:dyDescent="0.25">
      <c r="A201" s="5"/>
      <c r="B201" s="7"/>
      <c r="C201" s="5"/>
      <c r="D201" s="5"/>
      <c r="E201" s="8"/>
      <c r="F201" s="9"/>
      <c r="G201" s="5"/>
      <c r="H201" s="28" t="str">
        <f>IFERROR(IF(AND(COUNTIF(RegistroPago!$A$1:$A$2000,Consolidado!B201)&gt;0,INDEX(RegistroPago!$E$1:$E$2000,MATCH(Consolidado!B201,RegistroPago!$A$1:$A$2000,0))&lt;&gt;""),"PAGADA",IF(I201&lt;&gt;"","PENDIENTE","SIN EMITIR")),"")</f>
        <v/>
      </c>
      <c r="I201" s="10"/>
      <c r="J201" s="2"/>
      <c r="K201" s="29"/>
      <c r="L201" s="29"/>
    </row>
    <row r="202" spans="1:12" ht="15.75" x14ac:dyDescent="0.25">
      <c r="A202" s="5"/>
      <c r="B202" s="7"/>
      <c r="C202" s="5"/>
      <c r="D202" s="5"/>
      <c r="E202" s="8"/>
      <c r="F202" s="9"/>
      <c r="G202" s="5"/>
      <c r="H202" s="28" t="str">
        <f>IFERROR(IF(AND(COUNTIF(RegistroPago!$A$1:$A$2000,Consolidado!B202)&gt;0,INDEX(RegistroPago!$E$1:$E$2000,MATCH(Consolidado!B202,RegistroPago!$A$1:$A$2000,0))&lt;&gt;""),"PAGADA",IF(I202&lt;&gt;"","PENDIENTE","SIN EMITIR")),"")</f>
        <v/>
      </c>
      <c r="I202" s="10"/>
      <c r="J202" s="2"/>
      <c r="K202" s="29"/>
      <c r="L202" s="29"/>
    </row>
    <row r="203" spans="1:12" ht="15.75" x14ac:dyDescent="0.25">
      <c r="A203" s="5"/>
      <c r="B203" s="7"/>
      <c r="C203" s="5"/>
      <c r="D203" s="5"/>
      <c r="E203" s="8"/>
      <c r="F203" s="9"/>
      <c r="G203" s="5"/>
      <c r="H203" s="28" t="str">
        <f>IFERROR(IF(AND(COUNTIF(RegistroPago!$A$1:$A$2000,Consolidado!B203)&gt;0,INDEX(RegistroPago!$E$1:$E$2000,MATCH(Consolidado!B203,RegistroPago!$A$1:$A$2000,0))&lt;&gt;""),"PAGADA",IF(I203&lt;&gt;"","PENDIENTE","SIN EMITIR")),"")</f>
        <v/>
      </c>
      <c r="I203" s="10"/>
      <c r="J203" s="2"/>
      <c r="K203" s="29"/>
      <c r="L203" s="29"/>
    </row>
    <row r="204" spans="1:12" ht="15.75" x14ac:dyDescent="0.25">
      <c r="A204" s="5"/>
      <c r="B204" s="7"/>
      <c r="C204" s="5"/>
      <c r="D204" s="5"/>
      <c r="E204" s="8"/>
      <c r="F204" s="9"/>
      <c r="G204" s="5"/>
      <c r="H204" s="28" t="str">
        <f>IFERROR(IF(AND(COUNTIF(RegistroPago!$A$1:$A$2000,Consolidado!B204)&gt;0,INDEX(RegistroPago!$E$1:$E$2000,MATCH(Consolidado!B204,RegistroPago!$A$1:$A$2000,0))&lt;&gt;""),"PAGADA",IF(I204&lt;&gt;"","PENDIENTE","SIN EMITIR")),"")</f>
        <v/>
      </c>
      <c r="I204" s="10"/>
      <c r="J204" s="2"/>
      <c r="K204" s="29"/>
      <c r="L204" s="29"/>
    </row>
    <row r="205" spans="1:12" ht="15.75" x14ac:dyDescent="0.25">
      <c r="A205" s="5"/>
      <c r="B205" s="7"/>
      <c r="C205" s="5"/>
      <c r="D205" s="5"/>
      <c r="E205" s="8"/>
      <c r="F205" s="9"/>
      <c r="G205" s="5"/>
      <c r="H205" s="28" t="str">
        <f>IFERROR(IF(AND(COUNTIF(RegistroPago!$A$1:$A$2000,Consolidado!B205)&gt;0,INDEX(RegistroPago!$E$1:$E$2000,MATCH(Consolidado!B205,RegistroPago!$A$1:$A$2000,0))&lt;&gt;""),"PAGADA",IF(I205&lt;&gt;"","PENDIENTE","SIN EMITIR")),"")</f>
        <v/>
      </c>
      <c r="I205" s="10"/>
      <c r="J205" s="2"/>
      <c r="K205" s="29"/>
      <c r="L205" s="29"/>
    </row>
    <row r="206" spans="1:12" ht="15.75" x14ac:dyDescent="0.25">
      <c r="A206" s="5"/>
      <c r="B206" s="7"/>
      <c r="C206" s="5"/>
      <c r="D206" s="5"/>
      <c r="E206" s="8"/>
      <c r="F206" s="9"/>
      <c r="G206" s="5"/>
      <c r="H206" s="28" t="str">
        <f>IFERROR(IF(AND(COUNTIF(RegistroPago!$A$1:$A$2000,Consolidado!B206)&gt;0,INDEX(RegistroPago!$E$1:$E$2000,MATCH(Consolidado!B206,RegistroPago!$A$1:$A$2000,0))&lt;&gt;""),"PAGADA",IF(I206&lt;&gt;"","PENDIENTE","SIN EMITIR")),"")</f>
        <v/>
      </c>
      <c r="I206" s="10"/>
      <c r="J206" s="2"/>
      <c r="K206" s="29"/>
      <c r="L206" s="29"/>
    </row>
    <row r="207" spans="1:12" ht="15.75" x14ac:dyDescent="0.25">
      <c r="A207" s="5"/>
      <c r="B207" s="7"/>
      <c r="C207" s="5"/>
      <c r="D207" s="5"/>
      <c r="E207" s="8"/>
      <c r="F207" s="9"/>
      <c r="G207" s="5"/>
      <c r="H207" s="28" t="str">
        <f>IFERROR(IF(AND(COUNTIF(RegistroPago!$A$1:$A$2000,Consolidado!B207)&gt;0,INDEX(RegistroPago!$E$1:$E$2000,MATCH(Consolidado!B207,RegistroPago!$A$1:$A$2000,0))&lt;&gt;""),"PAGADA",IF(I207&lt;&gt;"","PENDIENTE","SIN EMITIR")),"")</f>
        <v/>
      </c>
      <c r="I207" s="10"/>
      <c r="J207" s="2"/>
      <c r="K207" s="29"/>
      <c r="L207" s="29"/>
    </row>
    <row r="208" spans="1:12" ht="15.75" x14ac:dyDescent="0.25">
      <c r="A208" s="5"/>
      <c r="B208" s="7"/>
      <c r="C208" s="5"/>
      <c r="D208" s="5"/>
      <c r="E208" s="8"/>
      <c r="F208" s="9"/>
      <c r="G208" s="5"/>
      <c r="H208" s="28" t="str">
        <f>IFERROR(IF(AND(COUNTIF(RegistroPago!$A$1:$A$2000,Consolidado!B208)&gt;0,INDEX(RegistroPago!$E$1:$E$2000,MATCH(Consolidado!B208,RegistroPago!$A$1:$A$2000,0))&lt;&gt;""),"PAGADA",IF(I208&lt;&gt;"","PENDIENTE","SIN EMITIR")),"")</f>
        <v/>
      </c>
      <c r="I208" s="10"/>
      <c r="J208" s="2"/>
      <c r="K208" s="29"/>
      <c r="L208" s="29"/>
    </row>
    <row r="209" spans="1:12" ht="15.75" x14ac:dyDescent="0.25">
      <c r="A209" s="5"/>
      <c r="B209" s="7"/>
      <c r="C209" s="5"/>
      <c r="D209" s="5"/>
      <c r="E209" s="8"/>
      <c r="F209" s="9"/>
      <c r="G209" s="5"/>
      <c r="H209" s="28" t="str">
        <f>IFERROR(IF(AND(COUNTIF(RegistroPago!$A$1:$A$2000,Consolidado!B209)&gt;0,INDEX(RegistroPago!$E$1:$E$2000,MATCH(Consolidado!B209,RegistroPago!$A$1:$A$2000,0))&lt;&gt;""),"PAGADA",IF(I209&lt;&gt;"","PENDIENTE","SIN EMITIR")),"")</f>
        <v/>
      </c>
      <c r="I209" s="10"/>
      <c r="J209" s="2"/>
      <c r="K209" s="29"/>
      <c r="L209" s="29"/>
    </row>
    <row r="210" spans="1:12" ht="15.75" x14ac:dyDescent="0.25">
      <c r="A210" s="5"/>
      <c r="B210" s="7"/>
      <c r="C210" s="5"/>
      <c r="D210" s="5"/>
      <c r="E210" s="8"/>
      <c r="F210" s="9"/>
      <c r="G210" s="5"/>
      <c r="H210" s="28" t="str">
        <f>IFERROR(IF(AND(COUNTIF(RegistroPago!$A$1:$A$2000,Consolidado!B210)&gt;0,INDEX(RegistroPago!$E$1:$E$2000,MATCH(Consolidado!B210,RegistroPago!$A$1:$A$2000,0))&lt;&gt;""),"PAGADA",IF(I210&lt;&gt;"","PENDIENTE","SIN EMITIR")),"")</f>
        <v/>
      </c>
      <c r="I210" s="10"/>
      <c r="J210" s="2"/>
      <c r="K210" s="29"/>
      <c r="L210" s="29"/>
    </row>
    <row r="211" spans="1:12" ht="15.75" x14ac:dyDescent="0.25">
      <c r="A211" s="5"/>
      <c r="B211" s="7"/>
      <c r="C211" s="5"/>
      <c r="D211" s="5"/>
      <c r="E211" s="8"/>
      <c r="F211" s="9"/>
      <c r="G211" s="5"/>
      <c r="H211" s="28" t="str">
        <f>IFERROR(IF(AND(COUNTIF(RegistroPago!$A$1:$A$2000,Consolidado!B211)&gt;0,INDEX(RegistroPago!$E$1:$E$2000,MATCH(Consolidado!B211,RegistroPago!$A$1:$A$2000,0))&lt;&gt;""),"PAGADA",IF(I211&lt;&gt;"","PENDIENTE","SIN EMITIR")),"")</f>
        <v/>
      </c>
      <c r="I211" s="10"/>
      <c r="J211" s="2"/>
      <c r="K211" s="29"/>
      <c r="L211" s="29"/>
    </row>
    <row r="212" spans="1:12" ht="15.75" x14ac:dyDescent="0.25">
      <c r="A212" s="5"/>
      <c r="B212" s="7"/>
      <c r="C212" s="5"/>
      <c r="D212" s="5"/>
      <c r="E212" s="8"/>
      <c r="F212" s="9"/>
      <c r="G212" s="5"/>
      <c r="H212" s="28" t="str">
        <f>IFERROR(IF(AND(COUNTIF(RegistroPago!$A$1:$A$2000,Consolidado!B212)&gt;0,INDEX(RegistroPago!$E$1:$E$2000,MATCH(Consolidado!B212,RegistroPago!$A$1:$A$2000,0))&lt;&gt;""),"PAGADA",IF(I212&lt;&gt;"","PENDIENTE","SIN EMITIR")),"")</f>
        <v/>
      </c>
      <c r="I212" s="10"/>
      <c r="J212" s="2"/>
      <c r="K212" s="29"/>
      <c r="L212" s="29"/>
    </row>
    <row r="213" spans="1:12" ht="15.75" x14ac:dyDescent="0.25">
      <c r="A213" s="5"/>
      <c r="B213" s="7"/>
      <c r="C213" s="5"/>
      <c r="D213" s="5"/>
      <c r="E213" s="8"/>
      <c r="F213" s="9"/>
      <c r="G213" s="5"/>
      <c r="H213" s="28" t="str">
        <f>IFERROR(IF(AND(COUNTIF(RegistroPago!$A$1:$A$2000,Consolidado!B213)&gt;0,INDEX(RegistroPago!$E$1:$E$2000,MATCH(Consolidado!B213,RegistroPago!$A$1:$A$2000,0))&lt;&gt;""),"PAGADA",IF(I213&lt;&gt;"","PENDIENTE","SIN EMITIR")),"")</f>
        <v/>
      </c>
      <c r="I213" s="10"/>
      <c r="J213" s="2"/>
      <c r="K213" s="29"/>
      <c r="L213" s="29"/>
    </row>
    <row r="214" spans="1:12" ht="15.75" x14ac:dyDescent="0.25">
      <c r="A214" s="5"/>
      <c r="B214" s="7"/>
      <c r="C214" s="5"/>
      <c r="D214" s="5"/>
      <c r="E214" s="8"/>
      <c r="F214" s="9"/>
      <c r="G214" s="5"/>
      <c r="H214" s="28" t="str">
        <f>IFERROR(IF(AND(COUNTIF(RegistroPago!$A$1:$A$2000,Consolidado!B214)&gt;0,INDEX(RegistroPago!$E$1:$E$2000,MATCH(Consolidado!B214,RegistroPago!$A$1:$A$2000,0))&lt;&gt;""),"PAGADA",IF(I214&lt;&gt;"","PENDIENTE","SIN EMITIR")),"")</f>
        <v/>
      </c>
      <c r="I214" s="10"/>
      <c r="J214" s="2"/>
      <c r="K214" s="29"/>
      <c r="L214" s="29"/>
    </row>
    <row r="215" spans="1:12" ht="15.75" x14ac:dyDescent="0.25">
      <c r="A215" s="5"/>
      <c r="B215" s="7"/>
      <c r="C215" s="5"/>
      <c r="D215" s="5"/>
      <c r="E215" s="8"/>
      <c r="F215" s="9"/>
      <c r="G215" s="5"/>
      <c r="H215" s="28" t="str">
        <f>IFERROR(IF(AND(COUNTIF(RegistroPago!$A$1:$A$2000,Consolidado!B215)&gt;0,INDEX(RegistroPago!$E$1:$E$2000,MATCH(Consolidado!B215,RegistroPago!$A$1:$A$2000,0))&lt;&gt;""),"PAGADA",IF(I215&lt;&gt;"","PENDIENTE","SIN EMITIR")),"")</f>
        <v/>
      </c>
      <c r="I215" s="10"/>
      <c r="J215" s="2"/>
      <c r="K215" s="29"/>
      <c r="L215" s="29"/>
    </row>
    <row r="216" spans="1:12" ht="15.75" x14ac:dyDescent="0.25">
      <c r="A216" s="5"/>
      <c r="B216" s="7"/>
      <c r="C216" s="5"/>
      <c r="D216" s="5"/>
      <c r="E216" s="8"/>
      <c r="F216" s="9"/>
      <c r="G216" s="5"/>
      <c r="H216" s="28" t="str">
        <f>IFERROR(IF(AND(COUNTIF(RegistroPago!$A$1:$A$2000,Consolidado!B216)&gt;0,INDEX(RegistroPago!$E$1:$E$2000,MATCH(Consolidado!B216,RegistroPago!$A$1:$A$2000,0))&lt;&gt;""),"PAGADA",IF(I216&lt;&gt;"","PENDIENTE","SIN EMITIR")),"")</f>
        <v/>
      </c>
      <c r="I216" s="10"/>
      <c r="J216" s="2"/>
      <c r="K216" s="29"/>
      <c r="L216" s="29"/>
    </row>
    <row r="217" spans="1:12" ht="15.75" x14ac:dyDescent="0.25">
      <c r="A217" s="5"/>
      <c r="B217" s="7"/>
      <c r="C217" s="5"/>
      <c r="D217" s="5"/>
      <c r="E217" s="8"/>
      <c r="F217" s="9"/>
      <c r="G217" s="5"/>
      <c r="H217" s="28" t="str">
        <f>IFERROR(IF(AND(COUNTIF(RegistroPago!$A$1:$A$2000,Consolidado!B217)&gt;0,INDEX(RegistroPago!$E$1:$E$2000,MATCH(Consolidado!B217,RegistroPago!$A$1:$A$2000,0))&lt;&gt;""),"PAGADA",IF(I217&lt;&gt;"","PENDIENTE","SIN EMITIR")),"")</f>
        <v/>
      </c>
      <c r="I217" s="10"/>
      <c r="J217" s="2"/>
      <c r="K217" s="29"/>
      <c r="L217" s="29"/>
    </row>
    <row r="218" spans="1:12" ht="15.75" x14ac:dyDescent="0.25">
      <c r="A218" s="5"/>
      <c r="B218" s="7"/>
      <c r="C218" s="5"/>
      <c r="D218" s="5"/>
      <c r="E218" s="8"/>
      <c r="F218" s="9"/>
      <c r="G218" s="5"/>
      <c r="H218" s="28" t="str">
        <f>IFERROR(IF(AND(COUNTIF(RegistroPago!$A$1:$A$2000,Consolidado!B218)&gt;0,INDEX(RegistroPago!$E$1:$E$2000,MATCH(Consolidado!B218,RegistroPago!$A$1:$A$2000,0))&lt;&gt;""),"PAGADA",IF(I218&lt;&gt;"","PENDIENTE","SIN EMITIR")),"")</f>
        <v/>
      </c>
      <c r="I218" s="10"/>
      <c r="J218" s="2"/>
      <c r="K218" s="29"/>
      <c r="L218" s="29"/>
    </row>
    <row r="219" spans="1:12" ht="15.75" x14ac:dyDescent="0.25">
      <c r="A219" s="5"/>
      <c r="B219" s="7"/>
      <c r="C219" s="5"/>
      <c r="D219" s="5"/>
      <c r="E219" s="8"/>
      <c r="F219" s="9"/>
      <c r="G219" s="5"/>
      <c r="H219" s="28" t="str">
        <f>IFERROR(IF(AND(COUNTIF(RegistroPago!$A$1:$A$2000,Consolidado!B219)&gt;0,INDEX(RegistroPago!$E$1:$E$2000,MATCH(Consolidado!B219,RegistroPago!$A$1:$A$2000,0))&lt;&gt;""),"PAGADA",IF(I219&lt;&gt;"","PENDIENTE","SIN EMITIR")),"")</f>
        <v/>
      </c>
      <c r="I219" s="10"/>
      <c r="J219" s="2"/>
      <c r="K219" s="29"/>
      <c r="L219" s="29"/>
    </row>
    <row r="220" spans="1:12" ht="15.75" x14ac:dyDescent="0.25">
      <c r="A220" s="5"/>
      <c r="B220" s="7"/>
      <c r="C220" s="5"/>
      <c r="D220" s="5"/>
      <c r="E220" s="8"/>
      <c r="F220" s="9"/>
      <c r="G220" s="5"/>
      <c r="H220" s="28" t="str">
        <f>IFERROR(IF(AND(COUNTIF(RegistroPago!$A$1:$A$2000,Consolidado!B220)&gt;0,INDEX(RegistroPago!$E$1:$E$2000,MATCH(Consolidado!B220,RegistroPago!$A$1:$A$2000,0))&lt;&gt;""),"PAGADA",IF(I220&lt;&gt;"","PENDIENTE","SIN EMITIR")),"")</f>
        <v/>
      </c>
      <c r="I220" s="10"/>
      <c r="J220" s="2"/>
      <c r="K220" s="29"/>
      <c r="L220" s="29"/>
    </row>
    <row r="221" spans="1:12" ht="15.75" x14ac:dyDescent="0.25">
      <c r="A221" s="5"/>
      <c r="B221" s="7"/>
      <c r="C221" s="5"/>
      <c r="D221" s="5"/>
      <c r="E221" s="8"/>
      <c r="F221" s="9"/>
      <c r="G221" s="5"/>
      <c r="H221" s="28" t="str">
        <f>IFERROR(IF(AND(COUNTIF(RegistroPago!$A$1:$A$2000,Consolidado!B221)&gt;0,INDEX(RegistroPago!$E$1:$E$2000,MATCH(Consolidado!B221,RegistroPago!$A$1:$A$2000,0))&lt;&gt;""),"PAGADA",IF(I221&lt;&gt;"","PENDIENTE","SIN EMITIR")),"")</f>
        <v/>
      </c>
      <c r="I221" s="10"/>
      <c r="J221" s="2"/>
      <c r="K221" s="29"/>
      <c r="L221" s="29"/>
    </row>
    <row r="222" spans="1:12" ht="15.75" x14ac:dyDescent="0.25">
      <c r="A222" s="5"/>
      <c r="B222" s="7"/>
      <c r="C222" s="5"/>
      <c r="D222" s="5"/>
      <c r="E222" s="8"/>
      <c r="F222" s="9"/>
      <c r="G222" s="5"/>
      <c r="H222" s="28" t="str">
        <f>IFERROR(IF(AND(COUNTIF(RegistroPago!$A$1:$A$2000,Consolidado!B222)&gt;0,INDEX(RegistroPago!$E$1:$E$2000,MATCH(Consolidado!B222,RegistroPago!$A$1:$A$2000,0))&lt;&gt;""),"PAGADA",IF(I222&lt;&gt;"","PENDIENTE","SIN EMITIR")),"")</f>
        <v/>
      </c>
      <c r="I222" s="10"/>
      <c r="J222" s="2"/>
      <c r="K222" s="29"/>
      <c r="L222" s="29"/>
    </row>
    <row r="223" spans="1:12" ht="15.75" x14ac:dyDescent="0.25">
      <c r="A223" s="5"/>
      <c r="B223" s="7"/>
      <c r="C223" s="5"/>
      <c r="D223" s="5"/>
      <c r="E223" s="8"/>
      <c r="F223" s="9"/>
      <c r="G223" s="5"/>
      <c r="H223" s="28" t="str">
        <f>IFERROR(IF(AND(COUNTIF(RegistroPago!$A$1:$A$2000,Consolidado!B223)&gt;0,INDEX(RegistroPago!$E$1:$E$2000,MATCH(Consolidado!B223,RegistroPago!$A$1:$A$2000,0))&lt;&gt;""),"PAGADA",IF(I223&lt;&gt;"","PENDIENTE","SIN EMITIR")),"")</f>
        <v/>
      </c>
      <c r="I223" s="10"/>
      <c r="J223" s="2"/>
      <c r="K223" s="29"/>
      <c r="L223" s="29"/>
    </row>
    <row r="224" spans="1:12" ht="15.75" x14ac:dyDescent="0.25">
      <c r="A224" s="5"/>
      <c r="B224" s="7"/>
      <c r="C224" s="5"/>
      <c r="D224" s="5"/>
      <c r="E224" s="8"/>
      <c r="F224" s="9"/>
      <c r="G224" s="5"/>
      <c r="H224" s="28" t="str">
        <f>IFERROR(IF(AND(COUNTIF(RegistroPago!$A$1:$A$2000,Consolidado!B224)&gt;0,INDEX(RegistroPago!$E$1:$E$2000,MATCH(Consolidado!B224,RegistroPago!$A$1:$A$2000,0))&lt;&gt;""),"PAGADA",IF(I224&lt;&gt;"","PENDIENTE","SIN EMITIR")),"")</f>
        <v/>
      </c>
      <c r="I224" s="10"/>
      <c r="J224" s="2"/>
      <c r="K224" s="29"/>
      <c r="L224" s="29"/>
    </row>
    <row r="225" spans="1:12" ht="15.75" x14ac:dyDescent="0.25">
      <c r="A225" s="5"/>
      <c r="B225" s="7"/>
      <c r="C225" s="5"/>
      <c r="D225" s="5"/>
      <c r="E225" s="8"/>
      <c r="F225" s="9"/>
      <c r="G225" s="5"/>
      <c r="H225" s="28" t="str">
        <f>IFERROR(IF(AND(COUNTIF(RegistroPago!$A$1:$A$2000,Consolidado!B225)&gt;0,INDEX(RegistroPago!$E$1:$E$2000,MATCH(Consolidado!B225,RegistroPago!$A$1:$A$2000,0))&lt;&gt;""),"PAGADA",IF(I225&lt;&gt;"","PENDIENTE","SIN EMITIR")),"")</f>
        <v/>
      </c>
      <c r="I225" s="10"/>
      <c r="J225" s="2"/>
      <c r="K225" s="29"/>
      <c r="L225" s="29"/>
    </row>
    <row r="226" spans="1:12" ht="15.75" x14ac:dyDescent="0.25">
      <c r="A226" s="5"/>
      <c r="B226" s="7"/>
      <c r="C226" s="5"/>
      <c r="D226" s="5"/>
      <c r="E226" s="8"/>
      <c r="F226" s="9"/>
      <c r="G226" s="5"/>
      <c r="H226" s="28" t="str">
        <f>IFERROR(IF(AND(COUNTIF(RegistroPago!$A$1:$A$2000,Consolidado!B226)&gt;0,INDEX(RegistroPago!$E$1:$E$2000,MATCH(Consolidado!B226,RegistroPago!$A$1:$A$2000,0))&lt;&gt;""),"PAGADA",IF(I226&lt;&gt;"","PENDIENTE","SIN EMITIR")),"")</f>
        <v/>
      </c>
      <c r="I226" s="10"/>
      <c r="J226" s="2"/>
      <c r="K226" s="29"/>
      <c r="L226" s="29"/>
    </row>
    <row r="227" spans="1:12" ht="15.75" x14ac:dyDescent="0.25">
      <c r="A227" s="5"/>
      <c r="B227" s="7"/>
      <c r="C227" s="5"/>
      <c r="D227" s="5"/>
      <c r="E227" s="8"/>
      <c r="F227" s="9"/>
      <c r="G227" s="5"/>
      <c r="H227" s="28" t="str">
        <f>IFERROR(IF(AND(COUNTIF(RegistroPago!$A$1:$A$2000,Consolidado!B227)&gt;0,INDEX(RegistroPago!$E$1:$E$2000,MATCH(Consolidado!B227,RegistroPago!$A$1:$A$2000,0))&lt;&gt;""),"PAGADA",IF(I227&lt;&gt;"","PENDIENTE","SIN EMITIR")),"")</f>
        <v/>
      </c>
      <c r="I227" s="10"/>
      <c r="J227" s="2"/>
      <c r="K227" s="29"/>
      <c r="L227" s="29"/>
    </row>
    <row r="228" spans="1:12" ht="15.75" x14ac:dyDescent="0.25">
      <c r="A228" s="5"/>
      <c r="B228" s="7"/>
      <c r="C228" s="5"/>
      <c r="D228" s="5"/>
      <c r="E228" s="8"/>
      <c r="F228" s="9"/>
      <c r="G228" s="5"/>
      <c r="H228" s="28" t="str">
        <f>IFERROR(IF(AND(COUNTIF(RegistroPago!$A$1:$A$2000,Consolidado!B228)&gt;0,INDEX(RegistroPago!$E$1:$E$2000,MATCH(Consolidado!B228,RegistroPago!$A$1:$A$2000,0))&lt;&gt;""),"PAGADA",IF(I228&lt;&gt;"","PENDIENTE","SIN EMITIR")),"")</f>
        <v/>
      </c>
      <c r="I228" s="10"/>
      <c r="J228" s="2"/>
      <c r="K228" s="29"/>
      <c r="L228" s="29"/>
    </row>
    <row r="229" spans="1:12" ht="15.75" x14ac:dyDescent="0.25">
      <c r="A229" s="5"/>
      <c r="B229" s="7"/>
      <c r="C229" s="5"/>
      <c r="D229" s="5"/>
      <c r="E229" s="8"/>
      <c r="F229" s="9"/>
      <c r="G229" s="5"/>
      <c r="H229" s="28" t="str">
        <f>IFERROR(IF(AND(COUNTIF(RegistroPago!$A$1:$A$2000,Consolidado!B229)&gt;0,INDEX(RegistroPago!$E$1:$E$2000,MATCH(Consolidado!B229,RegistroPago!$A$1:$A$2000,0))&lt;&gt;""),"PAGADA",IF(I229&lt;&gt;"","PENDIENTE","SIN EMITIR")),"")</f>
        <v/>
      </c>
      <c r="I229" s="10"/>
      <c r="J229" s="2"/>
      <c r="K229" s="29"/>
      <c r="L229" s="29"/>
    </row>
    <row r="230" spans="1:12" ht="15.75" x14ac:dyDescent="0.25">
      <c r="A230" s="5"/>
      <c r="B230" s="7"/>
      <c r="C230" s="5"/>
      <c r="D230" s="5"/>
      <c r="E230" s="8"/>
      <c r="F230" s="9"/>
      <c r="G230" s="5"/>
      <c r="H230" s="28" t="str">
        <f>IFERROR(IF(AND(COUNTIF(RegistroPago!$A$1:$A$2000,Consolidado!B230)&gt;0,INDEX(RegistroPago!$E$1:$E$2000,MATCH(Consolidado!B230,RegistroPago!$A$1:$A$2000,0))&lt;&gt;""),"PAGADA",IF(I230&lt;&gt;"","PENDIENTE","SIN EMITIR")),"")</f>
        <v/>
      </c>
      <c r="I230" s="10"/>
      <c r="J230" s="2"/>
      <c r="K230" s="29"/>
      <c r="L230" s="29"/>
    </row>
    <row r="231" spans="1:12" ht="15.75" x14ac:dyDescent="0.25">
      <c r="A231" s="5"/>
      <c r="B231" s="7"/>
      <c r="C231" s="5"/>
      <c r="D231" s="5"/>
      <c r="E231" s="8"/>
      <c r="F231" s="9"/>
      <c r="G231" s="5"/>
      <c r="H231" s="28" t="str">
        <f>IFERROR(IF(AND(COUNTIF(RegistroPago!$A$1:$A$2000,Consolidado!B231)&gt;0,INDEX(RegistroPago!$E$1:$E$2000,MATCH(Consolidado!B231,RegistroPago!$A$1:$A$2000,0))&lt;&gt;""),"PAGADA",IF(I231&lt;&gt;"","PENDIENTE","SIN EMITIR")),"")</f>
        <v/>
      </c>
      <c r="I231" s="10"/>
      <c r="J231" s="2"/>
      <c r="K231" s="29"/>
      <c r="L231" s="29"/>
    </row>
    <row r="232" spans="1:12" ht="15.75" x14ac:dyDescent="0.25">
      <c r="A232" s="5"/>
      <c r="B232" s="7"/>
      <c r="C232" s="5"/>
      <c r="D232" s="5"/>
      <c r="E232" s="8"/>
      <c r="F232" s="9"/>
      <c r="G232" s="5"/>
      <c r="H232" s="28" t="str">
        <f>IFERROR(IF(AND(COUNTIF(RegistroPago!$A$1:$A$2000,Consolidado!B232)&gt;0,INDEX(RegistroPago!$E$1:$E$2000,MATCH(Consolidado!B232,RegistroPago!$A$1:$A$2000,0))&lt;&gt;""),"PAGADA",IF(I232&lt;&gt;"","PENDIENTE","SIN EMITIR")),"")</f>
        <v/>
      </c>
      <c r="I232" s="10"/>
      <c r="J232" s="2"/>
      <c r="K232" s="29"/>
      <c r="L232" s="29"/>
    </row>
    <row r="233" spans="1:12" ht="15.75" x14ac:dyDescent="0.25">
      <c r="A233" s="5"/>
      <c r="B233" s="7"/>
      <c r="C233" s="5"/>
      <c r="D233" s="5"/>
      <c r="E233" s="8"/>
      <c r="F233" s="9"/>
      <c r="G233" s="5"/>
      <c r="H233" s="28" t="str">
        <f>IFERROR(IF(AND(COUNTIF(RegistroPago!$A$1:$A$2000,Consolidado!B233)&gt;0,INDEX(RegistroPago!$E$1:$E$2000,MATCH(Consolidado!B233,RegistroPago!$A$1:$A$2000,0))&lt;&gt;""),"PAGADA",IF(I233&lt;&gt;"","PENDIENTE","SIN EMITIR")),"")</f>
        <v/>
      </c>
      <c r="I233" s="10"/>
      <c r="J233" s="2"/>
      <c r="K233" s="29"/>
      <c r="L233" s="29"/>
    </row>
    <row r="234" spans="1:12" ht="15.75" x14ac:dyDescent="0.25">
      <c r="A234" s="5"/>
      <c r="B234" s="7"/>
      <c r="C234" s="5"/>
      <c r="D234" s="5"/>
      <c r="E234" s="8"/>
      <c r="F234" s="9"/>
      <c r="G234" s="5"/>
      <c r="H234" s="28" t="str">
        <f>IFERROR(IF(AND(COUNTIF(RegistroPago!$A$1:$A$2000,Consolidado!B234)&gt;0,INDEX(RegistroPago!$E$1:$E$2000,MATCH(Consolidado!B234,RegistroPago!$A$1:$A$2000,0))&lt;&gt;""),"PAGADA",IF(I234&lt;&gt;"","PENDIENTE","SIN EMITIR")),"")</f>
        <v/>
      </c>
      <c r="I234" s="10"/>
      <c r="J234" s="2"/>
      <c r="K234" s="29"/>
      <c r="L234" s="29"/>
    </row>
    <row r="235" spans="1:12" ht="15.75" x14ac:dyDescent="0.25">
      <c r="A235" s="5"/>
      <c r="B235" s="7"/>
      <c r="C235" s="5"/>
      <c r="D235" s="5"/>
      <c r="E235" s="8"/>
      <c r="F235" s="9"/>
      <c r="G235" s="5"/>
      <c r="H235" s="28" t="str">
        <f>IFERROR(IF(AND(COUNTIF(RegistroPago!$A$1:$A$2000,Consolidado!B235)&gt;0,INDEX(RegistroPago!$E$1:$E$2000,MATCH(Consolidado!B235,RegistroPago!$A$1:$A$2000,0))&lt;&gt;""),"PAGADA",IF(I235&lt;&gt;"","PENDIENTE","SIN EMITIR")),"")</f>
        <v/>
      </c>
      <c r="I235" s="10"/>
      <c r="J235" s="2"/>
      <c r="K235" s="29"/>
      <c r="L235" s="29"/>
    </row>
    <row r="236" spans="1:12" ht="15.75" x14ac:dyDescent="0.25">
      <c r="A236" s="5"/>
      <c r="B236" s="7"/>
      <c r="C236" s="5"/>
      <c r="D236" s="5"/>
      <c r="E236" s="8"/>
      <c r="F236" s="9"/>
      <c r="G236" s="5"/>
      <c r="H236" s="28" t="str">
        <f>IFERROR(IF(AND(COUNTIF(RegistroPago!$A$1:$A$2000,Consolidado!B236)&gt;0,INDEX(RegistroPago!$E$1:$E$2000,MATCH(Consolidado!B236,RegistroPago!$A$1:$A$2000,0))&lt;&gt;""),"PAGADA",IF(I236&lt;&gt;"","PENDIENTE","SIN EMITIR")),"")</f>
        <v/>
      </c>
      <c r="I236" s="10"/>
      <c r="J236" s="2"/>
      <c r="K236" s="29"/>
      <c r="L236" s="29"/>
    </row>
    <row r="237" spans="1:12" ht="15.75" x14ac:dyDescent="0.25">
      <c r="A237" s="5"/>
      <c r="B237" s="7"/>
      <c r="C237" s="5"/>
      <c r="D237" s="5"/>
      <c r="E237" s="8"/>
      <c r="F237" s="9"/>
      <c r="G237" s="5"/>
      <c r="H237" s="28" t="str">
        <f>IFERROR(IF(AND(COUNTIF(RegistroPago!$A$1:$A$2000,Consolidado!B237)&gt;0,INDEX(RegistroPago!$E$1:$E$2000,MATCH(Consolidado!B237,RegistroPago!$A$1:$A$2000,0))&lt;&gt;""),"PAGADA",IF(I237&lt;&gt;"","PENDIENTE","SIN EMITIR")),"")</f>
        <v/>
      </c>
      <c r="I237" s="10"/>
      <c r="J237" s="2"/>
      <c r="K237" s="29"/>
      <c r="L237" s="29"/>
    </row>
    <row r="238" spans="1:12" ht="15.75" x14ac:dyDescent="0.25">
      <c r="A238" s="5"/>
      <c r="B238" s="7"/>
      <c r="C238" s="5"/>
      <c r="D238" s="5"/>
      <c r="E238" s="8"/>
      <c r="F238" s="9"/>
      <c r="G238" s="5"/>
      <c r="H238" s="28" t="str">
        <f>IFERROR(IF(AND(COUNTIF(RegistroPago!$A$1:$A$2000,Consolidado!B238)&gt;0,INDEX(RegistroPago!$E$1:$E$2000,MATCH(Consolidado!B238,RegistroPago!$A$1:$A$2000,0))&lt;&gt;""),"PAGADA",IF(I238&lt;&gt;"","PENDIENTE","SIN EMITIR")),"")</f>
        <v/>
      </c>
      <c r="I238" s="10"/>
      <c r="J238" s="2"/>
      <c r="K238" s="29"/>
      <c r="L238" s="29"/>
    </row>
    <row r="239" spans="1:12" ht="15.75" x14ac:dyDescent="0.25">
      <c r="A239" s="5"/>
      <c r="B239" s="7"/>
      <c r="C239" s="5"/>
      <c r="D239" s="5"/>
      <c r="E239" s="8"/>
      <c r="F239" s="9"/>
      <c r="G239" s="5"/>
      <c r="H239" s="28" t="str">
        <f>IFERROR(IF(AND(COUNTIF(RegistroPago!$A$1:$A$2000,Consolidado!B239)&gt;0,INDEX(RegistroPago!$E$1:$E$2000,MATCH(Consolidado!B239,RegistroPago!$A$1:$A$2000,0))&lt;&gt;""),"PAGADA",IF(I239&lt;&gt;"","PENDIENTE","SIN EMITIR")),"")</f>
        <v/>
      </c>
      <c r="I239" s="10"/>
      <c r="J239" s="2"/>
      <c r="K239" s="29"/>
      <c r="L239" s="29"/>
    </row>
    <row r="240" spans="1:12" ht="15.75" x14ac:dyDescent="0.25">
      <c r="A240" s="5"/>
      <c r="B240" s="7"/>
      <c r="C240" s="5"/>
      <c r="D240" s="5"/>
      <c r="E240" s="8"/>
      <c r="F240" s="9"/>
      <c r="G240" s="5"/>
      <c r="H240" s="28" t="str">
        <f>IFERROR(IF(AND(COUNTIF(RegistroPago!$A$1:$A$2000,Consolidado!B240)&gt;0,INDEX(RegistroPago!$E$1:$E$2000,MATCH(Consolidado!B240,RegistroPago!$A$1:$A$2000,0))&lt;&gt;""),"PAGADA",IF(I240&lt;&gt;"","PENDIENTE","SIN EMITIR")),"")</f>
        <v/>
      </c>
      <c r="I240" s="10"/>
      <c r="J240" s="2"/>
      <c r="K240" s="29"/>
      <c r="L240" s="29"/>
    </row>
    <row r="241" spans="1:12" ht="15.75" x14ac:dyDescent="0.25">
      <c r="A241" s="5"/>
      <c r="B241" s="7"/>
      <c r="C241" s="5"/>
      <c r="D241" s="5"/>
      <c r="E241" s="8"/>
      <c r="F241" s="9"/>
      <c r="G241" s="5"/>
      <c r="H241" s="28" t="str">
        <f>IFERROR(IF(AND(COUNTIF(RegistroPago!$A$1:$A$2000,Consolidado!B241)&gt;0,INDEX(RegistroPago!$E$1:$E$2000,MATCH(Consolidado!B241,RegistroPago!$A$1:$A$2000,0))&lt;&gt;""),"PAGADA",IF(I241&lt;&gt;"","PENDIENTE","SIN EMITIR")),"")</f>
        <v/>
      </c>
      <c r="I241" s="10"/>
      <c r="J241" s="2"/>
      <c r="K241" s="29"/>
      <c r="L241" s="29"/>
    </row>
    <row r="242" spans="1:12" ht="15.75" x14ac:dyDescent="0.25">
      <c r="A242" s="5"/>
      <c r="B242" s="7"/>
      <c r="C242" s="5"/>
      <c r="D242" s="5"/>
      <c r="E242" s="8"/>
      <c r="F242" s="9"/>
      <c r="G242" s="5"/>
      <c r="H242" s="28" t="str">
        <f>IFERROR(IF(AND(COUNTIF(RegistroPago!$A$1:$A$2000,Consolidado!B242)&gt;0,INDEX(RegistroPago!$E$1:$E$2000,MATCH(Consolidado!B242,RegistroPago!$A$1:$A$2000,0))&lt;&gt;""),"PAGADA",IF(I242&lt;&gt;"","PENDIENTE","SIN EMITIR")),"")</f>
        <v/>
      </c>
      <c r="I242" s="10"/>
      <c r="J242" s="2"/>
      <c r="K242" s="29"/>
      <c r="L242" s="29"/>
    </row>
    <row r="243" spans="1:12" ht="15.75" x14ac:dyDescent="0.25">
      <c r="A243" s="5"/>
      <c r="B243" s="7"/>
      <c r="C243" s="5"/>
      <c r="D243" s="5"/>
      <c r="E243" s="8"/>
      <c r="F243" s="9"/>
      <c r="G243" s="5"/>
      <c r="H243" s="28" t="str">
        <f>IFERROR(IF(AND(COUNTIF(RegistroPago!$A$1:$A$2000,Consolidado!B243)&gt;0,INDEX(RegistroPago!$E$1:$E$2000,MATCH(Consolidado!B243,RegistroPago!$A$1:$A$2000,0))&lt;&gt;""),"PAGADA",IF(I243&lt;&gt;"","PENDIENTE","SIN EMITIR")),"")</f>
        <v/>
      </c>
      <c r="I243" s="10"/>
      <c r="J243" s="2"/>
      <c r="K243" s="29"/>
      <c r="L243" s="29"/>
    </row>
    <row r="244" spans="1:12" ht="15.75" x14ac:dyDescent="0.25">
      <c r="A244" s="5"/>
      <c r="B244" s="7"/>
      <c r="C244" s="5"/>
      <c r="D244" s="5"/>
      <c r="E244" s="8"/>
      <c r="F244" s="9"/>
      <c r="G244" s="5"/>
      <c r="H244" s="28" t="str">
        <f>IFERROR(IF(AND(COUNTIF(RegistroPago!$A$1:$A$2000,Consolidado!B244)&gt;0,INDEX(RegistroPago!$E$1:$E$2000,MATCH(Consolidado!B244,RegistroPago!$A$1:$A$2000,0))&lt;&gt;""),"PAGADA",IF(I244&lt;&gt;"","PENDIENTE","SIN EMITIR")),"")</f>
        <v/>
      </c>
      <c r="I244" s="10"/>
      <c r="J244" s="2"/>
      <c r="K244" s="29"/>
      <c r="L244" s="29"/>
    </row>
    <row r="245" spans="1:12" ht="15.75" x14ac:dyDescent="0.25">
      <c r="A245" s="5"/>
      <c r="B245" s="7"/>
      <c r="C245" s="5"/>
      <c r="D245" s="5"/>
      <c r="E245" s="8"/>
      <c r="F245" s="9"/>
      <c r="G245" s="5"/>
      <c r="H245" s="28" t="str">
        <f>IFERROR(IF(AND(COUNTIF(RegistroPago!$A$1:$A$2000,Consolidado!B245)&gt;0,INDEX(RegistroPago!$E$1:$E$2000,MATCH(Consolidado!B245,RegistroPago!$A$1:$A$2000,0))&lt;&gt;""),"PAGADA",IF(I245&lt;&gt;"","PENDIENTE","SIN EMITIR")),"")</f>
        <v/>
      </c>
      <c r="I245" s="10"/>
      <c r="J245" s="2"/>
      <c r="K245" s="29"/>
      <c r="L245" s="29"/>
    </row>
    <row r="246" spans="1:12" ht="15.75" x14ac:dyDescent="0.25">
      <c r="A246" s="5"/>
      <c r="B246" s="7"/>
      <c r="C246" s="5"/>
      <c r="D246" s="5"/>
      <c r="E246" s="8"/>
      <c r="F246" s="9"/>
      <c r="G246" s="5"/>
      <c r="H246" s="28" t="str">
        <f>IFERROR(IF(AND(COUNTIF(RegistroPago!$A$1:$A$2000,Consolidado!B246)&gt;0,INDEX(RegistroPago!$E$1:$E$2000,MATCH(Consolidado!B246,RegistroPago!$A$1:$A$2000,0))&lt;&gt;""),"PAGADA",IF(I246&lt;&gt;"","PENDIENTE","SIN EMITIR")),"")</f>
        <v/>
      </c>
      <c r="I246" s="10"/>
      <c r="J246" s="2"/>
      <c r="K246" s="29"/>
      <c r="L246" s="29"/>
    </row>
    <row r="247" spans="1:12" ht="15.75" x14ac:dyDescent="0.25">
      <c r="A247" s="5"/>
      <c r="B247" s="7"/>
      <c r="C247" s="5"/>
      <c r="D247" s="5"/>
      <c r="E247" s="8"/>
      <c r="F247" s="9"/>
      <c r="G247" s="5"/>
      <c r="H247" s="28" t="str">
        <f>IFERROR(IF(AND(COUNTIF(RegistroPago!$A$1:$A$2000,Consolidado!B247)&gt;0,INDEX(RegistroPago!$E$1:$E$2000,MATCH(Consolidado!B247,RegistroPago!$A$1:$A$2000,0))&lt;&gt;""),"PAGADA",IF(I247&lt;&gt;"","PENDIENTE","SIN EMITIR")),"")</f>
        <v/>
      </c>
      <c r="I247" s="10"/>
      <c r="J247" s="2"/>
      <c r="K247" s="29"/>
      <c r="L247" s="29"/>
    </row>
    <row r="248" spans="1:12" ht="15.75" x14ac:dyDescent="0.25">
      <c r="A248" s="5"/>
      <c r="B248" s="7"/>
      <c r="C248" s="5"/>
      <c r="D248" s="5"/>
      <c r="E248" s="8"/>
      <c r="F248" s="9"/>
      <c r="G248" s="5"/>
      <c r="H248" s="28" t="str">
        <f>IFERROR(IF(AND(COUNTIF(RegistroPago!$A$1:$A$2000,Consolidado!B248)&gt;0,INDEX(RegistroPago!$E$1:$E$2000,MATCH(Consolidado!B248,RegistroPago!$A$1:$A$2000,0))&lt;&gt;""),"PAGADA",IF(I248&lt;&gt;"","PENDIENTE","SIN EMITIR")),"")</f>
        <v/>
      </c>
      <c r="I248" s="10"/>
      <c r="J248" s="2"/>
      <c r="K248" s="29"/>
      <c r="L248" s="29"/>
    </row>
    <row r="249" spans="1:12" ht="15.75" x14ac:dyDescent="0.25">
      <c r="A249" s="5"/>
      <c r="B249" s="7"/>
      <c r="C249" s="5"/>
      <c r="D249" s="5"/>
      <c r="E249" s="8"/>
      <c r="F249" s="9"/>
      <c r="G249" s="5"/>
      <c r="H249" s="28" t="str">
        <f>IFERROR(IF(AND(COUNTIF(RegistroPago!$A$1:$A$2000,Consolidado!B249)&gt;0,INDEX(RegistroPago!$E$1:$E$2000,MATCH(Consolidado!B249,RegistroPago!$A$1:$A$2000,0))&lt;&gt;""),"PAGADA",IF(I249&lt;&gt;"","PENDIENTE","SIN EMITIR")),"")</f>
        <v/>
      </c>
      <c r="I249" s="10"/>
      <c r="J249" s="2"/>
      <c r="K249" s="29"/>
      <c r="L249" s="29"/>
    </row>
    <row r="250" spans="1:12" ht="15.75" x14ac:dyDescent="0.25">
      <c r="A250" s="5"/>
      <c r="B250" s="7"/>
      <c r="C250" s="5"/>
      <c r="D250" s="5"/>
      <c r="E250" s="8"/>
      <c r="F250" s="9"/>
      <c r="G250" s="5"/>
      <c r="H250" s="28" t="str">
        <f>IFERROR(IF(AND(COUNTIF(RegistroPago!$A$1:$A$2000,Consolidado!B250)&gt;0,INDEX(RegistroPago!$E$1:$E$2000,MATCH(Consolidado!B250,RegistroPago!$A$1:$A$2000,0))&lt;&gt;""),"PAGADA",IF(I250&lt;&gt;"","PENDIENTE","SIN EMITIR")),"")</f>
        <v/>
      </c>
      <c r="I250" s="10"/>
      <c r="J250" s="2"/>
      <c r="K250" s="29"/>
      <c r="L250" s="29"/>
    </row>
    <row r="251" spans="1:12" ht="15.75" x14ac:dyDescent="0.25">
      <c r="A251" s="5"/>
      <c r="B251" s="7"/>
      <c r="C251" s="5"/>
      <c r="D251" s="5"/>
      <c r="E251" s="8"/>
      <c r="F251" s="9"/>
      <c r="G251" s="5"/>
      <c r="H251" s="28" t="str">
        <f>IFERROR(IF(AND(COUNTIF(RegistroPago!$A$1:$A$2000,Consolidado!B251)&gt;0,INDEX(RegistroPago!$E$1:$E$2000,MATCH(Consolidado!B251,RegistroPago!$A$1:$A$2000,0))&lt;&gt;""),"PAGADA",IF(I251&lt;&gt;"","PENDIENTE","SIN EMITIR")),"")</f>
        <v/>
      </c>
      <c r="I251" s="10"/>
      <c r="J251" s="2"/>
      <c r="K251" s="29"/>
      <c r="L251" s="29"/>
    </row>
    <row r="252" spans="1:12" ht="15.75" x14ac:dyDescent="0.25">
      <c r="A252" s="5"/>
      <c r="B252" s="7"/>
      <c r="C252" s="5"/>
      <c r="D252" s="5"/>
      <c r="E252" s="8"/>
      <c r="F252" s="9"/>
      <c r="G252" s="5"/>
      <c r="H252" s="28" t="str">
        <f>IFERROR(IF(AND(COUNTIF(RegistroPago!$A$1:$A$2000,Consolidado!B252)&gt;0,INDEX(RegistroPago!$E$1:$E$2000,MATCH(Consolidado!B252,RegistroPago!$A$1:$A$2000,0))&lt;&gt;""),"PAGADA",IF(I252&lt;&gt;"","PENDIENTE","SIN EMITIR")),"")</f>
        <v/>
      </c>
      <c r="I252" s="10"/>
      <c r="J252" s="2"/>
      <c r="K252" s="29"/>
      <c r="L252" s="29"/>
    </row>
    <row r="253" spans="1:12" ht="15.75" x14ac:dyDescent="0.25">
      <c r="A253" s="5"/>
      <c r="B253" s="7"/>
      <c r="C253" s="5"/>
      <c r="D253" s="5"/>
      <c r="E253" s="8"/>
      <c r="F253" s="9"/>
      <c r="G253" s="5"/>
      <c r="H253" s="28" t="str">
        <f>IFERROR(IF(AND(COUNTIF(RegistroPago!$A$1:$A$2000,Consolidado!B253)&gt;0,INDEX(RegistroPago!$E$1:$E$2000,MATCH(Consolidado!B253,RegistroPago!$A$1:$A$2000,0))&lt;&gt;""),"PAGADA",IF(I253&lt;&gt;"","PENDIENTE","SIN EMITIR")),"")</f>
        <v/>
      </c>
      <c r="I253" s="10"/>
      <c r="J253" s="2"/>
      <c r="K253" s="29"/>
      <c r="L253" s="29"/>
    </row>
    <row r="254" spans="1:12" ht="15.75" x14ac:dyDescent="0.25">
      <c r="A254" s="5"/>
      <c r="B254" s="7"/>
      <c r="C254" s="5"/>
      <c r="D254" s="5"/>
      <c r="E254" s="8"/>
      <c r="F254" s="9"/>
      <c r="G254" s="5"/>
      <c r="H254" s="28" t="str">
        <f>IFERROR(IF(AND(COUNTIF(RegistroPago!$A$1:$A$2000,Consolidado!B254)&gt;0,INDEX(RegistroPago!$E$1:$E$2000,MATCH(Consolidado!B254,RegistroPago!$A$1:$A$2000,0))&lt;&gt;""),"PAGADA",IF(I254&lt;&gt;"","PENDIENTE","SIN EMITIR")),"")</f>
        <v/>
      </c>
      <c r="I254" s="10"/>
      <c r="J254" s="2"/>
      <c r="K254" s="29"/>
      <c r="L254" s="29"/>
    </row>
    <row r="255" spans="1:12" ht="15.75" x14ac:dyDescent="0.25">
      <c r="A255" s="5"/>
      <c r="B255" s="7"/>
      <c r="C255" s="5"/>
      <c r="D255" s="5"/>
      <c r="E255" s="8"/>
      <c r="F255" s="9"/>
      <c r="G255" s="5"/>
      <c r="H255" s="28" t="str">
        <f>IFERROR(IF(AND(COUNTIF(RegistroPago!$A$1:$A$2000,Consolidado!B255)&gt;0,INDEX(RegistroPago!$E$1:$E$2000,MATCH(Consolidado!B255,RegistroPago!$A$1:$A$2000,0))&lt;&gt;""),"PAGADA",IF(I255&lt;&gt;"","PENDIENTE","SIN EMITIR")),"")</f>
        <v/>
      </c>
      <c r="I255" s="10"/>
      <c r="J255" s="2"/>
      <c r="K255" s="29"/>
      <c r="L255" s="29"/>
    </row>
    <row r="256" spans="1:12" ht="15.75" x14ac:dyDescent="0.25">
      <c r="A256" s="5"/>
      <c r="B256" s="7"/>
      <c r="C256" s="5"/>
      <c r="D256" s="5"/>
      <c r="E256" s="8"/>
      <c r="F256" s="9"/>
      <c r="G256" s="5"/>
      <c r="H256" s="28" t="str">
        <f>IFERROR(IF(AND(COUNTIF(RegistroPago!$A$1:$A$2000,Consolidado!B256)&gt;0,INDEX(RegistroPago!$E$1:$E$2000,MATCH(Consolidado!B256,RegistroPago!$A$1:$A$2000,0))&lt;&gt;""),"PAGADA",IF(I256&lt;&gt;"","PENDIENTE","SIN EMITIR")),"")</f>
        <v/>
      </c>
      <c r="I256" s="10"/>
      <c r="J256" s="2"/>
      <c r="K256" s="29"/>
      <c r="L256" s="29"/>
    </row>
    <row r="257" spans="1:12" ht="15.75" x14ac:dyDescent="0.25">
      <c r="A257" s="5"/>
      <c r="B257" s="7"/>
      <c r="C257" s="5"/>
      <c r="D257" s="5"/>
      <c r="E257" s="8"/>
      <c r="F257" s="9"/>
      <c r="G257" s="5"/>
      <c r="H257" s="28" t="str">
        <f>IFERROR(IF(AND(COUNTIF(RegistroPago!$A$1:$A$2000,Consolidado!B257)&gt;0,INDEX(RegistroPago!$E$1:$E$2000,MATCH(Consolidado!B257,RegistroPago!$A$1:$A$2000,0))&lt;&gt;""),"PAGADA",IF(I257&lt;&gt;"","PENDIENTE","SIN EMITIR")),"")</f>
        <v/>
      </c>
      <c r="I257" s="10"/>
      <c r="J257" s="2"/>
      <c r="K257" s="29"/>
      <c r="L257" s="29"/>
    </row>
    <row r="258" spans="1:12" ht="15.75" x14ac:dyDescent="0.25">
      <c r="A258" s="5"/>
      <c r="B258" s="7"/>
      <c r="C258" s="5"/>
      <c r="D258" s="5"/>
      <c r="E258" s="8"/>
      <c r="F258" s="9"/>
      <c r="G258" s="5"/>
      <c r="H258" s="28" t="str">
        <f>IFERROR(IF(AND(COUNTIF(RegistroPago!$A$1:$A$2000,Consolidado!B258)&gt;0,INDEX(RegistroPago!$E$1:$E$2000,MATCH(Consolidado!B258,RegistroPago!$A$1:$A$2000,0))&lt;&gt;""),"PAGADA",IF(I258&lt;&gt;"","PENDIENTE","SIN EMITIR")),"")</f>
        <v/>
      </c>
      <c r="I258" s="10"/>
      <c r="J258" s="2"/>
      <c r="K258" s="29"/>
      <c r="L258" s="29"/>
    </row>
    <row r="259" spans="1:12" ht="15.75" x14ac:dyDescent="0.25">
      <c r="A259" s="5"/>
      <c r="B259" s="7"/>
      <c r="C259" s="5"/>
      <c r="D259" s="5"/>
      <c r="E259" s="8"/>
      <c r="F259" s="9"/>
      <c r="G259" s="5"/>
      <c r="H259" s="28" t="str">
        <f>IFERROR(IF(AND(COUNTIF(RegistroPago!$A$1:$A$2000,Consolidado!B259)&gt;0,INDEX(RegistroPago!$E$1:$E$2000,MATCH(Consolidado!B259,RegistroPago!$A$1:$A$2000,0))&lt;&gt;""),"PAGADA",IF(I259&lt;&gt;"","PENDIENTE","SIN EMITIR")),"")</f>
        <v/>
      </c>
      <c r="I259" s="10"/>
      <c r="J259" s="2"/>
      <c r="K259" s="29"/>
      <c r="L259" s="29"/>
    </row>
    <row r="260" spans="1:12" ht="15.75" x14ac:dyDescent="0.25">
      <c r="A260" s="5"/>
      <c r="B260" s="7"/>
      <c r="C260" s="5"/>
      <c r="D260" s="5"/>
      <c r="E260" s="8"/>
      <c r="F260" s="9"/>
      <c r="G260" s="5"/>
      <c r="H260" s="28" t="str">
        <f>IFERROR(IF(AND(COUNTIF(RegistroPago!$A$1:$A$2000,Consolidado!B260)&gt;0,INDEX(RegistroPago!$E$1:$E$2000,MATCH(Consolidado!B260,RegistroPago!$A$1:$A$2000,0))&lt;&gt;""),"PAGADA",IF(I260&lt;&gt;"","PENDIENTE","SIN EMITIR")),"")</f>
        <v/>
      </c>
      <c r="I260" s="10"/>
      <c r="J260" s="2"/>
      <c r="K260" s="29"/>
      <c r="L260" s="29"/>
    </row>
    <row r="261" spans="1:12" ht="15.75" x14ac:dyDescent="0.25">
      <c r="A261" s="5"/>
      <c r="B261" s="7"/>
      <c r="C261" s="5"/>
      <c r="D261" s="5"/>
      <c r="E261" s="8"/>
      <c r="F261" s="9"/>
      <c r="G261" s="5"/>
      <c r="H261" s="28" t="str">
        <f>IFERROR(IF(AND(COUNTIF(RegistroPago!$A$1:$A$2000,Consolidado!B261)&gt;0,INDEX(RegistroPago!$E$1:$E$2000,MATCH(Consolidado!B261,RegistroPago!$A$1:$A$2000,0))&lt;&gt;""),"PAGADA",IF(I261&lt;&gt;"","PENDIENTE","SIN EMITIR")),"")</f>
        <v/>
      </c>
      <c r="I261" s="10"/>
      <c r="J261" s="2"/>
      <c r="K261" s="29"/>
      <c r="L261" s="29"/>
    </row>
    <row r="262" spans="1:12" ht="15.75" x14ac:dyDescent="0.25">
      <c r="A262" s="5"/>
      <c r="B262" s="7"/>
      <c r="C262" s="5"/>
      <c r="D262" s="5"/>
      <c r="E262" s="8"/>
      <c r="F262" s="9"/>
      <c r="G262" s="5"/>
      <c r="H262" s="28" t="str">
        <f>IFERROR(IF(AND(COUNTIF(RegistroPago!$A$1:$A$2000,Consolidado!B262)&gt;0,INDEX(RegistroPago!$E$1:$E$2000,MATCH(Consolidado!B262,RegistroPago!$A$1:$A$2000,0))&lt;&gt;""),"PAGADA",IF(I262&lt;&gt;"","PENDIENTE","SIN EMITIR")),"")</f>
        <v/>
      </c>
      <c r="I262" s="10"/>
      <c r="J262" s="2"/>
      <c r="K262" s="29"/>
      <c r="L262" s="29"/>
    </row>
    <row r="263" spans="1:12" ht="15.75" x14ac:dyDescent="0.25">
      <c r="A263" s="5"/>
      <c r="B263" s="7"/>
      <c r="C263" s="5"/>
      <c r="D263" s="5"/>
      <c r="E263" s="8"/>
      <c r="F263" s="9"/>
      <c r="G263" s="5"/>
      <c r="H263" s="28" t="str">
        <f>IFERROR(IF(AND(COUNTIF(RegistroPago!$A$1:$A$2000,Consolidado!B263)&gt;0,INDEX(RegistroPago!$E$1:$E$2000,MATCH(Consolidado!B263,RegistroPago!$A$1:$A$2000,0))&lt;&gt;""),"PAGADA",IF(I263&lt;&gt;"","PENDIENTE","SIN EMITIR")),"")</f>
        <v/>
      </c>
      <c r="I263" s="10"/>
      <c r="J263" s="2"/>
      <c r="K263" s="29"/>
      <c r="L263" s="29"/>
    </row>
    <row r="264" spans="1:12" ht="15.75" x14ac:dyDescent="0.25">
      <c r="A264" s="5"/>
      <c r="B264" s="7"/>
      <c r="C264" s="5"/>
      <c r="D264" s="5"/>
      <c r="E264" s="8"/>
      <c r="F264" s="9"/>
      <c r="G264" s="5"/>
      <c r="H264" s="28" t="str">
        <f>IFERROR(IF(AND(COUNTIF(RegistroPago!$A$1:$A$2000,Consolidado!B264)&gt;0,INDEX(RegistroPago!$E$1:$E$2000,MATCH(Consolidado!B264,RegistroPago!$A$1:$A$2000,0))&lt;&gt;""),"PAGADA",IF(I264&lt;&gt;"","PENDIENTE","SIN EMITIR")),"")</f>
        <v/>
      </c>
      <c r="I264" s="10"/>
      <c r="J264" s="2"/>
      <c r="K264" s="29"/>
      <c r="L264" s="29"/>
    </row>
    <row r="265" spans="1:12" ht="15.75" x14ac:dyDescent="0.25">
      <c r="A265" s="5"/>
      <c r="B265" s="7"/>
      <c r="C265" s="5"/>
      <c r="D265" s="5"/>
      <c r="E265" s="8"/>
      <c r="F265" s="9"/>
      <c r="G265" s="5"/>
      <c r="H265" s="28" t="str">
        <f>IFERROR(IF(AND(COUNTIF(RegistroPago!$A$1:$A$2000,Consolidado!B265)&gt;0,INDEX(RegistroPago!$E$1:$E$2000,MATCH(Consolidado!B265,RegistroPago!$A$1:$A$2000,0))&lt;&gt;""),"PAGADA",IF(I265&lt;&gt;"","PENDIENTE","SIN EMITIR")),"")</f>
        <v/>
      </c>
      <c r="I265" s="10"/>
      <c r="J265" s="2"/>
      <c r="K265" s="29"/>
      <c r="L265" s="29"/>
    </row>
    <row r="266" spans="1:12" ht="15.75" x14ac:dyDescent="0.25">
      <c r="A266" s="5"/>
      <c r="B266" s="7"/>
      <c r="C266" s="5"/>
      <c r="D266" s="5"/>
      <c r="E266" s="8"/>
      <c r="F266" s="9"/>
      <c r="G266" s="5"/>
      <c r="H266" s="28" t="str">
        <f>IFERROR(IF(AND(COUNTIF(RegistroPago!$A$1:$A$2000,Consolidado!B266)&gt;0,INDEX(RegistroPago!$E$1:$E$2000,MATCH(Consolidado!B266,RegistroPago!$A$1:$A$2000,0))&lt;&gt;""),"PAGADA",IF(I266&lt;&gt;"","PENDIENTE","SIN EMITIR")),"")</f>
        <v/>
      </c>
      <c r="I266" s="10"/>
      <c r="J266" s="2"/>
      <c r="K266" s="29"/>
      <c r="L266" s="29"/>
    </row>
    <row r="267" spans="1:12" ht="15.75" x14ac:dyDescent="0.25">
      <c r="A267" s="5"/>
      <c r="B267" s="7"/>
      <c r="C267" s="5"/>
      <c r="D267" s="5"/>
      <c r="E267" s="8"/>
      <c r="F267" s="9"/>
      <c r="G267" s="5"/>
      <c r="H267" s="28" t="str">
        <f>IFERROR(IF(AND(COUNTIF(RegistroPago!$A$1:$A$2000,Consolidado!B267)&gt;0,INDEX(RegistroPago!$E$1:$E$2000,MATCH(Consolidado!B267,RegistroPago!$A$1:$A$2000,0))&lt;&gt;""),"PAGADA",IF(I267&lt;&gt;"","PENDIENTE","SIN EMITIR")),"")</f>
        <v/>
      </c>
      <c r="I267" s="10"/>
      <c r="J267" s="2"/>
      <c r="K267" s="29"/>
      <c r="L267" s="29"/>
    </row>
    <row r="268" spans="1:12" ht="15.75" x14ac:dyDescent="0.25">
      <c r="A268" s="5"/>
      <c r="B268" s="7"/>
      <c r="C268" s="5"/>
      <c r="D268" s="5"/>
      <c r="E268" s="8"/>
      <c r="F268" s="9"/>
      <c r="G268" s="5"/>
      <c r="H268" s="28" t="str">
        <f>IFERROR(IF(AND(COUNTIF(RegistroPago!$A$1:$A$2000,Consolidado!B268)&gt;0,INDEX(RegistroPago!$E$1:$E$2000,MATCH(Consolidado!B268,RegistroPago!$A$1:$A$2000,0))&lt;&gt;""),"PAGADA",IF(I268&lt;&gt;"","PENDIENTE","SIN EMITIR")),"")</f>
        <v/>
      </c>
      <c r="I268" s="10"/>
      <c r="J268" s="2"/>
      <c r="K268" s="29"/>
      <c r="L268" s="29"/>
    </row>
    <row r="269" spans="1:12" ht="15.75" x14ac:dyDescent="0.25">
      <c r="A269" s="5"/>
      <c r="B269" s="7"/>
      <c r="C269" s="5"/>
      <c r="D269" s="5"/>
      <c r="E269" s="8"/>
      <c r="F269" s="9"/>
      <c r="G269" s="5"/>
      <c r="H269" s="28" t="str">
        <f>IFERROR(IF(AND(COUNTIF(RegistroPago!$A$1:$A$2000,Consolidado!B269)&gt;0,INDEX(RegistroPago!$E$1:$E$2000,MATCH(Consolidado!B269,RegistroPago!$A$1:$A$2000,0))&lt;&gt;""),"PAGADA",IF(I269&lt;&gt;"","PENDIENTE","SIN EMITIR")),"")</f>
        <v/>
      </c>
      <c r="I269" s="10"/>
      <c r="J269" s="2"/>
      <c r="K269" s="29"/>
      <c r="L269" s="29"/>
    </row>
    <row r="270" spans="1:12" ht="15.75" x14ac:dyDescent="0.25">
      <c r="A270" s="5"/>
      <c r="B270" s="7"/>
      <c r="C270" s="5"/>
      <c r="D270" s="5"/>
      <c r="E270" s="8"/>
      <c r="F270" s="9"/>
      <c r="G270" s="5"/>
      <c r="H270" s="28" t="str">
        <f>IFERROR(IF(AND(COUNTIF(RegistroPago!$A$1:$A$2000,Consolidado!B270)&gt;0,INDEX(RegistroPago!$E$1:$E$2000,MATCH(Consolidado!B270,RegistroPago!$A$1:$A$2000,0))&lt;&gt;""),"PAGADA",IF(I270&lt;&gt;"","PENDIENTE","SIN EMITIR")),"")</f>
        <v/>
      </c>
      <c r="I270" s="10"/>
      <c r="J270" s="2"/>
      <c r="K270" s="29"/>
      <c r="L270" s="29"/>
    </row>
    <row r="271" spans="1:12" ht="15.75" x14ac:dyDescent="0.25">
      <c r="A271" s="5"/>
      <c r="B271" s="7"/>
      <c r="C271" s="5"/>
      <c r="D271" s="5"/>
      <c r="E271" s="8"/>
      <c r="F271" s="9"/>
      <c r="G271" s="5"/>
      <c r="H271" s="28" t="str">
        <f>IFERROR(IF(AND(COUNTIF(RegistroPago!$A$1:$A$2000,Consolidado!B271)&gt;0,INDEX(RegistroPago!$E$1:$E$2000,MATCH(Consolidado!B271,RegistroPago!$A$1:$A$2000,0))&lt;&gt;""),"PAGADA",IF(I271&lt;&gt;"","PENDIENTE","SIN EMITIR")),"")</f>
        <v/>
      </c>
      <c r="I271" s="10"/>
      <c r="J271" s="2"/>
      <c r="K271" s="29"/>
      <c r="L271" s="29"/>
    </row>
    <row r="272" spans="1:12" ht="15.75" x14ac:dyDescent="0.25">
      <c r="A272" s="5"/>
      <c r="B272" s="7"/>
      <c r="C272" s="5"/>
      <c r="D272" s="5"/>
      <c r="E272" s="8"/>
      <c r="F272" s="9"/>
      <c r="G272" s="5"/>
      <c r="H272" s="28" t="str">
        <f>IFERROR(IF(AND(COUNTIF(RegistroPago!$A$1:$A$2000,Consolidado!B272)&gt;0,INDEX(RegistroPago!$E$1:$E$2000,MATCH(Consolidado!B272,RegistroPago!$A$1:$A$2000,0))&lt;&gt;""),"PAGADA",IF(I272&lt;&gt;"","PENDIENTE","SIN EMITIR")),"")</f>
        <v/>
      </c>
      <c r="I272" s="10"/>
      <c r="J272" s="2"/>
      <c r="K272" s="29"/>
      <c r="L272" s="29"/>
    </row>
    <row r="273" spans="1:12" ht="15.75" x14ac:dyDescent="0.25">
      <c r="A273" s="5"/>
      <c r="B273" s="7"/>
      <c r="C273" s="5"/>
      <c r="D273" s="5"/>
      <c r="E273" s="8"/>
      <c r="F273" s="9"/>
      <c r="G273" s="5"/>
      <c r="H273" s="28" t="str">
        <f>IFERROR(IF(AND(COUNTIF(RegistroPago!$A$1:$A$2000,Consolidado!B273)&gt;0,INDEX(RegistroPago!$E$1:$E$2000,MATCH(Consolidado!B273,RegistroPago!$A$1:$A$2000,0))&lt;&gt;""),"PAGADA",IF(I273&lt;&gt;"","PENDIENTE","SIN EMITIR")),"")</f>
        <v/>
      </c>
      <c r="I273" s="10"/>
      <c r="J273" s="2"/>
      <c r="K273" s="29"/>
      <c r="L273" s="29"/>
    </row>
    <row r="274" spans="1:12" ht="15.75" x14ac:dyDescent="0.25">
      <c r="A274" s="5"/>
      <c r="B274" s="7"/>
      <c r="C274" s="5"/>
      <c r="D274" s="5"/>
      <c r="E274" s="8"/>
      <c r="F274" s="9"/>
      <c r="G274" s="5"/>
      <c r="H274" s="28" t="str">
        <f>IFERROR(IF(AND(COUNTIF(RegistroPago!$A$1:$A$2000,Consolidado!B274)&gt;0,INDEX(RegistroPago!$E$1:$E$2000,MATCH(Consolidado!B274,RegistroPago!$A$1:$A$2000,0))&lt;&gt;""),"PAGADA",IF(I274&lt;&gt;"","PENDIENTE","SIN EMITIR")),"")</f>
        <v/>
      </c>
      <c r="I274" s="10"/>
      <c r="J274" s="2"/>
      <c r="K274" s="29"/>
      <c r="L274" s="29"/>
    </row>
    <row r="275" spans="1:12" ht="15.75" x14ac:dyDescent="0.25">
      <c r="A275" s="5"/>
      <c r="B275" s="7"/>
      <c r="C275" s="5"/>
      <c r="D275" s="5"/>
      <c r="E275" s="8"/>
      <c r="F275" s="9"/>
      <c r="G275" s="5"/>
      <c r="H275" s="28" t="str">
        <f>IFERROR(IF(AND(COUNTIF(RegistroPago!$A$1:$A$2000,Consolidado!B275)&gt;0,INDEX(RegistroPago!$E$1:$E$2000,MATCH(Consolidado!B275,RegistroPago!$A$1:$A$2000,0))&lt;&gt;""),"PAGADA",IF(I275&lt;&gt;"","PENDIENTE","SIN EMITIR")),"")</f>
        <v/>
      </c>
      <c r="I275" s="10"/>
      <c r="J275" s="2"/>
      <c r="K275" s="29"/>
      <c r="L275" s="29"/>
    </row>
    <row r="276" spans="1:12" ht="15.75" x14ac:dyDescent="0.25">
      <c r="A276" s="5"/>
      <c r="B276" s="7"/>
      <c r="C276" s="5"/>
      <c r="D276" s="5"/>
      <c r="E276" s="8"/>
      <c r="F276" s="9"/>
      <c r="G276" s="5"/>
      <c r="H276" s="28" t="str">
        <f>IFERROR(IF(AND(COUNTIF(RegistroPago!$A$1:$A$2000,Consolidado!B276)&gt;0,INDEX(RegistroPago!$E$1:$E$2000,MATCH(Consolidado!B276,RegistroPago!$A$1:$A$2000,0))&lt;&gt;""),"PAGADA",IF(I276&lt;&gt;"","PENDIENTE","SIN EMITIR")),"")</f>
        <v/>
      </c>
      <c r="I276" s="10"/>
      <c r="J276" s="2"/>
      <c r="K276" s="29"/>
      <c r="L276" s="29"/>
    </row>
    <row r="277" spans="1:12" ht="15.75" x14ac:dyDescent="0.25">
      <c r="A277" s="5"/>
      <c r="B277" s="7"/>
      <c r="C277" s="5"/>
      <c r="D277" s="5"/>
      <c r="E277" s="8"/>
      <c r="F277" s="9"/>
      <c r="G277" s="5"/>
      <c r="H277" s="28" t="str">
        <f>IFERROR(IF(AND(COUNTIF(RegistroPago!$A$1:$A$2000,Consolidado!B277)&gt;0,INDEX(RegistroPago!$E$1:$E$2000,MATCH(Consolidado!B277,RegistroPago!$A$1:$A$2000,0))&lt;&gt;""),"PAGADA",IF(I277&lt;&gt;"","PENDIENTE","SIN EMITIR")),"")</f>
        <v/>
      </c>
      <c r="I277" s="10"/>
      <c r="J277" s="2"/>
      <c r="K277" s="29"/>
      <c r="L277" s="29"/>
    </row>
    <row r="278" spans="1:12" ht="15.75" x14ac:dyDescent="0.25">
      <c r="A278" s="5"/>
      <c r="B278" s="7"/>
      <c r="C278" s="5"/>
      <c r="D278" s="5"/>
      <c r="E278" s="8"/>
      <c r="F278" s="9"/>
      <c r="G278" s="5"/>
      <c r="H278" s="28" t="str">
        <f>IFERROR(IF(AND(COUNTIF(RegistroPago!$A$1:$A$2000,Consolidado!B278)&gt;0,INDEX(RegistroPago!$E$1:$E$2000,MATCH(Consolidado!B278,RegistroPago!$A$1:$A$2000,0))&lt;&gt;""),"PAGADA",IF(I278&lt;&gt;"","PENDIENTE","SIN EMITIR")),"")</f>
        <v/>
      </c>
      <c r="I278" s="10"/>
      <c r="J278" s="2"/>
      <c r="K278" s="29"/>
      <c r="L278" s="29"/>
    </row>
    <row r="279" spans="1:12" ht="15.75" x14ac:dyDescent="0.25">
      <c r="A279" s="5"/>
      <c r="B279" s="7"/>
      <c r="C279" s="5"/>
      <c r="D279" s="5"/>
      <c r="E279" s="8"/>
      <c r="F279" s="9"/>
      <c r="G279" s="5"/>
      <c r="H279" s="28" t="str">
        <f>IFERROR(IF(AND(COUNTIF(RegistroPago!$A$1:$A$2000,Consolidado!B279)&gt;0,INDEX(RegistroPago!$E$1:$E$2000,MATCH(Consolidado!B279,RegistroPago!$A$1:$A$2000,0))&lt;&gt;""),"PAGADA",IF(I279&lt;&gt;"","PENDIENTE","SIN EMITIR")),"")</f>
        <v/>
      </c>
      <c r="I279" s="10"/>
      <c r="J279" s="2"/>
      <c r="K279" s="29"/>
      <c r="L279" s="29"/>
    </row>
    <row r="280" spans="1:12" ht="15.75" x14ac:dyDescent="0.25">
      <c r="A280" s="5"/>
      <c r="B280" s="7"/>
      <c r="C280" s="5"/>
      <c r="D280" s="5"/>
      <c r="E280" s="8"/>
      <c r="F280" s="9"/>
      <c r="G280" s="5"/>
      <c r="H280" s="28" t="str">
        <f>IFERROR(IF(AND(COUNTIF(RegistroPago!$A$1:$A$2000,Consolidado!B280)&gt;0,INDEX(RegistroPago!$E$1:$E$2000,MATCH(Consolidado!B280,RegistroPago!$A$1:$A$2000,0))&lt;&gt;""),"PAGADA",IF(I280&lt;&gt;"","PENDIENTE","SIN EMITIR")),"")</f>
        <v/>
      </c>
      <c r="I280" s="10"/>
      <c r="J280" s="2"/>
      <c r="K280" s="29"/>
      <c r="L280" s="29"/>
    </row>
    <row r="281" spans="1:12" ht="15.75" x14ac:dyDescent="0.25">
      <c r="A281" s="5"/>
      <c r="B281" s="7"/>
      <c r="C281" s="5"/>
      <c r="D281" s="5"/>
      <c r="E281" s="8"/>
      <c r="F281" s="9"/>
      <c r="G281" s="5"/>
      <c r="H281" s="28" t="str">
        <f>IFERROR(IF(AND(COUNTIF(RegistroPago!$A$1:$A$2000,Consolidado!B281)&gt;0,INDEX(RegistroPago!$E$1:$E$2000,MATCH(Consolidado!B281,RegistroPago!$A$1:$A$2000,0))&lt;&gt;""),"PAGADA",IF(I281&lt;&gt;"","PENDIENTE","SIN EMITIR")),"")</f>
        <v/>
      </c>
      <c r="I281" s="10"/>
      <c r="J281" s="2"/>
      <c r="K281" s="29"/>
      <c r="L281" s="29"/>
    </row>
    <row r="282" spans="1:12" ht="15.75" x14ac:dyDescent="0.25">
      <c r="A282" s="5"/>
      <c r="B282" s="7"/>
      <c r="C282" s="5"/>
      <c r="D282" s="5"/>
      <c r="E282" s="8"/>
      <c r="F282" s="9"/>
      <c r="G282" s="5"/>
      <c r="H282" s="28" t="str">
        <f>IFERROR(IF(AND(COUNTIF(RegistroPago!$A$1:$A$2000,Consolidado!B282)&gt;0,INDEX(RegistroPago!$E$1:$E$2000,MATCH(Consolidado!B282,RegistroPago!$A$1:$A$2000,0))&lt;&gt;""),"PAGADA",IF(I282&lt;&gt;"","PENDIENTE","SIN EMITIR")),"")</f>
        <v/>
      </c>
      <c r="I282" s="10"/>
      <c r="J282" s="2"/>
      <c r="K282" s="29"/>
      <c r="L282" s="29"/>
    </row>
    <row r="283" spans="1:12" ht="15.75" x14ac:dyDescent="0.25">
      <c r="A283" s="5"/>
      <c r="B283" s="7"/>
      <c r="C283" s="5"/>
      <c r="D283" s="5"/>
      <c r="E283" s="8"/>
      <c r="F283" s="9"/>
      <c r="G283" s="5"/>
      <c r="H283" s="28" t="str">
        <f>IFERROR(IF(AND(COUNTIF(RegistroPago!$A$1:$A$2000,Consolidado!B283)&gt;0,INDEX(RegistroPago!$E$1:$E$2000,MATCH(Consolidado!B283,RegistroPago!$A$1:$A$2000,0))&lt;&gt;""),"PAGADA",IF(I283&lt;&gt;"","PENDIENTE","SIN EMITIR")),"")</f>
        <v/>
      </c>
      <c r="I283" s="10"/>
      <c r="J283" s="2"/>
      <c r="K283" s="29"/>
      <c r="L283" s="29"/>
    </row>
    <row r="284" spans="1:12" ht="15.75" x14ac:dyDescent="0.25">
      <c r="A284" s="5"/>
      <c r="B284" s="7"/>
      <c r="C284" s="5"/>
      <c r="D284" s="5"/>
      <c r="E284" s="8"/>
      <c r="F284" s="9"/>
      <c r="G284" s="5"/>
      <c r="H284" s="28" t="str">
        <f>IFERROR(IF(AND(COUNTIF(RegistroPago!$A$1:$A$2000,Consolidado!B284)&gt;0,INDEX(RegistroPago!$E$1:$E$2000,MATCH(Consolidado!B284,RegistroPago!$A$1:$A$2000,0))&lt;&gt;""),"PAGADA",IF(I284&lt;&gt;"","PENDIENTE","SIN EMITIR")),"")</f>
        <v/>
      </c>
      <c r="I284" s="10"/>
      <c r="J284" s="2"/>
      <c r="K284" s="29"/>
      <c r="L284" s="29"/>
    </row>
    <row r="285" spans="1:12" ht="15.75" x14ac:dyDescent="0.25">
      <c r="A285" s="5"/>
      <c r="B285" s="7"/>
      <c r="C285" s="5"/>
      <c r="D285" s="5"/>
      <c r="E285" s="8"/>
      <c r="F285" s="9"/>
      <c r="G285" s="5"/>
      <c r="H285" s="28" t="str">
        <f>IFERROR(IF(AND(COUNTIF(RegistroPago!$A$1:$A$2000,Consolidado!B285)&gt;0,INDEX(RegistroPago!$E$1:$E$2000,MATCH(Consolidado!B285,RegistroPago!$A$1:$A$2000,0))&lt;&gt;""),"PAGADA",IF(I285&lt;&gt;"","PENDIENTE","SIN EMITIR")),"")</f>
        <v/>
      </c>
      <c r="I285" s="10"/>
      <c r="J285" s="2"/>
      <c r="K285" s="29"/>
      <c r="L285" s="29"/>
    </row>
    <row r="286" spans="1:12" ht="15.75" x14ac:dyDescent="0.25">
      <c r="A286" s="5"/>
      <c r="B286" s="7"/>
      <c r="C286" s="5"/>
      <c r="D286" s="5"/>
      <c r="E286" s="8"/>
      <c r="F286" s="9"/>
      <c r="G286" s="5"/>
      <c r="H286" s="28" t="str">
        <f>IFERROR(IF(AND(COUNTIF(RegistroPago!$A$1:$A$2000,Consolidado!B286)&gt;0,INDEX(RegistroPago!$E$1:$E$2000,MATCH(Consolidado!B286,RegistroPago!$A$1:$A$2000,0))&lt;&gt;""),"PAGADA",IF(I286&lt;&gt;"","PENDIENTE","SIN EMITIR")),"")</f>
        <v/>
      </c>
      <c r="I286" s="10"/>
      <c r="J286" s="2"/>
      <c r="K286" s="29"/>
      <c r="L286" s="29"/>
    </row>
    <row r="287" spans="1:12" ht="15.75" x14ac:dyDescent="0.25">
      <c r="A287" s="5"/>
      <c r="B287" s="7"/>
      <c r="C287" s="5"/>
      <c r="D287" s="5"/>
      <c r="E287" s="8"/>
      <c r="F287" s="9"/>
      <c r="G287" s="5"/>
      <c r="H287" s="28" t="str">
        <f>IFERROR(IF(AND(COUNTIF(RegistroPago!$A$1:$A$2000,Consolidado!B287)&gt;0,INDEX(RegistroPago!$E$1:$E$2000,MATCH(Consolidado!B287,RegistroPago!$A$1:$A$2000,0))&lt;&gt;""),"PAGADA",IF(I287&lt;&gt;"","PENDIENTE","SIN EMITIR")),"")</f>
        <v/>
      </c>
      <c r="I287" s="10"/>
      <c r="J287" s="2"/>
      <c r="K287" s="29"/>
      <c r="L287" s="29"/>
    </row>
    <row r="288" spans="1:12" ht="15.75" x14ac:dyDescent="0.25">
      <c r="A288" s="5"/>
      <c r="B288" s="7"/>
      <c r="C288" s="5"/>
      <c r="D288" s="5"/>
      <c r="E288" s="8"/>
      <c r="F288" s="9"/>
      <c r="G288" s="5"/>
      <c r="H288" s="28" t="str">
        <f>IFERROR(IF(AND(COUNTIF(RegistroPago!$A$1:$A$2000,Consolidado!B288)&gt;0,INDEX(RegistroPago!$E$1:$E$2000,MATCH(Consolidado!B288,RegistroPago!$A$1:$A$2000,0))&lt;&gt;""),"PAGADA",IF(I288&lt;&gt;"","PENDIENTE","SIN EMITIR")),"")</f>
        <v/>
      </c>
      <c r="I288" s="10"/>
      <c r="J288" s="2"/>
      <c r="K288" s="29"/>
      <c r="L288" s="29"/>
    </row>
    <row r="289" spans="1:12" ht="15.75" x14ac:dyDescent="0.25">
      <c r="A289" s="5"/>
      <c r="B289" s="7"/>
      <c r="C289" s="5"/>
      <c r="D289" s="5"/>
      <c r="E289" s="8"/>
      <c r="F289" s="9"/>
      <c r="G289" s="5"/>
      <c r="H289" s="28" t="str">
        <f>IFERROR(IF(AND(COUNTIF(RegistroPago!$A$1:$A$2000,Consolidado!B289)&gt;0,INDEX(RegistroPago!$E$1:$E$2000,MATCH(Consolidado!B289,RegistroPago!$A$1:$A$2000,0))&lt;&gt;""),"PAGADA",IF(I289&lt;&gt;"","PENDIENTE","SIN EMITIR")),"")</f>
        <v/>
      </c>
      <c r="I289" s="10"/>
      <c r="J289" s="2"/>
      <c r="K289" s="29"/>
      <c r="L289" s="29"/>
    </row>
    <row r="290" spans="1:12" ht="15.75" x14ac:dyDescent="0.25">
      <c r="A290" s="5"/>
      <c r="B290" s="7"/>
      <c r="C290" s="5"/>
      <c r="D290" s="5"/>
      <c r="E290" s="8"/>
      <c r="F290" s="9"/>
      <c r="G290" s="5"/>
      <c r="H290" s="28" t="str">
        <f>IFERROR(IF(AND(COUNTIF(RegistroPago!$A$1:$A$2000,Consolidado!B290)&gt;0,INDEX(RegistroPago!$E$1:$E$2000,MATCH(Consolidado!B290,RegistroPago!$A$1:$A$2000,0))&lt;&gt;""),"PAGADA",IF(I290&lt;&gt;"","PENDIENTE","SIN EMITIR")),"")</f>
        <v/>
      </c>
      <c r="I290" s="10"/>
      <c r="J290" s="2"/>
      <c r="K290" s="29"/>
      <c r="L290" s="29"/>
    </row>
    <row r="291" spans="1:12" ht="15.75" x14ac:dyDescent="0.25">
      <c r="A291" s="5"/>
      <c r="B291" s="7"/>
      <c r="C291" s="5"/>
      <c r="D291" s="5"/>
      <c r="E291" s="8"/>
      <c r="F291" s="9"/>
      <c r="G291" s="5"/>
      <c r="H291" s="28" t="str">
        <f>IFERROR(IF(AND(COUNTIF(RegistroPago!$A$1:$A$2000,Consolidado!B291)&gt;0,INDEX(RegistroPago!$E$1:$E$2000,MATCH(Consolidado!B291,RegistroPago!$A$1:$A$2000,0))&lt;&gt;""),"PAGADA",IF(I291&lt;&gt;"","PENDIENTE","SIN EMITIR")),"")</f>
        <v/>
      </c>
      <c r="I291" s="10"/>
      <c r="J291" s="2"/>
      <c r="K291" s="29"/>
      <c r="L291" s="29"/>
    </row>
    <row r="292" spans="1:12" ht="15.75" x14ac:dyDescent="0.25">
      <c r="A292" s="5"/>
      <c r="B292" s="7"/>
      <c r="C292" s="5"/>
      <c r="D292" s="5"/>
      <c r="E292" s="8"/>
      <c r="F292" s="9"/>
      <c r="G292" s="5"/>
      <c r="H292" s="28" t="str">
        <f>IFERROR(IF(AND(COUNTIF(RegistroPago!$A$1:$A$2000,Consolidado!B292)&gt;0,INDEX(RegistroPago!$E$1:$E$2000,MATCH(Consolidado!B292,RegistroPago!$A$1:$A$2000,0))&lt;&gt;""),"PAGADA",IF(I292&lt;&gt;"","PENDIENTE","SIN EMITIR")),"")</f>
        <v/>
      </c>
      <c r="I292" s="10"/>
      <c r="J292" s="2"/>
      <c r="K292" s="29"/>
      <c r="L292" s="29"/>
    </row>
    <row r="293" spans="1:12" ht="15.75" x14ac:dyDescent="0.25">
      <c r="A293" s="5"/>
      <c r="B293" s="7"/>
      <c r="C293" s="5"/>
      <c r="D293" s="5"/>
      <c r="E293" s="8"/>
      <c r="F293" s="9"/>
      <c r="G293" s="5"/>
      <c r="H293" s="28" t="str">
        <f>IFERROR(IF(AND(COUNTIF(RegistroPago!$A$1:$A$2000,Consolidado!B293)&gt;0,INDEX(RegistroPago!$E$1:$E$2000,MATCH(Consolidado!B293,RegistroPago!$A$1:$A$2000,0))&lt;&gt;""),"PAGADA",IF(I293&lt;&gt;"","PENDIENTE","SIN EMITIR")),"")</f>
        <v/>
      </c>
      <c r="I293" s="10"/>
      <c r="J293" s="2"/>
      <c r="K293" s="29"/>
      <c r="L293" s="29"/>
    </row>
    <row r="294" spans="1:12" ht="15.75" x14ac:dyDescent="0.25">
      <c r="A294" s="5"/>
      <c r="B294" s="7"/>
      <c r="C294" s="5"/>
      <c r="D294" s="5"/>
      <c r="E294" s="8"/>
      <c r="F294" s="9"/>
      <c r="G294" s="5"/>
      <c r="H294" s="28" t="str">
        <f>IFERROR(IF(AND(COUNTIF(RegistroPago!$A$1:$A$2000,Consolidado!B294)&gt;0,INDEX(RegistroPago!$E$1:$E$2000,MATCH(Consolidado!B294,RegistroPago!$A$1:$A$2000,0))&lt;&gt;""),"PAGADA",IF(I294&lt;&gt;"","PENDIENTE","SIN EMITIR")),"")</f>
        <v/>
      </c>
      <c r="I294" s="10"/>
      <c r="J294" s="2"/>
      <c r="K294" s="29"/>
      <c r="L294" s="29"/>
    </row>
    <row r="295" spans="1:12" ht="15.75" x14ac:dyDescent="0.25">
      <c r="A295" s="5"/>
      <c r="B295" s="7"/>
      <c r="C295" s="5"/>
      <c r="D295" s="5"/>
      <c r="E295" s="8"/>
      <c r="F295" s="9"/>
      <c r="G295" s="5"/>
      <c r="H295" s="28" t="str">
        <f>IFERROR(IF(AND(COUNTIF(RegistroPago!$A$1:$A$2000,Consolidado!B295)&gt;0,INDEX(RegistroPago!$E$1:$E$2000,MATCH(Consolidado!B295,RegistroPago!$A$1:$A$2000,0))&lt;&gt;""),"PAGADA",IF(I295&lt;&gt;"","PENDIENTE","SIN EMITIR")),"")</f>
        <v/>
      </c>
      <c r="I295" s="10"/>
      <c r="J295" s="2"/>
      <c r="K295" s="29"/>
      <c r="L295" s="29"/>
    </row>
    <row r="296" spans="1:12" ht="15.75" x14ac:dyDescent="0.25">
      <c r="A296" s="5"/>
      <c r="B296" s="7"/>
      <c r="C296" s="5"/>
      <c r="D296" s="5"/>
      <c r="E296" s="8"/>
      <c r="F296" s="9"/>
      <c r="G296" s="5"/>
      <c r="H296" s="28" t="str">
        <f>IFERROR(IF(AND(COUNTIF(RegistroPago!$A$1:$A$2000,Consolidado!B296)&gt;0,INDEX(RegistroPago!$E$1:$E$2000,MATCH(Consolidado!B296,RegistroPago!$A$1:$A$2000,0))&lt;&gt;""),"PAGADA",IF(I296&lt;&gt;"","PENDIENTE","SIN EMITIR")),"")</f>
        <v/>
      </c>
      <c r="I296" s="10"/>
      <c r="J296" s="2"/>
      <c r="K296" s="29"/>
      <c r="L296" s="29"/>
    </row>
    <row r="297" spans="1:12" ht="15.75" x14ac:dyDescent="0.25">
      <c r="A297" s="5"/>
      <c r="B297" s="7"/>
      <c r="C297" s="5"/>
      <c r="D297" s="5"/>
      <c r="E297" s="8"/>
      <c r="F297" s="9"/>
      <c r="G297" s="5"/>
      <c r="H297" s="28" t="str">
        <f>IFERROR(IF(AND(COUNTIF(RegistroPago!$A$1:$A$2000,Consolidado!B297)&gt;0,INDEX(RegistroPago!$E$1:$E$2000,MATCH(Consolidado!B297,RegistroPago!$A$1:$A$2000,0))&lt;&gt;""),"PAGADA",IF(I297&lt;&gt;"","PENDIENTE","SIN EMITIR")),"")</f>
        <v/>
      </c>
      <c r="I297" s="10"/>
      <c r="J297" s="2"/>
      <c r="K297" s="29"/>
      <c r="L297" s="29"/>
    </row>
    <row r="298" spans="1:12" ht="15.75" x14ac:dyDescent="0.25">
      <c r="A298" s="5"/>
      <c r="B298" s="7"/>
      <c r="C298" s="5"/>
      <c r="D298" s="5"/>
      <c r="E298" s="8"/>
      <c r="F298" s="9"/>
      <c r="G298" s="5"/>
      <c r="H298" s="28" t="str">
        <f>IFERROR(IF(AND(COUNTIF(RegistroPago!$A$1:$A$2000,Consolidado!B298)&gt;0,INDEX(RegistroPago!$E$1:$E$2000,MATCH(Consolidado!B298,RegistroPago!$A$1:$A$2000,0))&lt;&gt;""),"PAGADA",IF(I298&lt;&gt;"","PENDIENTE","SIN EMITIR")),"")</f>
        <v/>
      </c>
      <c r="I298" s="10"/>
      <c r="J298" s="2"/>
      <c r="K298" s="29"/>
      <c r="L298" s="29"/>
    </row>
    <row r="299" spans="1:12" ht="15.75" x14ac:dyDescent="0.25">
      <c r="A299" s="5"/>
      <c r="B299" s="7"/>
      <c r="C299" s="5"/>
      <c r="D299" s="5"/>
      <c r="E299" s="8"/>
      <c r="F299" s="9"/>
      <c r="G299" s="5"/>
      <c r="H299" s="28" t="str">
        <f>IFERROR(IF(AND(COUNTIF(RegistroPago!$A$1:$A$2000,Consolidado!B299)&gt;0,INDEX(RegistroPago!$E$1:$E$2000,MATCH(Consolidado!B299,RegistroPago!$A$1:$A$2000,0))&lt;&gt;""),"PAGADA",IF(I299&lt;&gt;"","PENDIENTE","SIN EMITIR")),"")</f>
        <v/>
      </c>
      <c r="I299" s="10"/>
      <c r="J299" s="2"/>
      <c r="K299" s="29"/>
      <c r="L299" s="29"/>
    </row>
    <row r="300" spans="1:12" ht="15.75" x14ac:dyDescent="0.25">
      <c r="A300" s="5"/>
      <c r="B300" s="7"/>
      <c r="C300" s="5"/>
      <c r="D300" s="5"/>
      <c r="E300" s="8"/>
      <c r="F300" s="9"/>
      <c r="G300" s="5"/>
      <c r="H300" s="28" t="str">
        <f>IFERROR(IF(AND(COUNTIF(RegistroPago!$A$1:$A$2000,Consolidado!B300)&gt;0,INDEX(RegistroPago!$E$1:$E$2000,MATCH(Consolidado!B300,RegistroPago!$A$1:$A$2000,0))&lt;&gt;""),"PAGADA",IF(I300&lt;&gt;"","PENDIENTE","SIN EMITIR")),"")</f>
        <v/>
      </c>
      <c r="I300" s="10"/>
      <c r="J300" s="2"/>
      <c r="K300" s="29"/>
      <c r="L300" s="29"/>
    </row>
    <row r="301" spans="1:12" ht="15.75" x14ac:dyDescent="0.25">
      <c r="A301" s="5"/>
      <c r="B301" s="7"/>
      <c r="C301" s="5"/>
      <c r="D301" s="5"/>
      <c r="E301" s="8"/>
      <c r="F301" s="9"/>
      <c r="G301" s="5"/>
      <c r="H301" s="28" t="str">
        <f>IFERROR(IF(AND(COUNTIF(RegistroPago!$A$1:$A$2000,Consolidado!B301)&gt;0,INDEX(RegistroPago!$E$1:$E$2000,MATCH(Consolidado!B301,RegistroPago!$A$1:$A$2000,0))&lt;&gt;""),"PAGADA",IF(I301&lt;&gt;"","PENDIENTE","SIN EMITIR")),"")</f>
        <v/>
      </c>
      <c r="I301" s="10"/>
      <c r="J301" s="2"/>
      <c r="K301" s="29"/>
      <c r="L301" s="29"/>
    </row>
    <row r="302" spans="1:12" ht="15.75" x14ac:dyDescent="0.25">
      <c r="A302" s="5"/>
      <c r="B302" s="7"/>
      <c r="C302" s="5"/>
      <c r="D302" s="5"/>
      <c r="E302" s="8"/>
      <c r="F302" s="9"/>
      <c r="G302" s="5"/>
      <c r="H302" s="28" t="str">
        <f>IFERROR(IF(AND(COUNTIF(RegistroPago!$A$1:$A$2000,Consolidado!B302)&gt;0,INDEX(RegistroPago!$E$1:$E$2000,MATCH(Consolidado!B302,RegistroPago!$A$1:$A$2000,0))&lt;&gt;""),"PAGADA",IF(I302&lt;&gt;"","PENDIENTE","SIN EMITIR")),"")</f>
        <v/>
      </c>
      <c r="I302" s="10"/>
      <c r="J302" s="2"/>
      <c r="K302" s="29"/>
      <c r="L302" s="29"/>
    </row>
    <row r="303" spans="1:12" ht="15.75" x14ac:dyDescent="0.25">
      <c r="A303" s="5"/>
      <c r="B303" s="7"/>
      <c r="C303" s="5"/>
      <c r="D303" s="5"/>
      <c r="E303" s="8"/>
      <c r="F303" s="9"/>
      <c r="G303" s="5"/>
      <c r="H303" s="28" t="str">
        <f>IFERROR(IF(AND(COUNTIF(RegistroPago!$A$1:$A$2000,Consolidado!B303)&gt;0,INDEX(RegistroPago!$E$1:$E$2000,MATCH(Consolidado!B303,RegistroPago!$A$1:$A$2000,0))&lt;&gt;""),"PAGADA",IF(I303&lt;&gt;"","PENDIENTE","SIN EMITIR")),"")</f>
        <v/>
      </c>
      <c r="I303" s="10"/>
      <c r="J303" s="2"/>
      <c r="K303" s="29"/>
      <c r="L303" s="29"/>
    </row>
    <row r="304" spans="1:12" ht="15.75" x14ac:dyDescent="0.25">
      <c r="A304" s="5"/>
      <c r="B304" s="7"/>
      <c r="C304" s="5"/>
      <c r="D304" s="5"/>
      <c r="E304" s="8"/>
      <c r="F304" s="9"/>
      <c r="G304" s="5"/>
      <c r="H304" s="28" t="str">
        <f>IFERROR(IF(AND(COUNTIF(RegistroPago!$A$1:$A$2000,Consolidado!B304)&gt;0,INDEX(RegistroPago!$E$1:$E$2000,MATCH(Consolidado!B304,RegistroPago!$A$1:$A$2000,0))&lt;&gt;""),"PAGADA",IF(I304&lt;&gt;"","PENDIENTE","SIN EMITIR")),"")</f>
        <v/>
      </c>
      <c r="I304" s="10"/>
      <c r="J304" s="2"/>
      <c r="K304" s="29"/>
      <c r="L304" s="29"/>
    </row>
    <row r="305" spans="1:12" ht="15.75" x14ac:dyDescent="0.25">
      <c r="A305" s="5"/>
      <c r="B305" s="7"/>
      <c r="C305" s="5"/>
      <c r="D305" s="5"/>
      <c r="E305" s="8"/>
      <c r="F305" s="9"/>
      <c r="G305" s="5"/>
      <c r="H305" s="28" t="str">
        <f>IFERROR(IF(AND(COUNTIF(RegistroPago!$A$1:$A$2000,Consolidado!B305)&gt;0,INDEX(RegistroPago!$E$1:$E$2000,MATCH(Consolidado!B305,RegistroPago!$A$1:$A$2000,0))&lt;&gt;""),"PAGADA",IF(I305&lt;&gt;"","PENDIENTE","SIN EMITIR")),"")</f>
        <v/>
      </c>
      <c r="I305" s="10"/>
      <c r="J305" s="2"/>
      <c r="K305" s="29"/>
      <c r="L305" s="29"/>
    </row>
    <row r="306" spans="1:12" ht="15.75" x14ac:dyDescent="0.25">
      <c r="A306" s="5"/>
      <c r="B306" s="7"/>
      <c r="C306" s="5"/>
      <c r="D306" s="5"/>
      <c r="E306" s="8"/>
      <c r="F306" s="9"/>
      <c r="G306" s="5"/>
      <c r="H306" s="28" t="str">
        <f>IFERROR(IF(AND(COUNTIF(RegistroPago!$A$1:$A$2000,Consolidado!B306)&gt;0,INDEX(RegistroPago!$E$1:$E$2000,MATCH(Consolidado!B306,RegistroPago!$A$1:$A$2000,0))&lt;&gt;""),"PAGADA",IF(I306&lt;&gt;"","PENDIENTE","SIN EMITIR")),"")</f>
        <v/>
      </c>
      <c r="I306" s="10"/>
      <c r="J306" s="2"/>
      <c r="K306" s="29"/>
      <c r="L306" s="29"/>
    </row>
    <row r="307" spans="1:12" ht="15.75" x14ac:dyDescent="0.25">
      <c r="A307" s="5"/>
      <c r="B307" s="7"/>
      <c r="C307" s="5"/>
      <c r="D307" s="5"/>
      <c r="E307" s="8"/>
      <c r="F307" s="9"/>
      <c r="G307" s="5"/>
      <c r="H307" s="28" t="str">
        <f>IFERROR(IF(AND(COUNTIF(RegistroPago!$A$1:$A$2000,Consolidado!B307)&gt;0,INDEX(RegistroPago!$E$1:$E$2000,MATCH(Consolidado!B307,RegistroPago!$A$1:$A$2000,0))&lt;&gt;""),"PAGADA",IF(I307&lt;&gt;"","PENDIENTE","SIN EMITIR")),"")</f>
        <v/>
      </c>
      <c r="I307" s="10"/>
      <c r="J307" s="2"/>
      <c r="K307" s="29"/>
      <c r="L307" s="29"/>
    </row>
    <row r="308" spans="1:12" ht="15.75" x14ac:dyDescent="0.25">
      <c r="A308" s="5"/>
      <c r="B308" s="7"/>
      <c r="C308" s="5"/>
      <c r="D308" s="5"/>
      <c r="E308" s="8"/>
      <c r="F308" s="9"/>
      <c r="G308" s="5"/>
      <c r="H308" s="28" t="str">
        <f>IFERROR(IF(AND(COUNTIF(RegistroPago!$A$1:$A$2000,Consolidado!B308)&gt;0,INDEX(RegistroPago!$E$1:$E$2000,MATCH(Consolidado!B308,RegistroPago!$A$1:$A$2000,0))&lt;&gt;""),"PAGADA",IF(I308&lt;&gt;"","PENDIENTE","SIN EMITIR")),"")</f>
        <v/>
      </c>
      <c r="I308" s="10"/>
      <c r="J308" s="2"/>
      <c r="K308" s="29"/>
      <c r="L308" s="29"/>
    </row>
    <row r="309" spans="1:12" ht="15.75" x14ac:dyDescent="0.25">
      <c r="A309" s="5"/>
      <c r="B309" s="7"/>
      <c r="C309" s="5"/>
      <c r="D309" s="5"/>
      <c r="E309" s="8"/>
      <c r="F309" s="9"/>
      <c r="G309" s="5"/>
      <c r="H309" s="28" t="str">
        <f>IFERROR(IF(AND(COUNTIF(RegistroPago!$A$1:$A$2000,Consolidado!B309)&gt;0,INDEX(RegistroPago!$E$1:$E$2000,MATCH(Consolidado!B309,RegistroPago!$A$1:$A$2000,0))&lt;&gt;""),"PAGADA",IF(I309&lt;&gt;"","PENDIENTE","SIN EMITIR")),"")</f>
        <v/>
      </c>
      <c r="I309" s="10"/>
      <c r="J309" s="2"/>
      <c r="K309" s="29"/>
      <c r="L309" s="29"/>
    </row>
    <row r="310" spans="1:12" ht="15.75" x14ac:dyDescent="0.25">
      <c r="A310" s="5"/>
      <c r="B310" s="7"/>
      <c r="C310" s="5"/>
      <c r="D310" s="5"/>
      <c r="E310" s="8"/>
      <c r="F310" s="9"/>
      <c r="G310" s="5"/>
      <c r="H310" s="28" t="str">
        <f>IFERROR(IF(AND(COUNTIF(RegistroPago!$A$1:$A$2000,Consolidado!B310)&gt;0,INDEX(RegistroPago!$E$1:$E$2000,MATCH(Consolidado!B310,RegistroPago!$A$1:$A$2000,0))&lt;&gt;""),"PAGADA",IF(I310&lt;&gt;"","PENDIENTE","SIN EMITIR")),"")</f>
        <v/>
      </c>
      <c r="I310" s="10"/>
      <c r="J310" s="2"/>
      <c r="K310" s="29"/>
      <c r="L310" s="29"/>
    </row>
    <row r="311" spans="1:12" ht="15.75" x14ac:dyDescent="0.25">
      <c r="A311" s="5"/>
      <c r="B311" s="7"/>
      <c r="C311" s="5"/>
      <c r="D311" s="5"/>
      <c r="E311" s="8"/>
      <c r="F311" s="9"/>
      <c r="G311" s="5"/>
      <c r="H311" s="28" t="str">
        <f>IFERROR(IF(AND(COUNTIF(RegistroPago!$A$1:$A$2000,Consolidado!B311)&gt;0,INDEX(RegistroPago!$E$1:$E$2000,MATCH(Consolidado!B311,RegistroPago!$A$1:$A$2000,0))&lt;&gt;""),"PAGADA",IF(I311&lt;&gt;"","PENDIENTE","SIN EMITIR")),"")</f>
        <v/>
      </c>
      <c r="I311" s="10"/>
      <c r="J311" s="2"/>
      <c r="K311" s="29"/>
      <c r="L311" s="29"/>
    </row>
    <row r="312" spans="1:12" ht="15.75" x14ac:dyDescent="0.25">
      <c r="A312" s="5"/>
      <c r="B312" s="7"/>
      <c r="C312" s="5"/>
      <c r="D312" s="5"/>
      <c r="E312" s="8"/>
      <c r="F312" s="9"/>
      <c r="G312" s="5"/>
      <c r="H312" s="28" t="str">
        <f>IFERROR(IF(AND(COUNTIF(RegistroPago!$A$1:$A$2000,Consolidado!B312)&gt;0,INDEX(RegistroPago!$E$1:$E$2000,MATCH(Consolidado!B312,RegistroPago!$A$1:$A$2000,0))&lt;&gt;""),"PAGADA",IF(I312&lt;&gt;"","PENDIENTE","SIN EMITIR")),"")</f>
        <v/>
      </c>
      <c r="I312" s="10"/>
      <c r="J312" s="2"/>
      <c r="K312" s="29"/>
      <c r="L312" s="29"/>
    </row>
    <row r="313" spans="1:12" ht="15.75" x14ac:dyDescent="0.25">
      <c r="A313" s="5"/>
      <c r="B313" s="7"/>
      <c r="C313" s="5"/>
      <c r="D313" s="5"/>
      <c r="E313" s="8"/>
      <c r="F313" s="9"/>
      <c r="G313" s="5"/>
      <c r="H313" s="28" t="str">
        <f>IFERROR(IF(AND(COUNTIF(RegistroPago!$A$1:$A$2000,Consolidado!B313)&gt;0,INDEX(RegistroPago!$E$1:$E$2000,MATCH(Consolidado!B313,RegistroPago!$A$1:$A$2000,0))&lt;&gt;""),"PAGADA",IF(I313&lt;&gt;"","PENDIENTE","SIN EMITIR")),"")</f>
        <v/>
      </c>
      <c r="I313" s="10"/>
      <c r="J313" s="2"/>
      <c r="K313" s="29"/>
      <c r="L313" s="29"/>
    </row>
    <row r="314" spans="1:12" ht="15.75" x14ac:dyDescent="0.25">
      <c r="A314" s="5"/>
      <c r="B314" s="7"/>
      <c r="C314" s="5"/>
      <c r="D314" s="5"/>
      <c r="E314" s="8"/>
      <c r="F314" s="9"/>
      <c r="G314" s="5"/>
      <c r="H314" s="28" t="str">
        <f>IFERROR(IF(AND(COUNTIF(RegistroPago!$A$1:$A$2000,Consolidado!B314)&gt;0,INDEX(RegistroPago!$E$1:$E$2000,MATCH(Consolidado!B314,RegistroPago!$A$1:$A$2000,0))&lt;&gt;""),"PAGADA",IF(I314&lt;&gt;"","PENDIENTE","SIN EMITIR")),"")</f>
        <v/>
      </c>
      <c r="I314" s="10"/>
      <c r="J314" s="2"/>
      <c r="K314" s="29"/>
      <c r="L314" s="29"/>
    </row>
    <row r="315" spans="1:12" ht="15.75" x14ac:dyDescent="0.25">
      <c r="A315" s="5"/>
      <c r="B315" s="7"/>
      <c r="C315" s="5"/>
      <c r="D315" s="5"/>
      <c r="E315" s="8"/>
      <c r="F315" s="9"/>
      <c r="G315" s="5"/>
      <c r="H315" s="28" t="str">
        <f>IFERROR(IF(AND(COUNTIF(RegistroPago!$A$1:$A$2000,Consolidado!B315)&gt;0,INDEX(RegistroPago!$E$1:$E$2000,MATCH(Consolidado!B315,RegistroPago!$A$1:$A$2000,0))&lt;&gt;""),"PAGADA",IF(I315&lt;&gt;"","PENDIENTE","SIN EMITIR")),"")</f>
        <v/>
      </c>
      <c r="I315" s="10"/>
      <c r="J315" s="2"/>
      <c r="K315" s="29"/>
      <c r="L315" s="29"/>
    </row>
    <row r="316" spans="1:12" ht="15.75" x14ac:dyDescent="0.25">
      <c r="A316" s="5"/>
      <c r="B316" s="7"/>
      <c r="C316" s="5"/>
      <c r="D316" s="5"/>
      <c r="E316" s="8"/>
      <c r="F316" s="9"/>
      <c r="G316" s="5"/>
      <c r="H316" s="28" t="str">
        <f>IFERROR(IF(AND(COUNTIF(RegistroPago!$A$1:$A$2000,Consolidado!B316)&gt;0,INDEX(RegistroPago!$E$1:$E$2000,MATCH(Consolidado!B316,RegistroPago!$A$1:$A$2000,0))&lt;&gt;""),"PAGADA",IF(I316&lt;&gt;"","PENDIENTE","SIN EMITIR")),"")</f>
        <v/>
      </c>
      <c r="I316" s="10"/>
      <c r="J316" s="2"/>
      <c r="K316" s="29"/>
      <c r="L316" s="29"/>
    </row>
    <row r="317" spans="1:12" ht="15.75" x14ac:dyDescent="0.25">
      <c r="A317" s="5"/>
      <c r="B317" s="7"/>
      <c r="C317" s="5"/>
      <c r="D317" s="5"/>
      <c r="E317" s="8"/>
      <c r="F317" s="9"/>
      <c r="G317" s="5"/>
      <c r="H317" s="28" t="str">
        <f>IFERROR(IF(AND(COUNTIF(RegistroPago!$A$1:$A$2000,Consolidado!B317)&gt;0,INDEX(RegistroPago!$E$1:$E$2000,MATCH(Consolidado!B317,RegistroPago!$A$1:$A$2000,0))&lt;&gt;""),"PAGADA",IF(I317&lt;&gt;"","PENDIENTE","SIN EMITIR")),"")</f>
        <v/>
      </c>
      <c r="I317" s="10"/>
      <c r="J317" s="2"/>
      <c r="K317" s="29"/>
      <c r="L317" s="29"/>
    </row>
    <row r="318" spans="1:12" ht="15.75" x14ac:dyDescent="0.25">
      <c r="A318" s="5"/>
      <c r="B318" s="7"/>
      <c r="C318" s="5"/>
      <c r="D318" s="5"/>
      <c r="E318" s="8"/>
      <c r="F318" s="9"/>
      <c r="G318" s="5"/>
      <c r="H318" s="28" t="str">
        <f>IFERROR(IF(AND(COUNTIF(RegistroPago!$A$1:$A$2000,Consolidado!B318)&gt;0,INDEX(RegistroPago!$E$1:$E$2000,MATCH(Consolidado!B318,RegistroPago!$A$1:$A$2000,0))&lt;&gt;""),"PAGADA",IF(I318&lt;&gt;"","PENDIENTE","SIN EMITIR")),"")</f>
        <v/>
      </c>
      <c r="I318" s="10"/>
      <c r="J318" s="2"/>
      <c r="K318" s="29"/>
      <c r="L318" s="29"/>
    </row>
    <row r="319" spans="1:12" ht="15.75" x14ac:dyDescent="0.25">
      <c r="A319" s="5"/>
      <c r="B319" s="7"/>
      <c r="C319" s="5"/>
      <c r="D319" s="5"/>
      <c r="E319" s="8"/>
      <c r="F319" s="9"/>
      <c r="G319" s="5"/>
      <c r="H319" s="28" t="str">
        <f>IFERROR(IF(AND(COUNTIF(RegistroPago!$A$1:$A$2000,Consolidado!B319)&gt;0,INDEX(RegistroPago!$E$1:$E$2000,MATCH(Consolidado!B319,RegistroPago!$A$1:$A$2000,0))&lt;&gt;""),"PAGADA",IF(I319&lt;&gt;"","PENDIENTE","SIN EMITIR")),"")</f>
        <v/>
      </c>
      <c r="I319" s="10"/>
      <c r="J319" s="2"/>
      <c r="K319" s="29"/>
      <c r="L319" s="29"/>
    </row>
    <row r="320" spans="1:12" ht="15.75" x14ac:dyDescent="0.25">
      <c r="A320" s="5"/>
      <c r="B320" s="7"/>
      <c r="C320" s="5"/>
      <c r="D320" s="5"/>
      <c r="E320" s="8"/>
      <c r="F320" s="9"/>
      <c r="G320" s="5"/>
      <c r="H320" s="28" t="str">
        <f>IFERROR(IF(AND(COUNTIF(RegistroPago!$A$1:$A$2000,Consolidado!B320)&gt;0,INDEX(RegistroPago!$E$1:$E$2000,MATCH(Consolidado!B320,RegistroPago!$A$1:$A$2000,0))&lt;&gt;""),"PAGADA",IF(I320&lt;&gt;"","PENDIENTE","SIN EMITIR")),"")</f>
        <v/>
      </c>
      <c r="I320" s="10"/>
      <c r="J320" s="2"/>
      <c r="K320" s="29"/>
      <c r="L320" s="29"/>
    </row>
    <row r="321" spans="1:12" ht="15.75" x14ac:dyDescent="0.25">
      <c r="A321" s="5"/>
      <c r="B321" s="7"/>
      <c r="C321" s="5"/>
      <c r="D321" s="5"/>
      <c r="E321" s="8"/>
      <c r="F321" s="9"/>
      <c r="G321" s="5"/>
      <c r="H321" s="28" t="str">
        <f>IFERROR(IF(AND(COUNTIF(RegistroPago!$A$1:$A$2000,Consolidado!B321)&gt;0,INDEX(RegistroPago!$E$1:$E$2000,MATCH(Consolidado!B321,RegistroPago!$A$1:$A$2000,0))&lt;&gt;""),"PAGADA",IF(I321&lt;&gt;"","PENDIENTE","SIN EMITIR")),"")</f>
        <v/>
      </c>
      <c r="I321" s="10"/>
      <c r="J321" s="2"/>
      <c r="K321" s="29"/>
      <c r="L321" s="29"/>
    </row>
    <row r="322" spans="1:12" ht="15.75" x14ac:dyDescent="0.25">
      <c r="A322" s="5"/>
      <c r="B322" s="7"/>
      <c r="C322" s="5"/>
      <c r="D322" s="5"/>
      <c r="E322" s="8"/>
      <c r="F322" s="9"/>
      <c r="G322" s="5"/>
      <c r="H322" s="28" t="str">
        <f>IFERROR(IF(AND(COUNTIF(RegistroPago!$A$1:$A$2000,Consolidado!B322)&gt;0,INDEX(RegistroPago!$E$1:$E$2000,MATCH(Consolidado!B322,RegistroPago!$A$1:$A$2000,0))&lt;&gt;""),"PAGADA",IF(I322&lt;&gt;"","PENDIENTE","SIN EMITIR")),"")</f>
        <v/>
      </c>
      <c r="I322" s="10"/>
      <c r="J322" s="2"/>
      <c r="K322" s="29"/>
      <c r="L322" s="29"/>
    </row>
    <row r="323" spans="1:12" ht="15.75" x14ac:dyDescent="0.25">
      <c r="A323" s="5"/>
      <c r="B323" s="7"/>
      <c r="C323" s="5"/>
      <c r="D323" s="5"/>
      <c r="E323" s="8"/>
      <c r="F323" s="9"/>
      <c r="G323" s="5"/>
      <c r="H323" s="28" t="str">
        <f>IFERROR(IF(AND(COUNTIF(RegistroPago!$A$1:$A$2000,Consolidado!B323)&gt;0,INDEX(RegistroPago!$E$1:$E$2000,MATCH(Consolidado!B323,RegistroPago!$A$1:$A$2000,0))&lt;&gt;""),"PAGADA",IF(I323&lt;&gt;"","PENDIENTE","SIN EMITIR")),"")</f>
        <v/>
      </c>
      <c r="I323" s="10"/>
      <c r="J323" s="2"/>
      <c r="K323" s="29"/>
      <c r="L323" s="29"/>
    </row>
    <row r="324" spans="1:12" ht="15.75" x14ac:dyDescent="0.25">
      <c r="A324" s="5"/>
      <c r="B324" s="7"/>
      <c r="C324" s="5"/>
      <c r="D324" s="5"/>
      <c r="E324" s="8"/>
      <c r="F324" s="9"/>
      <c r="G324" s="5"/>
      <c r="H324" s="28" t="str">
        <f>IFERROR(IF(AND(COUNTIF(RegistroPago!$A$1:$A$2000,Consolidado!B324)&gt;0,INDEX(RegistroPago!$E$1:$E$2000,MATCH(Consolidado!B324,RegistroPago!$A$1:$A$2000,0))&lt;&gt;""),"PAGADA",IF(I324&lt;&gt;"","PENDIENTE","SIN EMITIR")),"")</f>
        <v/>
      </c>
      <c r="I324" s="10"/>
      <c r="J324" s="2"/>
      <c r="K324" s="29"/>
      <c r="L324" s="29"/>
    </row>
    <row r="325" spans="1:12" ht="15.75" x14ac:dyDescent="0.25">
      <c r="A325" s="5"/>
      <c r="B325" s="7"/>
      <c r="C325" s="5"/>
      <c r="D325" s="5"/>
      <c r="E325" s="8"/>
      <c r="F325" s="9"/>
      <c r="G325" s="5"/>
      <c r="H325" s="28" t="str">
        <f>IFERROR(IF(AND(COUNTIF(RegistroPago!$A$1:$A$2000,Consolidado!B325)&gt;0,INDEX(RegistroPago!$E$1:$E$2000,MATCH(Consolidado!B325,RegistroPago!$A$1:$A$2000,0))&lt;&gt;""),"PAGADA",IF(I325&lt;&gt;"","PENDIENTE","SIN EMITIR")),"")</f>
        <v/>
      </c>
      <c r="I325" s="10"/>
      <c r="J325" s="2"/>
      <c r="K325" s="29"/>
      <c r="L325" s="29"/>
    </row>
    <row r="326" spans="1:12" ht="15.75" x14ac:dyDescent="0.25">
      <c r="A326" s="5"/>
      <c r="B326" s="7"/>
      <c r="C326" s="5"/>
      <c r="D326" s="5"/>
      <c r="E326" s="8"/>
      <c r="F326" s="9"/>
      <c r="G326" s="5"/>
      <c r="H326" s="28" t="str">
        <f>IFERROR(IF(AND(COUNTIF(RegistroPago!$A$1:$A$2000,Consolidado!B326)&gt;0,INDEX(RegistroPago!$E$1:$E$2000,MATCH(Consolidado!B326,RegistroPago!$A$1:$A$2000,0))&lt;&gt;""),"PAGADA",IF(I326&lt;&gt;"","PENDIENTE","SIN EMITIR")),"")</f>
        <v/>
      </c>
      <c r="I326" s="10"/>
      <c r="J326" s="2"/>
      <c r="K326" s="29"/>
      <c r="L326" s="29"/>
    </row>
    <row r="327" spans="1:12" ht="15.75" x14ac:dyDescent="0.25">
      <c r="A327" s="5"/>
      <c r="B327" s="7"/>
      <c r="C327" s="5"/>
      <c r="D327" s="5"/>
      <c r="E327" s="8"/>
      <c r="F327" s="9"/>
      <c r="G327" s="5"/>
      <c r="H327" s="28" t="str">
        <f>IFERROR(IF(AND(COUNTIF(RegistroPago!$A$1:$A$2000,Consolidado!B327)&gt;0,INDEX(RegistroPago!$E$1:$E$2000,MATCH(Consolidado!B327,RegistroPago!$A$1:$A$2000,0))&lt;&gt;""),"PAGADA",IF(I327&lt;&gt;"","PENDIENTE","SIN EMITIR")),"")</f>
        <v/>
      </c>
      <c r="I327" s="10"/>
      <c r="J327" s="2"/>
      <c r="K327" s="29"/>
      <c r="L327" s="29"/>
    </row>
    <row r="328" spans="1:12" ht="15.75" x14ac:dyDescent="0.25">
      <c r="A328" s="5"/>
      <c r="B328" s="7"/>
      <c r="C328" s="5"/>
      <c r="D328" s="5"/>
      <c r="E328" s="8"/>
      <c r="F328" s="9"/>
      <c r="G328" s="5"/>
      <c r="H328" s="28" t="str">
        <f>IFERROR(IF(AND(COUNTIF(RegistroPago!$A$1:$A$2000,Consolidado!B328)&gt;0,INDEX(RegistroPago!$E$1:$E$2000,MATCH(Consolidado!B328,RegistroPago!$A$1:$A$2000,0))&lt;&gt;""),"PAGADA",IF(I328&lt;&gt;"","PENDIENTE","SIN EMITIR")),"")</f>
        <v/>
      </c>
      <c r="I328" s="10"/>
      <c r="J328" s="2"/>
      <c r="K328" s="29"/>
      <c r="L328" s="29"/>
    </row>
    <row r="329" spans="1:12" ht="15.75" x14ac:dyDescent="0.25">
      <c r="A329" s="5"/>
      <c r="B329" s="7"/>
      <c r="C329" s="5"/>
      <c r="D329" s="5"/>
      <c r="E329" s="8"/>
      <c r="F329" s="9"/>
      <c r="G329" s="5"/>
      <c r="H329" s="28" t="str">
        <f>IFERROR(IF(AND(COUNTIF(RegistroPago!$A$1:$A$2000,Consolidado!B329)&gt;0,INDEX(RegistroPago!$E$1:$E$2000,MATCH(Consolidado!B329,RegistroPago!$A$1:$A$2000,0))&lt;&gt;""),"PAGADA",IF(I329&lt;&gt;"","PENDIENTE","SIN EMITIR")),"")</f>
        <v/>
      </c>
      <c r="I329" s="10"/>
      <c r="J329" s="2"/>
      <c r="K329" s="29"/>
      <c r="L329" s="29"/>
    </row>
    <row r="330" spans="1:12" ht="15.75" x14ac:dyDescent="0.25">
      <c r="A330" s="5"/>
      <c r="B330" s="7"/>
      <c r="C330" s="5"/>
      <c r="D330" s="5"/>
      <c r="E330" s="8"/>
      <c r="F330" s="9"/>
      <c r="G330" s="5"/>
      <c r="H330" s="28" t="str">
        <f>IFERROR(IF(AND(COUNTIF(RegistroPago!$A$1:$A$2000,Consolidado!B330)&gt;0,INDEX(RegistroPago!$E$1:$E$2000,MATCH(Consolidado!B330,RegistroPago!$A$1:$A$2000,0))&lt;&gt;""),"PAGADA",IF(I330&lt;&gt;"","PENDIENTE","SIN EMITIR")),"")</f>
        <v/>
      </c>
      <c r="I330" s="10"/>
      <c r="J330" s="2"/>
      <c r="K330" s="29"/>
      <c r="L330" s="29"/>
    </row>
    <row r="331" spans="1:12" ht="15.75" x14ac:dyDescent="0.25">
      <c r="A331" s="5"/>
      <c r="B331" s="7"/>
      <c r="C331" s="5"/>
      <c r="D331" s="5"/>
      <c r="E331" s="8"/>
      <c r="F331" s="9"/>
      <c r="G331" s="5"/>
      <c r="H331" s="28" t="str">
        <f>IFERROR(IF(AND(COUNTIF(RegistroPago!$A$1:$A$2000,Consolidado!B331)&gt;0,INDEX(RegistroPago!$E$1:$E$2000,MATCH(Consolidado!B331,RegistroPago!$A$1:$A$2000,0))&lt;&gt;""),"PAGADA",IF(I331&lt;&gt;"","PENDIENTE","SIN EMITIR")),"")</f>
        <v/>
      </c>
      <c r="I331" s="10"/>
      <c r="J331" s="2"/>
      <c r="K331" s="29"/>
      <c r="L331" s="29"/>
    </row>
    <row r="332" spans="1:12" ht="15.75" x14ac:dyDescent="0.25">
      <c r="A332" s="5"/>
      <c r="B332" s="7"/>
      <c r="C332" s="5"/>
      <c r="D332" s="5"/>
      <c r="E332" s="8"/>
      <c r="F332" s="9"/>
      <c r="G332" s="5"/>
      <c r="H332" s="28" t="str">
        <f>IFERROR(IF(AND(COUNTIF(RegistroPago!$A$1:$A$2000,Consolidado!B332)&gt;0,INDEX(RegistroPago!$E$1:$E$2000,MATCH(Consolidado!B332,RegistroPago!$A$1:$A$2000,0))&lt;&gt;""),"PAGADA",IF(I332&lt;&gt;"","PENDIENTE","SIN EMITIR")),"")</f>
        <v/>
      </c>
      <c r="I332" s="10"/>
      <c r="J332" s="2"/>
      <c r="K332" s="29"/>
      <c r="L332" s="29"/>
    </row>
    <row r="333" spans="1:12" ht="15.75" x14ac:dyDescent="0.25">
      <c r="A333" s="5"/>
      <c r="B333" s="7"/>
      <c r="C333" s="5"/>
      <c r="D333" s="5"/>
      <c r="E333" s="8"/>
      <c r="F333" s="9"/>
      <c r="G333" s="5"/>
      <c r="H333" s="28" t="str">
        <f>IFERROR(IF(AND(COUNTIF(RegistroPago!$A$1:$A$2000,Consolidado!B333)&gt;0,INDEX(RegistroPago!$E$1:$E$2000,MATCH(Consolidado!B333,RegistroPago!$A$1:$A$2000,0))&lt;&gt;""),"PAGADA",IF(I333&lt;&gt;"","PENDIENTE","SIN EMITIR")),"")</f>
        <v/>
      </c>
      <c r="I333" s="10"/>
      <c r="J333" s="2"/>
      <c r="K333" s="29"/>
      <c r="L333" s="29"/>
    </row>
    <row r="334" spans="1:12" ht="15.75" x14ac:dyDescent="0.25">
      <c r="A334" s="5"/>
      <c r="B334" s="7"/>
      <c r="C334" s="5"/>
      <c r="D334" s="5"/>
      <c r="E334" s="8"/>
      <c r="F334" s="9"/>
      <c r="G334" s="5"/>
      <c r="H334" s="28" t="str">
        <f>IFERROR(IF(AND(COUNTIF(RegistroPago!$A$1:$A$2000,Consolidado!B334)&gt;0,INDEX(RegistroPago!$E$1:$E$2000,MATCH(Consolidado!B334,RegistroPago!$A$1:$A$2000,0))&lt;&gt;""),"PAGADA",IF(I334&lt;&gt;"","PENDIENTE","SIN EMITIR")),"")</f>
        <v/>
      </c>
      <c r="I334" s="10"/>
      <c r="J334" s="2"/>
      <c r="K334" s="29"/>
      <c r="L334" s="29"/>
    </row>
    <row r="335" spans="1:12" ht="15.75" x14ac:dyDescent="0.25">
      <c r="A335" s="5"/>
      <c r="B335" s="7"/>
      <c r="C335" s="5"/>
      <c r="D335" s="5"/>
      <c r="E335" s="8"/>
      <c r="F335" s="9"/>
      <c r="G335" s="5"/>
      <c r="H335" s="28" t="str">
        <f>IFERROR(IF(AND(COUNTIF(RegistroPago!$A$1:$A$2000,Consolidado!B335)&gt;0,INDEX(RegistroPago!$E$1:$E$2000,MATCH(Consolidado!B335,RegistroPago!$A$1:$A$2000,0))&lt;&gt;""),"PAGADA",IF(I335&lt;&gt;"","PENDIENTE","SIN EMITIR")),"")</f>
        <v/>
      </c>
      <c r="I335" s="10"/>
      <c r="J335" s="2"/>
      <c r="K335" s="29"/>
      <c r="L335" s="29"/>
    </row>
    <row r="336" spans="1:12" ht="15.75" x14ac:dyDescent="0.25">
      <c r="A336" s="5"/>
      <c r="B336" s="7"/>
      <c r="C336" s="5"/>
      <c r="D336" s="5"/>
      <c r="E336" s="8"/>
      <c r="F336" s="9"/>
      <c r="G336" s="5"/>
      <c r="H336" s="28" t="str">
        <f>IFERROR(IF(AND(COUNTIF(RegistroPago!$A$1:$A$2000,Consolidado!B336)&gt;0,INDEX(RegistroPago!$E$1:$E$2000,MATCH(Consolidado!B336,RegistroPago!$A$1:$A$2000,0))&lt;&gt;""),"PAGADA",IF(I336&lt;&gt;"","PENDIENTE","SIN EMITIR")),"")</f>
        <v/>
      </c>
      <c r="I336" s="10"/>
      <c r="J336" s="2"/>
      <c r="K336" s="29"/>
      <c r="L336" s="29"/>
    </row>
    <row r="337" spans="1:12" ht="15.75" x14ac:dyDescent="0.25">
      <c r="A337" s="5"/>
      <c r="B337" s="7"/>
      <c r="C337" s="5"/>
      <c r="D337" s="5"/>
      <c r="E337" s="8"/>
      <c r="F337" s="9"/>
      <c r="G337" s="5"/>
      <c r="H337" s="28" t="str">
        <f>IFERROR(IF(AND(COUNTIF(RegistroPago!$A$1:$A$2000,Consolidado!B337)&gt;0,INDEX(RegistroPago!$E$1:$E$2000,MATCH(Consolidado!B337,RegistroPago!$A$1:$A$2000,0))&lt;&gt;""),"PAGADA",IF(I337&lt;&gt;"","PENDIENTE","SIN EMITIR")),"")</f>
        <v/>
      </c>
      <c r="I337" s="10"/>
      <c r="J337" s="2"/>
      <c r="K337" s="29"/>
      <c r="L337" s="29"/>
    </row>
    <row r="338" spans="1:12" ht="15.75" x14ac:dyDescent="0.25">
      <c r="A338" s="5"/>
      <c r="B338" s="7"/>
      <c r="C338" s="5"/>
      <c r="D338" s="5"/>
      <c r="E338" s="8"/>
      <c r="F338" s="9"/>
      <c r="G338" s="5"/>
      <c r="H338" s="28" t="str">
        <f>IFERROR(IF(AND(COUNTIF(RegistroPago!$A$1:$A$2000,Consolidado!B338)&gt;0,INDEX(RegistroPago!$E$1:$E$2000,MATCH(Consolidado!B338,RegistroPago!$A$1:$A$2000,0))&lt;&gt;""),"PAGADA",IF(I338&lt;&gt;"","PENDIENTE","SIN EMITIR")),"")</f>
        <v/>
      </c>
      <c r="I338" s="10"/>
      <c r="J338" s="2"/>
      <c r="K338" s="29"/>
      <c r="L338" s="29"/>
    </row>
    <row r="339" spans="1:12" ht="15.75" x14ac:dyDescent="0.25">
      <c r="A339" s="5"/>
      <c r="B339" s="7"/>
      <c r="C339" s="5"/>
      <c r="D339" s="5"/>
      <c r="E339" s="8"/>
      <c r="F339" s="9"/>
      <c r="G339" s="5"/>
      <c r="H339" s="28" t="str">
        <f>IFERROR(IF(AND(COUNTIF(RegistroPago!$A$1:$A$2000,Consolidado!B339)&gt;0,INDEX(RegistroPago!$E$1:$E$2000,MATCH(Consolidado!B339,RegistroPago!$A$1:$A$2000,0))&lt;&gt;""),"PAGADA",IF(I339&lt;&gt;"","PENDIENTE","SIN EMITIR")),"")</f>
        <v/>
      </c>
      <c r="I339" s="10"/>
      <c r="J339" s="2"/>
      <c r="K339" s="29"/>
      <c r="L339" s="29"/>
    </row>
    <row r="340" spans="1:12" ht="15.75" x14ac:dyDescent="0.25">
      <c r="A340" s="5"/>
      <c r="B340" s="7"/>
      <c r="C340" s="5"/>
      <c r="D340" s="5"/>
      <c r="E340" s="8"/>
      <c r="F340" s="9"/>
      <c r="G340" s="5"/>
      <c r="H340" s="28" t="str">
        <f>IFERROR(IF(AND(COUNTIF(RegistroPago!$A$1:$A$2000,Consolidado!B340)&gt;0,INDEX(RegistroPago!$E$1:$E$2000,MATCH(Consolidado!B340,RegistroPago!$A$1:$A$2000,0))&lt;&gt;""),"PAGADA",IF(I340&lt;&gt;"","PENDIENTE","SIN EMITIR")),"")</f>
        <v/>
      </c>
      <c r="I340" s="10"/>
      <c r="J340" s="2"/>
      <c r="K340" s="29"/>
      <c r="L340" s="29"/>
    </row>
    <row r="341" spans="1:12" ht="15.75" x14ac:dyDescent="0.25">
      <c r="A341" s="5"/>
      <c r="B341" s="7"/>
      <c r="C341" s="5"/>
      <c r="D341" s="5"/>
      <c r="E341" s="8"/>
      <c r="F341" s="9"/>
      <c r="G341" s="5"/>
      <c r="H341" s="28" t="str">
        <f>IFERROR(IF(AND(COUNTIF(RegistroPago!$A$1:$A$2000,Consolidado!B341)&gt;0,INDEX(RegistroPago!$E$1:$E$2000,MATCH(Consolidado!B341,RegistroPago!$A$1:$A$2000,0))&lt;&gt;""),"PAGADA",IF(I341&lt;&gt;"","PENDIENTE","SIN EMITIR")),"")</f>
        <v/>
      </c>
      <c r="I341" s="10"/>
      <c r="J341" s="2"/>
      <c r="K341" s="29"/>
      <c r="L341" s="29"/>
    </row>
    <row r="342" spans="1:12" ht="15.75" x14ac:dyDescent="0.25">
      <c r="A342" s="5"/>
      <c r="B342" s="7"/>
      <c r="C342" s="5"/>
      <c r="D342" s="5"/>
      <c r="E342" s="8"/>
      <c r="F342" s="9"/>
      <c r="G342" s="5"/>
      <c r="H342" s="28" t="str">
        <f>IFERROR(IF(AND(COUNTIF(RegistroPago!$A$1:$A$2000,Consolidado!B342)&gt;0,INDEX(RegistroPago!$E$1:$E$2000,MATCH(Consolidado!B342,RegistroPago!$A$1:$A$2000,0))&lt;&gt;""),"PAGADA",IF(I342&lt;&gt;"","PENDIENTE","SIN EMITIR")),"")</f>
        <v/>
      </c>
      <c r="I342" s="10"/>
      <c r="J342" s="2"/>
      <c r="K342" s="29"/>
      <c r="L342" s="29"/>
    </row>
    <row r="343" spans="1:12" ht="15.75" x14ac:dyDescent="0.25">
      <c r="A343" s="5"/>
      <c r="B343" s="7"/>
      <c r="C343" s="5"/>
      <c r="D343" s="5"/>
      <c r="E343" s="8"/>
      <c r="F343" s="9"/>
      <c r="G343" s="5"/>
      <c r="H343" s="28" t="str">
        <f>IFERROR(IF(AND(COUNTIF(RegistroPago!$A$1:$A$2000,Consolidado!B343)&gt;0,INDEX(RegistroPago!$E$1:$E$2000,MATCH(Consolidado!B343,RegistroPago!$A$1:$A$2000,0))&lt;&gt;""),"PAGADA",IF(I343&lt;&gt;"","PENDIENTE","SIN EMITIR")),"")</f>
        <v/>
      </c>
      <c r="I343" s="10"/>
      <c r="J343" s="2"/>
      <c r="K343" s="29"/>
      <c r="L343" s="29"/>
    </row>
    <row r="344" spans="1:12" ht="15.75" x14ac:dyDescent="0.25">
      <c r="A344" s="5"/>
      <c r="B344" s="7"/>
      <c r="C344" s="5"/>
      <c r="D344" s="5"/>
      <c r="E344" s="8"/>
      <c r="F344" s="9"/>
      <c r="G344" s="5"/>
      <c r="H344" s="28" t="str">
        <f>IFERROR(IF(AND(COUNTIF(RegistroPago!$A$1:$A$2000,Consolidado!B344)&gt;0,INDEX(RegistroPago!$E$1:$E$2000,MATCH(Consolidado!B344,RegistroPago!$A$1:$A$2000,0))&lt;&gt;""),"PAGADA",IF(I344&lt;&gt;"","PENDIENTE","SIN EMITIR")),"")</f>
        <v/>
      </c>
      <c r="I344" s="10"/>
      <c r="J344" s="2"/>
      <c r="K344" s="29"/>
      <c r="L344" s="29"/>
    </row>
    <row r="345" spans="1:12" ht="15.75" x14ac:dyDescent="0.25">
      <c r="A345" s="5"/>
      <c r="B345" s="7"/>
      <c r="C345" s="5"/>
      <c r="D345" s="5"/>
      <c r="E345" s="8"/>
      <c r="F345" s="9"/>
      <c r="G345" s="5"/>
      <c r="H345" s="28" t="str">
        <f>IFERROR(IF(AND(COUNTIF(RegistroPago!$A$1:$A$2000,Consolidado!B345)&gt;0,INDEX(RegistroPago!$E$1:$E$2000,MATCH(Consolidado!B345,RegistroPago!$A$1:$A$2000,0))&lt;&gt;""),"PAGADA",IF(I345&lt;&gt;"","PENDIENTE","SIN EMITIR")),"")</f>
        <v/>
      </c>
      <c r="I345" s="10"/>
      <c r="J345" s="2"/>
      <c r="K345" s="29"/>
      <c r="L345" s="29"/>
    </row>
    <row r="346" spans="1:12" ht="15.75" x14ac:dyDescent="0.25">
      <c r="A346" s="5"/>
      <c r="B346" s="7"/>
      <c r="C346" s="5"/>
      <c r="D346" s="5"/>
      <c r="E346" s="8"/>
      <c r="F346" s="9"/>
      <c r="G346" s="5"/>
      <c r="H346" s="28" t="str">
        <f>IFERROR(IF(AND(COUNTIF(RegistroPago!$A$1:$A$2000,Consolidado!B346)&gt;0,INDEX(RegistroPago!$E$1:$E$2000,MATCH(Consolidado!B346,RegistroPago!$A$1:$A$2000,0))&lt;&gt;""),"PAGADA",IF(I346&lt;&gt;"","PENDIENTE","SIN EMITIR")),"")</f>
        <v/>
      </c>
      <c r="I346" s="10"/>
      <c r="J346" s="2"/>
      <c r="K346" s="29"/>
      <c r="L346" s="29"/>
    </row>
    <row r="347" spans="1:12" ht="15.75" x14ac:dyDescent="0.25">
      <c r="A347" s="5"/>
      <c r="B347" s="7"/>
      <c r="C347" s="5"/>
      <c r="D347" s="5"/>
      <c r="E347" s="8"/>
      <c r="F347" s="9"/>
      <c r="G347" s="5"/>
      <c r="H347" s="28" t="str">
        <f>IFERROR(IF(AND(COUNTIF(RegistroPago!$A$1:$A$2000,Consolidado!B347)&gt;0,INDEX(RegistroPago!$E$1:$E$2000,MATCH(Consolidado!B347,RegistroPago!$A$1:$A$2000,0))&lt;&gt;""),"PAGADA",IF(I347&lt;&gt;"","PENDIENTE","SIN EMITIR")),"")</f>
        <v/>
      </c>
      <c r="I347" s="10"/>
      <c r="J347" s="2"/>
      <c r="K347" s="29"/>
      <c r="L347" s="29"/>
    </row>
    <row r="348" spans="1:12" ht="15.75" x14ac:dyDescent="0.25">
      <c r="A348" s="5"/>
      <c r="B348" s="7"/>
      <c r="C348" s="5"/>
      <c r="D348" s="5"/>
      <c r="E348" s="8"/>
      <c r="F348" s="9"/>
      <c r="G348" s="5"/>
      <c r="H348" s="28" t="str">
        <f>IFERROR(IF(AND(COUNTIF(RegistroPago!$A$1:$A$2000,Consolidado!B348)&gt;0,INDEX(RegistroPago!$E$1:$E$2000,MATCH(Consolidado!B348,RegistroPago!$A$1:$A$2000,0))&lt;&gt;""),"PAGADA",IF(I348&lt;&gt;"","PENDIENTE","SIN EMITIR")),"")</f>
        <v/>
      </c>
      <c r="I348" s="10"/>
      <c r="J348" s="2"/>
      <c r="K348" s="29"/>
      <c r="L348" s="29"/>
    </row>
    <row r="349" spans="1:12" ht="15.75" x14ac:dyDescent="0.25">
      <c r="A349" s="5"/>
      <c r="B349" s="7"/>
      <c r="C349" s="5"/>
      <c r="D349" s="5"/>
      <c r="E349" s="8"/>
      <c r="F349" s="9"/>
      <c r="G349" s="5"/>
      <c r="H349" s="28" t="str">
        <f>IFERROR(IF(AND(COUNTIF(RegistroPago!$A$1:$A$2000,Consolidado!B349)&gt;0,INDEX(RegistroPago!$E$1:$E$2000,MATCH(Consolidado!B349,RegistroPago!$A$1:$A$2000,0))&lt;&gt;""),"PAGADA",IF(I349&lt;&gt;"","PENDIENTE","SIN EMITIR")),"")</f>
        <v/>
      </c>
      <c r="I349" s="10"/>
      <c r="J349" s="2"/>
      <c r="K349" s="29"/>
      <c r="L349" s="29"/>
    </row>
    <row r="350" spans="1:12" ht="15.75" x14ac:dyDescent="0.25">
      <c r="A350" s="5"/>
      <c r="B350" s="7"/>
      <c r="C350" s="5"/>
      <c r="D350" s="5"/>
      <c r="E350" s="8"/>
      <c r="F350" s="9"/>
      <c r="G350" s="5"/>
      <c r="H350" s="28" t="str">
        <f>IFERROR(IF(AND(COUNTIF(RegistroPago!$A$1:$A$2000,Consolidado!B350)&gt;0,INDEX(RegistroPago!$E$1:$E$2000,MATCH(Consolidado!B350,RegistroPago!$A$1:$A$2000,0))&lt;&gt;""),"PAGADA",IF(I350&lt;&gt;"","PENDIENTE","SIN EMITIR")),"")</f>
        <v/>
      </c>
      <c r="I350" s="10"/>
      <c r="J350" s="2"/>
      <c r="K350" s="29"/>
      <c r="L350" s="29"/>
    </row>
    <row r="351" spans="1:12" ht="15.75" x14ac:dyDescent="0.25">
      <c r="A351" s="5"/>
      <c r="B351" s="7"/>
      <c r="C351" s="5"/>
      <c r="D351" s="5"/>
      <c r="E351" s="8"/>
      <c r="F351" s="9"/>
      <c r="G351" s="5"/>
      <c r="H351" s="28" t="str">
        <f>IFERROR(IF(AND(COUNTIF(RegistroPago!$A$1:$A$2000,Consolidado!B351)&gt;0,INDEX(RegistroPago!$E$1:$E$2000,MATCH(Consolidado!B351,RegistroPago!$A$1:$A$2000,0))&lt;&gt;""),"PAGADA",IF(I351&lt;&gt;"","PENDIENTE","SIN EMITIR")),"")</f>
        <v/>
      </c>
      <c r="I351" s="10"/>
      <c r="J351" s="2"/>
      <c r="K351" s="29"/>
      <c r="L351" s="29"/>
    </row>
    <row r="352" spans="1:12" ht="15.75" x14ac:dyDescent="0.25">
      <c r="A352" s="5"/>
      <c r="B352" s="7"/>
      <c r="C352" s="5"/>
      <c r="D352" s="5"/>
      <c r="E352" s="8"/>
      <c r="F352" s="9"/>
      <c r="G352" s="5"/>
      <c r="H352" s="28" t="str">
        <f>IFERROR(IF(AND(COUNTIF(RegistroPago!$A$1:$A$2000,Consolidado!B352)&gt;0,INDEX(RegistroPago!$E$1:$E$2000,MATCH(Consolidado!B352,RegistroPago!$A$1:$A$2000,0))&lt;&gt;""),"PAGADA",IF(I352&lt;&gt;"","PENDIENTE","SIN EMITIR")),"")</f>
        <v/>
      </c>
      <c r="I352" s="10"/>
      <c r="J352" s="2"/>
      <c r="K352" s="29"/>
      <c r="L352" s="29"/>
    </row>
    <row r="353" spans="1:12" ht="15.75" x14ac:dyDescent="0.25">
      <c r="A353" s="5"/>
      <c r="B353" s="7"/>
      <c r="C353" s="5"/>
      <c r="D353" s="5"/>
      <c r="E353" s="8"/>
      <c r="F353" s="9"/>
      <c r="G353" s="5"/>
      <c r="H353" s="28" t="str">
        <f>IFERROR(IF(AND(COUNTIF(RegistroPago!$A$1:$A$2000,Consolidado!B353)&gt;0,INDEX(RegistroPago!$E$1:$E$2000,MATCH(Consolidado!B353,RegistroPago!$A$1:$A$2000,0))&lt;&gt;""),"PAGADA",IF(I353&lt;&gt;"","PENDIENTE","SIN EMITIR")),"")</f>
        <v/>
      </c>
      <c r="I353" s="10"/>
      <c r="J353" s="2"/>
      <c r="K353" s="29"/>
      <c r="L353" s="29"/>
    </row>
    <row r="354" spans="1:12" ht="15.75" x14ac:dyDescent="0.25">
      <c r="A354" s="5"/>
      <c r="B354" s="7"/>
      <c r="C354" s="5"/>
      <c r="D354" s="5"/>
      <c r="E354" s="8"/>
      <c r="F354" s="9"/>
      <c r="G354" s="5"/>
      <c r="H354" s="28" t="str">
        <f>IFERROR(IF(AND(COUNTIF(RegistroPago!$A$1:$A$2000,Consolidado!B354)&gt;0,INDEX(RegistroPago!$E$1:$E$2000,MATCH(Consolidado!B354,RegistroPago!$A$1:$A$2000,0))&lt;&gt;""),"PAGADA",IF(I354&lt;&gt;"","PENDIENTE","SIN EMITIR")),"")</f>
        <v/>
      </c>
      <c r="I354" s="10"/>
      <c r="J354" s="2"/>
      <c r="K354" s="29"/>
      <c r="L354" s="29"/>
    </row>
    <row r="355" spans="1:12" ht="15.75" x14ac:dyDescent="0.25">
      <c r="A355" s="5"/>
      <c r="B355" s="7"/>
      <c r="C355" s="5"/>
      <c r="D355" s="5"/>
      <c r="E355" s="8"/>
      <c r="F355" s="9"/>
      <c r="G355" s="5"/>
      <c r="H355" s="28" t="str">
        <f>IFERROR(IF(AND(COUNTIF(RegistroPago!$A$1:$A$2000,Consolidado!B355)&gt;0,INDEX(RegistroPago!$E$1:$E$2000,MATCH(Consolidado!B355,RegistroPago!$A$1:$A$2000,0))&lt;&gt;""),"PAGADA",IF(I355&lt;&gt;"","PENDIENTE","SIN EMITIR")),"")</f>
        <v/>
      </c>
      <c r="I355" s="10"/>
      <c r="J355" s="2"/>
      <c r="K355" s="29"/>
      <c r="L355" s="29"/>
    </row>
    <row r="356" spans="1:12" ht="15.75" x14ac:dyDescent="0.25">
      <c r="A356" s="5"/>
      <c r="B356" s="7"/>
      <c r="C356" s="5"/>
      <c r="D356" s="5"/>
      <c r="E356" s="8"/>
      <c r="F356" s="9"/>
      <c r="G356" s="5"/>
      <c r="H356" s="28" t="str">
        <f>IFERROR(IF(AND(COUNTIF(RegistroPago!$A$1:$A$2000,Consolidado!B356)&gt;0,INDEX(RegistroPago!$E$1:$E$2000,MATCH(Consolidado!B356,RegistroPago!$A$1:$A$2000,0))&lt;&gt;""),"PAGADA",IF(I356&lt;&gt;"","PENDIENTE","SIN EMITIR")),"")</f>
        <v/>
      </c>
      <c r="I356" s="10"/>
      <c r="J356" s="2"/>
      <c r="K356" s="29"/>
      <c r="L356" s="29"/>
    </row>
    <row r="357" spans="1:12" ht="15.75" x14ac:dyDescent="0.25">
      <c r="A357" s="5"/>
      <c r="B357" s="7"/>
      <c r="C357" s="5"/>
      <c r="D357" s="5"/>
      <c r="E357" s="8"/>
      <c r="F357" s="9"/>
      <c r="G357" s="5"/>
      <c r="H357" s="28" t="str">
        <f>IFERROR(IF(AND(COUNTIF(RegistroPago!$A$1:$A$2000,Consolidado!B357)&gt;0,INDEX(RegistroPago!$E$1:$E$2000,MATCH(Consolidado!B357,RegistroPago!$A$1:$A$2000,0))&lt;&gt;""),"PAGADA",IF(I357&lt;&gt;"","PENDIENTE","SIN EMITIR")),"")</f>
        <v/>
      </c>
      <c r="I357" s="10"/>
      <c r="J357" s="2"/>
      <c r="K357" s="29"/>
      <c r="L357" s="29"/>
    </row>
    <row r="358" spans="1:12" ht="15.75" x14ac:dyDescent="0.25">
      <c r="A358" s="5"/>
      <c r="B358" s="7"/>
      <c r="C358" s="5"/>
      <c r="D358" s="5"/>
      <c r="E358" s="8"/>
      <c r="F358" s="9"/>
      <c r="G358" s="5"/>
      <c r="H358" s="28" t="str">
        <f>IFERROR(IF(AND(COUNTIF(RegistroPago!$A$1:$A$2000,Consolidado!B358)&gt;0,INDEX(RegistroPago!$E$1:$E$2000,MATCH(Consolidado!B358,RegistroPago!$A$1:$A$2000,0))&lt;&gt;""),"PAGADA",IF(I358&lt;&gt;"","PENDIENTE","SIN EMITIR")),"")</f>
        <v/>
      </c>
      <c r="I358" s="10"/>
      <c r="J358" s="2"/>
      <c r="K358" s="29"/>
      <c r="L358" s="29"/>
    </row>
    <row r="359" spans="1:12" ht="15.75" x14ac:dyDescent="0.25">
      <c r="A359" s="5"/>
      <c r="B359" s="7"/>
      <c r="C359" s="5"/>
      <c r="D359" s="5"/>
      <c r="E359" s="8"/>
      <c r="F359" s="9"/>
      <c r="G359" s="5"/>
      <c r="H359" s="28" t="str">
        <f>IFERROR(IF(AND(COUNTIF(RegistroPago!$A$1:$A$2000,Consolidado!B359)&gt;0,INDEX(RegistroPago!$E$1:$E$2000,MATCH(Consolidado!B359,RegistroPago!$A$1:$A$2000,0))&lt;&gt;""),"PAGADA",IF(I359&lt;&gt;"","PENDIENTE","SIN EMITIR")),"")</f>
        <v/>
      </c>
      <c r="I359" s="10"/>
      <c r="J359" s="2"/>
      <c r="K359" s="29"/>
      <c r="L359" s="29"/>
    </row>
    <row r="360" spans="1:12" ht="15.75" x14ac:dyDescent="0.25">
      <c r="A360" s="5"/>
      <c r="B360" s="7"/>
      <c r="C360" s="5"/>
      <c r="D360" s="5"/>
      <c r="E360" s="8"/>
      <c r="F360" s="9"/>
      <c r="G360" s="5"/>
      <c r="H360" s="28" t="str">
        <f>IFERROR(IF(AND(COUNTIF(RegistroPago!$A$1:$A$2000,Consolidado!B360)&gt;0,INDEX(RegistroPago!$E$1:$E$2000,MATCH(Consolidado!B360,RegistroPago!$A$1:$A$2000,0))&lt;&gt;""),"PAGADA",IF(I360&lt;&gt;"","PENDIENTE","SIN EMITIR")),"")</f>
        <v/>
      </c>
      <c r="I360" s="10"/>
      <c r="J360" s="2"/>
      <c r="K360" s="29"/>
      <c r="L360" s="29"/>
    </row>
    <row r="361" spans="1:12" ht="15.75" x14ac:dyDescent="0.25">
      <c r="A361" s="5"/>
      <c r="B361" s="7"/>
      <c r="C361" s="5"/>
      <c r="D361" s="5"/>
      <c r="E361" s="8"/>
      <c r="F361" s="9"/>
      <c r="G361" s="5"/>
      <c r="H361" s="28" t="str">
        <f>IFERROR(IF(AND(COUNTIF(RegistroPago!$A$1:$A$2000,Consolidado!B361)&gt;0,INDEX(RegistroPago!$E$1:$E$2000,MATCH(Consolidado!B361,RegistroPago!$A$1:$A$2000,0))&lt;&gt;""),"PAGADA",IF(I361&lt;&gt;"","PENDIENTE","SIN EMITIR")),"")</f>
        <v/>
      </c>
      <c r="I361" s="10"/>
      <c r="J361" s="2"/>
      <c r="K361" s="29"/>
      <c r="L361" s="29"/>
    </row>
    <row r="362" spans="1:12" ht="15.75" x14ac:dyDescent="0.25">
      <c r="A362" s="5"/>
      <c r="B362" s="7"/>
      <c r="C362" s="5"/>
      <c r="D362" s="5"/>
      <c r="E362" s="8"/>
      <c r="F362" s="9"/>
      <c r="G362" s="5"/>
      <c r="H362" s="28" t="str">
        <f>IFERROR(IF(AND(COUNTIF(RegistroPago!$A$1:$A$2000,Consolidado!B362)&gt;0,INDEX(RegistroPago!$E$1:$E$2000,MATCH(Consolidado!B362,RegistroPago!$A$1:$A$2000,0))&lt;&gt;""),"PAGADA",IF(I362&lt;&gt;"","PENDIENTE","SIN EMITIR")),"")</f>
        <v/>
      </c>
      <c r="I362" s="10"/>
      <c r="J362" s="2"/>
      <c r="K362" s="29"/>
      <c r="L362" s="29"/>
    </row>
    <row r="363" spans="1:12" ht="15.75" x14ac:dyDescent="0.25">
      <c r="A363" s="5"/>
      <c r="B363" s="7"/>
      <c r="C363" s="5"/>
      <c r="D363" s="5"/>
      <c r="E363" s="8"/>
      <c r="F363" s="9"/>
      <c r="G363" s="5"/>
      <c r="H363" s="28" t="str">
        <f>IFERROR(IF(AND(COUNTIF(RegistroPago!$A$1:$A$2000,Consolidado!B363)&gt;0,INDEX(RegistroPago!$E$1:$E$2000,MATCH(Consolidado!B363,RegistroPago!$A$1:$A$2000,0))&lt;&gt;""),"PAGADA",IF(I363&lt;&gt;"","PENDIENTE","SIN EMITIR")),"")</f>
        <v/>
      </c>
      <c r="I363" s="10"/>
      <c r="J363" s="2"/>
      <c r="K363" s="29"/>
      <c r="L363" s="29"/>
    </row>
    <row r="364" spans="1:12" ht="15.75" x14ac:dyDescent="0.25">
      <c r="A364" s="5"/>
      <c r="B364" s="7"/>
      <c r="C364" s="5"/>
      <c r="D364" s="5"/>
      <c r="E364" s="8"/>
      <c r="F364" s="9"/>
      <c r="G364" s="5"/>
      <c r="H364" s="28" t="str">
        <f>IFERROR(IF(AND(COUNTIF(RegistroPago!$A$1:$A$2000,Consolidado!B364)&gt;0,INDEX(RegistroPago!$E$1:$E$2000,MATCH(Consolidado!B364,RegistroPago!$A$1:$A$2000,0))&lt;&gt;""),"PAGADA",IF(I364&lt;&gt;"","PENDIENTE","SIN EMITIR")),"")</f>
        <v/>
      </c>
      <c r="I364" s="10"/>
      <c r="J364" s="2"/>
      <c r="K364" s="29"/>
      <c r="L364" s="29"/>
    </row>
    <row r="365" spans="1:12" ht="15.75" x14ac:dyDescent="0.25">
      <c r="A365" s="5"/>
      <c r="B365" s="7"/>
      <c r="C365" s="5"/>
      <c r="D365" s="5"/>
      <c r="E365" s="8"/>
      <c r="F365" s="9"/>
      <c r="G365" s="5"/>
      <c r="H365" s="28" t="str">
        <f>IFERROR(IF(AND(COUNTIF(RegistroPago!$A$1:$A$2000,Consolidado!B365)&gt;0,INDEX(RegistroPago!$E$1:$E$2000,MATCH(Consolidado!B365,RegistroPago!$A$1:$A$2000,0))&lt;&gt;""),"PAGADA",IF(I365&lt;&gt;"","PENDIENTE","SIN EMITIR")),"")</f>
        <v/>
      </c>
      <c r="I365" s="10"/>
      <c r="J365" s="2"/>
      <c r="K365" s="29"/>
      <c r="L365" s="29"/>
    </row>
    <row r="366" spans="1:12" ht="15.75" x14ac:dyDescent="0.25">
      <c r="A366" s="5"/>
      <c r="B366" s="7"/>
      <c r="C366" s="5"/>
      <c r="D366" s="5"/>
      <c r="E366" s="8"/>
      <c r="F366" s="9"/>
      <c r="G366" s="5"/>
      <c r="H366" s="28" t="str">
        <f>IFERROR(IF(AND(COUNTIF(RegistroPago!$A$1:$A$2000,Consolidado!B366)&gt;0,INDEX(RegistroPago!$E$1:$E$2000,MATCH(Consolidado!B366,RegistroPago!$A$1:$A$2000,0))&lt;&gt;""),"PAGADA",IF(I366&lt;&gt;"","PENDIENTE","SIN EMITIR")),"")</f>
        <v/>
      </c>
      <c r="I366" s="10"/>
      <c r="J366" s="2"/>
      <c r="K366" s="29"/>
      <c r="L366" s="29"/>
    </row>
    <row r="367" spans="1:12" ht="15.75" x14ac:dyDescent="0.25">
      <c r="A367" s="5"/>
      <c r="B367" s="7"/>
      <c r="C367" s="5"/>
      <c r="D367" s="5"/>
      <c r="E367" s="8"/>
      <c r="F367" s="9"/>
      <c r="G367" s="5"/>
      <c r="H367" s="28" t="str">
        <f>IFERROR(IF(AND(COUNTIF(RegistroPago!$A$1:$A$2000,Consolidado!B367)&gt;0,INDEX(RegistroPago!$E$1:$E$2000,MATCH(Consolidado!B367,RegistroPago!$A$1:$A$2000,0))&lt;&gt;""),"PAGADA",IF(I367&lt;&gt;"","PENDIENTE","SIN EMITIR")),"")</f>
        <v/>
      </c>
      <c r="I367" s="10"/>
      <c r="J367" s="2"/>
      <c r="K367" s="29"/>
      <c r="L367" s="29"/>
    </row>
    <row r="368" spans="1:12" ht="15.75" x14ac:dyDescent="0.25">
      <c r="A368" s="5"/>
      <c r="B368" s="7"/>
      <c r="C368" s="5"/>
      <c r="D368" s="5"/>
      <c r="E368" s="8"/>
      <c r="F368" s="9"/>
      <c r="G368" s="5"/>
      <c r="H368" s="28" t="str">
        <f>IFERROR(IF(AND(COUNTIF(RegistroPago!$A$1:$A$2000,Consolidado!B368)&gt;0,INDEX(RegistroPago!$E$1:$E$2000,MATCH(Consolidado!B368,RegistroPago!$A$1:$A$2000,0))&lt;&gt;""),"PAGADA",IF(I368&lt;&gt;"","PENDIENTE","SIN EMITIR")),"")</f>
        <v/>
      </c>
      <c r="I368" s="10"/>
      <c r="J368" s="2"/>
      <c r="K368" s="29"/>
      <c r="L368" s="29"/>
    </row>
    <row r="369" spans="1:12" ht="15.75" x14ac:dyDescent="0.25">
      <c r="A369" s="5"/>
      <c r="B369" s="7"/>
      <c r="C369" s="5"/>
      <c r="D369" s="5"/>
      <c r="E369" s="8"/>
      <c r="F369" s="9"/>
      <c r="G369" s="5"/>
      <c r="H369" s="28" t="str">
        <f>IFERROR(IF(AND(COUNTIF(RegistroPago!$A$1:$A$2000,Consolidado!B369)&gt;0,INDEX(RegistroPago!$E$1:$E$2000,MATCH(Consolidado!B369,RegistroPago!$A$1:$A$2000,0))&lt;&gt;""),"PAGADA",IF(I369&lt;&gt;"","PENDIENTE","SIN EMITIR")),"")</f>
        <v/>
      </c>
      <c r="I369" s="10"/>
      <c r="J369" s="2"/>
      <c r="K369" s="29"/>
      <c r="L369" s="29"/>
    </row>
    <row r="370" spans="1:12" ht="15.75" x14ac:dyDescent="0.25">
      <c r="A370" s="5"/>
      <c r="B370" s="7"/>
      <c r="C370" s="5"/>
      <c r="D370" s="5"/>
      <c r="E370" s="8"/>
      <c r="F370" s="9"/>
      <c r="G370" s="5"/>
      <c r="H370" s="28" t="str">
        <f>IFERROR(IF(AND(COUNTIF(RegistroPago!$A$1:$A$2000,Consolidado!B370)&gt;0,INDEX(RegistroPago!$E$1:$E$2000,MATCH(Consolidado!B370,RegistroPago!$A$1:$A$2000,0))&lt;&gt;""),"PAGADA",IF(I370&lt;&gt;"","PENDIENTE","SIN EMITIR")),"")</f>
        <v/>
      </c>
      <c r="I370" s="10"/>
      <c r="J370" s="2"/>
      <c r="K370" s="29"/>
      <c r="L370" s="29"/>
    </row>
    <row r="371" spans="1:12" ht="15.75" x14ac:dyDescent="0.25">
      <c r="A371" s="5"/>
      <c r="B371" s="7"/>
      <c r="C371" s="5"/>
      <c r="D371" s="5"/>
      <c r="E371" s="8"/>
      <c r="F371" s="9"/>
      <c r="G371" s="5"/>
      <c r="H371" s="28" t="str">
        <f>IFERROR(IF(AND(COUNTIF(RegistroPago!$A$1:$A$2000,Consolidado!B371)&gt;0,INDEX(RegistroPago!$E$1:$E$2000,MATCH(Consolidado!B371,RegistroPago!$A$1:$A$2000,0))&lt;&gt;""),"PAGADA",IF(I371&lt;&gt;"","PENDIENTE","SIN EMITIR")),"")</f>
        <v/>
      </c>
      <c r="I371" s="10"/>
      <c r="J371" s="2"/>
      <c r="K371" s="29"/>
      <c r="L371" s="29"/>
    </row>
    <row r="372" spans="1:12" ht="15.75" x14ac:dyDescent="0.25">
      <c r="A372" s="5"/>
      <c r="B372" s="7"/>
      <c r="C372" s="5"/>
      <c r="D372" s="5"/>
      <c r="E372" s="8"/>
      <c r="F372" s="9"/>
      <c r="G372" s="5"/>
      <c r="H372" s="28" t="str">
        <f>IFERROR(IF(AND(COUNTIF(RegistroPago!$A$1:$A$2000,Consolidado!B372)&gt;0,INDEX(RegistroPago!$E$1:$E$2000,MATCH(Consolidado!B372,RegistroPago!$A$1:$A$2000,0))&lt;&gt;""),"PAGADA",IF(I372&lt;&gt;"","PENDIENTE","SIN EMITIR")),"")</f>
        <v/>
      </c>
      <c r="I372" s="10"/>
      <c r="J372" s="2"/>
      <c r="K372" s="29"/>
      <c r="L372" s="29"/>
    </row>
    <row r="373" spans="1:12" ht="15.75" x14ac:dyDescent="0.25">
      <c r="A373" s="5"/>
      <c r="B373" s="7"/>
      <c r="C373" s="5"/>
      <c r="D373" s="5"/>
      <c r="E373" s="8"/>
      <c r="F373" s="9"/>
      <c r="G373" s="5"/>
      <c r="H373" s="28" t="str">
        <f>IFERROR(IF(AND(COUNTIF(RegistroPago!$A$1:$A$2000,Consolidado!B373)&gt;0,INDEX(RegistroPago!$E$1:$E$2000,MATCH(Consolidado!B373,RegistroPago!$A$1:$A$2000,0))&lt;&gt;""),"PAGADA",IF(I373&lt;&gt;"","PENDIENTE","SIN EMITIR")),"")</f>
        <v/>
      </c>
      <c r="I373" s="10"/>
      <c r="J373" s="2"/>
      <c r="K373" s="29"/>
      <c r="L373" s="29"/>
    </row>
    <row r="374" spans="1:12" ht="15.75" x14ac:dyDescent="0.25">
      <c r="A374" s="5"/>
      <c r="B374" s="7"/>
      <c r="C374" s="5"/>
      <c r="D374" s="5"/>
      <c r="E374" s="8"/>
      <c r="F374" s="9"/>
      <c r="G374" s="5"/>
      <c r="H374" s="28" t="str">
        <f>IFERROR(IF(AND(COUNTIF(RegistroPago!$A$1:$A$2000,Consolidado!B374)&gt;0,INDEX(RegistroPago!$E$1:$E$2000,MATCH(Consolidado!B374,RegistroPago!$A$1:$A$2000,0))&lt;&gt;""),"PAGADA",IF(I374&lt;&gt;"","PENDIENTE","SIN EMITIR")),"")</f>
        <v/>
      </c>
      <c r="I374" s="10"/>
      <c r="J374" s="2"/>
      <c r="K374" s="29"/>
      <c r="L374" s="29"/>
    </row>
    <row r="375" spans="1:12" ht="15.75" x14ac:dyDescent="0.25">
      <c r="A375" s="5"/>
      <c r="B375" s="7"/>
      <c r="C375" s="5"/>
      <c r="D375" s="5"/>
      <c r="E375" s="8"/>
      <c r="F375" s="9"/>
      <c r="G375" s="5"/>
      <c r="H375" s="28" t="str">
        <f>IFERROR(IF(AND(COUNTIF(RegistroPago!$A$1:$A$2000,Consolidado!B375)&gt;0,INDEX(RegistroPago!$E$1:$E$2000,MATCH(Consolidado!B375,RegistroPago!$A$1:$A$2000,0))&lt;&gt;""),"PAGADA",IF(I375&lt;&gt;"","PENDIENTE","SIN EMITIR")),"")</f>
        <v/>
      </c>
      <c r="I375" s="10"/>
      <c r="J375" s="2"/>
      <c r="K375" s="29"/>
      <c r="L375" s="29"/>
    </row>
    <row r="376" spans="1:12" ht="15.75" x14ac:dyDescent="0.25">
      <c r="A376" s="5"/>
      <c r="B376" s="7"/>
      <c r="C376" s="5"/>
      <c r="D376" s="5"/>
      <c r="E376" s="8"/>
      <c r="F376" s="9"/>
      <c r="G376" s="5"/>
      <c r="H376" s="28" t="str">
        <f>IFERROR(IF(AND(COUNTIF(RegistroPago!$A$1:$A$2000,Consolidado!B376)&gt;0,INDEX(RegistroPago!$E$1:$E$2000,MATCH(Consolidado!B376,RegistroPago!$A$1:$A$2000,0))&lt;&gt;""),"PAGADA",IF(I376&lt;&gt;"","PENDIENTE","SIN EMITIR")),"")</f>
        <v/>
      </c>
      <c r="I376" s="10"/>
      <c r="J376" s="2"/>
      <c r="K376" s="29"/>
      <c r="L376" s="29"/>
    </row>
    <row r="377" spans="1:12" ht="15.75" x14ac:dyDescent="0.25">
      <c r="A377" s="5"/>
      <c r="B377" s="7"/>
      <c r="C377" s="5"/>
      <c r="D377" s="5"/>
      <c r="E377" s="8"/>
      <c r="F377" s="9"/>
      <c r="G377" s="5"/>
      <c r="H377" s="28" t="str">
        <f>IFERROR(IF(AND(COUNTIF(RegistroPago!$A$1:$A$2000,Consolidado!B377)&gt;0,INDEX(RegistroPago!$E$1:$E$2000,MATCH(Consolidado!B377,RegistroPago!$A$1:$A$2000,0))&lt;&gt;""),"PAGADA",IF(I377&lt;&gt;"","PENDIENTE","SIN EMITIR")),"")</f>
        <v/>
      </c>
      <c r="I377" s="10"/>
      <c r="J377" s="2"/>
      <c r="K377" s="29"/>
      <c r="L377" s="29"/>
    </row>
    <row r="378" spans="1:12" ht="15.75" x14ac:dyDescent="0.25">
      <c r="A378" s="5"/>
      <c r="B378" s="7"/>
      <c r="C378" s="5"/>
      <c r="D378" s="5"/>
      <c r="E378" s="8"/>
      <c r="F378" s="9"/>
      <c r="G378" s="5"/>
      <c r="H378" s="28" t="str">
        <f>IFERROR(IF(AND(COUNTIF(RegistroPago!$A$1:$A$2000,Consolidado!B378)&gt;0,INDEX(RegistroPago!$E$1:$E$2000,MATCH(Consolidado!B378,RegistroPago!$A$1:$A$2000,0))&lt;&gt;""),"PAGADA",IF(I378&lt;&gt;"","PENDIENTE","SIN EMITIR")),"")</f>
        <v/>
      </c>
      <c r="I378" s="10"/>
      <c r="J378" s="2"/>
      <c r="K378" s="29"/>
      <c r="L378" s="29"/>
    </row>
    <row r="379" spans="1:12" ht="15.75" x14ac:dyDescent="0.25">
      <c r="A379" s="5"/>
      <c r="B379" s="7"/>
      <c r="C379" s="5"/>
      <c r="D379" s="5"/>
      <c r="E379" s="8"/>
      <c r="F379" s="9"/>
      <c r="G379" s="5"/>
      <c r="H379" s="28" t="str">
        <f>IFERROR(IF(AND(COUNTIF(RegistroPago!$A$1:$A$2000,Consolidado!B379)&gt;0,INDEX(RegistroPago!$E$1:$E$2000,MATCH(Consolidado!B379,RegistroPago!$A$1:$A$2000,0))&lt;&gt;""),"PAGADA",IF(I379&lt;&gt;"","PENDIENTE","SIN EMITIR")),"")</f>
        <v/>
      </c>
      <c r="I379" s="10"/>
      <c r="J379" s="2"/>
      <c r="K379" s="29"/>
      <c r="L379" s="29"/>
    </row>
    <row r="380" spans="1:12" ht="15.75" x14ac:dyDescent="0.25">
      <c r="A380" s="5"/>
      <c r="B380" s="7"/>
      <c r="C380" s="5"/>
      <c r="D380" s="5"/>
      <c r="E380" s="8"/>
      <c r="F380" s="9"/>
      <c r="G380" s="5"/>
      <c r="H380" s="28" t="str">
        <f>IFERROR(IF(AND(COUNTIF(RegistroPago!$A$1:$A$2000,Consolidado!B380)&gt;0,INDEX(RegistroPago!$E$1:$E$2000,MATCH(Consolidado!B380,RegistroPago!$A$1:$A$2000,0))&lt;&gt;""),"PAGADA",IF(I380&lt;&gt;"","PENDIENTE","SIN EMITIR")),"")</f>
        <v/>
      </c>
      <c r="I380" s="10"/>
      <c r="J380" s="2"/>
      <c r="K380" s="29"/>
      <c r="L380" s="29"/>
    </row>
    <row r="381" spans="1:12" ht="15.75" x14ac:dyDescent="0.25">
      <c r="A381" s="5"/>
      <c r="B381" s="7"/>
      <c r="C381" s="5"/>
      <c r="D381" s="5"/>
      <c r="E381" s="8"/>
      <c r="F381" s="9"/>
      <c r="G381" s="5"/>
      <c r="H381" s="28" t="str">
        <f>IFERROR(IF(AND(COUNTIF(RegistroPago!$A$1:$A$2000,Consolidado!B381)&gt;0,INDEX(RegistroPago!$E$1:$E$2000,MATCH(Consolidado!B381,RegistroPago!$A$1:$A$2000,0))&lt;&gt;""),"PAGADA",IF(I381&lt;&gt;"","PENDIENTE","SIN EMITIR")),"")</f>
        <v/>
      </c>
      <c r="I381" s="10"/>
      <c r="J381" s="2"/>
      <c r="K381" s="29"/>
      <c r="L381" s="29"/>
    </row>
    <row r="382" spans="1:12" ht="15.75" x14ac:dyDescent="0.25">
      <c r="A382" s="5"/>
      <c r="B382" s="7"/>
      <c r="C382" s="5"/>
      <c r="D382" s="5"/>
      <c r="E382" s="8"/>
      <c r="F382" s="9"/>
      <c r="G382" s="5"/>
      <c r="H382" s="28" t="str">
        <f>IFERROR(IF(AND(COUNTIF(RegistroPago!$A$1:$A$2000,Consolidado!B382)&gt;0,INDEX(RegistroPago!$E$1:$E$2000,MATCH(Consolidado!B382,RegistroPago!$A$1:$A$2000,0))&lt;&gt;""),"PAGADA",IF(I382&lt;&gt;"","PENDIENTE","SIN EMITIR")),"")</f>
        <v/>
      </c>
      <c r="I382" s="10"/>
      <c r="J382" s="2"/>
      <c r="K382" s="29"/>
      <c r="L382" s="29"/>
    </row>
    <row r="383" spans="1:12" ht="15.75" x14ac:dyDescent="0.25">
      <c r="A383" s="5"/>
      <c r="B383" s="7"/>
      <c r="C383" s="5"/>
      <c r="D383" s="5"/>
      <c r="E383" s="8"/>
      <c r="F383" s="9"/>
      <c r="G383" s="5"/>
      <c r="H383" s="28" t="str">
        <f>IFERROR(IF(AND(COUNTIF(RegistroPago!$A$1:$A$2000,Consolidado!B383)&gt;0,INDEX(RegistroPago!$E$1:$E$2000,MATCH(Consolidado!B383,RegistroPago!$A$1:$A$2000,0))&lt;&gt;""),"PAGADA",IF(I383&lt;&gt;"","PENDIENTE","SIN EMITIR")),"")</f>
        <v/>
      </c>
      <c r="I383" s="10"/>
      <c r="J383" s="2"/>
      <c r="K383" s="29"/>
      <c r="L383" s="29"/>
    </row>
    <row r="384" spans="1:12" ht="15.75" x14ac:dyDescent="0.25">
      <c r="A384" s="5"/>
      <c r="B384" s="7"/>
      <c r="C384" s="5"/>
      <c r="D384" s="5"/>
      <c r="E384" s="8"/>
      <c r="F384" s="9"/>
      <c r="G384" s="5"/>
      <c r="H384" s="28" t="str">
        <f>IFERROR(IF(AND(COUNTIF(RegistroPago!$A$1:$A$2000,Consolidado!B384)&gt;0,INDEX(RegistroPago!$E$1:$E$2000,MATCH(Consolidado!B384,RegistroPago!$A$1:$A$2000,0))&lt;&gt;""),"PAGADA",IF(I384&lt;&gt;"","PENDIENTE","SIN EMITIR")),"")</f>
        <v/>
      </c>
      <c r="I384" s="10"/>
      <c r="J384" s="2"/>
      <c r="K384" s="29"/>
      <c r="L384" s="29"/>
    </row>
    <row r="385" spans="1:12" ht="15.75" x14ac:dyDescent="0.25">
      <c r="A385" s="5"/>
      <c r="B385" s="7"/>
      <c r="C385" s="5"/>
      <c r="D385" s="5"/>
      <c r="E385" s="8"/>
      <c r="F385" s="9"/>
      <c r="G385" s="5"/>
      <c r="H385" s="28" t="str">
        <f>IFERROR(IF(AND(COUNTIF(RegistroPago!$A$1:$A$2000,Consolidado!B385)&gt;0,INDEX(RegistroPago!$E$1:$E$2000,MATCH(Consolidado!B385,RegistroPago!$A$1:$A$2000,0))&lt;&gt;""),"PAGADA",IF(I385&lt;&gt;"","PENDIENTE","SIN EMITIR")),"")</f>
        <v/>
      </c>
      <c r="I385" s="10"/>
      <c r="J385" s="2"/>
      <c r="K385" s="29"/>
      <c r="L385" s="29"/>
    </row>
    <row r="386" spans="1:12" ht="15.75" x14ac:dyDescent="0.25">
      <c r="A386" s="5"/>
      <c r="B386" s="7"/>
      <c r="C386" s="5"/>
      <c r="D386" s="5"/>
      <c r="E386" s="8"/>
      <c r="F386" s="9"/>
      <c r="G386" s="5"/>
      <c r="H386" s="28" t="str">
        <f>IFERROR(IF(AND(COUNTIF(RegistroPago!$A$1:$A$2000,Consolidado!B386)&gt;0,INDEX(RegistroPago!$E$1:$E$2000,MATCH(Consolidado!B386,RegistroPago!$A$1:$A$2000,0))&lt;&gt;""),"PAGADA",IF(I386&lt;&gt;"","PENDIENTE","SIN EMITIR")),"")</f>
        <v/>
      </c>
      <c r="I386" s="10"/>
      <c r="J386" s="2"/>
      <c r="K386" s="29"/>
      <c r="L386" s="29"/>
    </row>
    <row r="387" spans="1:12" ht="15.75" x14ac:dyDescent="0.25">
      <c r="A387" s="5"/>
      <c r="B387" s="7"/>
      <c r="C387" s="5"/>
      <c r="D387" s="5"/>
      <c r="E387" s="8"/>
      <c r="F387" s="9"/>
      <c r="G387" s="5"/>
      <c r="H387" s="28" t="str">
        <f>IFERROR(IF(AND(COUNTIF(RegistroPago!$A$1:$A$2000,Consolidado!B387)&gt;0,INDEX(RegistroPago!$E$1:$E$2000,MATCH(Consolidado!B387,RegistroPago!$A$1:$A$2000,0))&lt;&gt;""),"PAGADA",IF(I387&lt;&gt;"","PENDIENTE","SIN EMITIR")),"")</f>
        <v/>
      </c>
      <c r="I387" s="10"/>
      <c r="J387" s="2"/>
      <c r="K387" s="29"/>
      <c r="L387" s="29"/>
    </row>
    <row r="388" spans="1:12" ht="15.75" x14ac:dyDescent="0.25">
      <c r="A388" s="5"/>
      <c r="B388" s="7"/>
      <c r="C388" s="5"/>
      <c r="D388" s="5"/>
      <c r="E388" s="8"/>
      <c r="F388" s="9"/>
      <c r="G388" s="5"/>
      <c r="H388" s="28" t="str">
        <f>IFERROR(IF(AND(COUNTIF(RegistroPago!$A$1:$A$2000,Consolidado!B388)&gt;0,INDEX(RegistroPago!$E$1:$E$2000,MATCH(Consolidado!B388,RegistroPago!$A$1:$A$2000,0))&lt;&gt;""),"PAGADA",IF(I388&lt;&gt;"","PENDIENTE","SIN EMITIR")),"")</f>
        <v/>
      </c>
      <c r="I388" s="10"/>
      <c r="J388" s="2"/>
      <c r="K388" s="29"/>
      <c r="L388" s="29"/>
    </row>
    <row r="389" spans="1:12" ht="15.75" x14ac:dyDescent="0.25">
      <c r="A389" s="5"/>
      <c r="B389" s="7"/>
      <c r="C389" s="5"/>
      <c r="D389" s="5"/>
      <c r="E389" s="8"/>
      <c r="F389" s="9"/>
      <c r="G389" s="5"/>
      <c r="H389" s="28" t="str">
        <f>IFERROR(IF(AND(COUNTIF(RegistroPago!$A$1:$A$2000,Consolidado!B389)&gt;0,INDEX(RegistroPago!$E$1:$E$2000,MATCH(Consolidado!B389,RegistroPago!$A$1:$A$2000,0))&lt;&gt;""),"PAGADA",IF(I389&lt;&gt;"","PENDIENTE","SIN EMITIR")),"")</f>
        <v/>
      </c>
      <c r="I389" s="10"/>
      <c r="J389" s="2"/>
      <c r="K389" s="29"/>
      <c r="L389" s="29"/>
    </row>
    <row r="390" spans="1:12" ht="15.75" x14ac:dyDescent="0.25">
      <c r="A390" s="5"/>
      <c r="B390" s="7"/>
      <c r="C390" s="5"/>
      <c r="D390" s="5"/>
      <c r="E390" s="8"/>
      <c r="F390" s="9"/>
      <c r="G390" s="5"/>
      <c r="H390" s="28" t="str">
        <f>IFERROR(IF(AND(COUNTIF(RegistroPago!$A$1:$A$2000,Consolidado!B390)&gt;0,INDEX(RegistroPago!$E$1:$E$2000,MATCH(Consolidado!B390,RegistroPago!$A$1:$A$2000,0))&lt;&gt;""),"PAGADA",IF(I390&lt;&gt;"","PENDIENTE","SIN EMITIR")),"")</f>
        <v/>
      </c>
      <c r="I390" s="10"/>
      <c r="J390" s="2"/>
      <c r="K390" s="29"/>
      <c r="L390" s="29"/>
    </row>
    <row r="391" spans="1:12" ht="15.75" x14ac:dyDescent="0.25">
      <c r="A391" s="5"/>
      <c r="B391" s="7"/>
      <c r="C391" s="5"/>
      <c r="D391" s="5"/>
      <c r="E391" s="8"/>
      <c r="F391" s="9"/>
      <c r="G391" s="5"/>
      <c r="H391" s="28" t="str">
        <f>IFERROR(IF(AND(COUNTIF(RegistroPago!$A$1:$A$2000,Consolidado!B391)&gt;0,INDEX(RegistroPago!$E$1:$E$2000,MATCH(Consolidado!B391,RegistroPago!$A$1:$A$2000,0))&lt;&gt;""),"PAGADA",IF(I391&lt;&gt;"","PENDIENTE","SIN EMITIR")),"")</f>
        <v/>
      </c>
      <c r="I391" s="10"/>
      <c r="J391" s="2"/>
      <c r="K391" s="29"/>
      <c r="L391" s="29"/>
    </row>
    <row r="392" spans="1:12" ht="15.75" x14ac:dyDescent="0.25">
      <c r="A392" s="5"/>
      <c r="B392" s="7"/>
      <c r="C392" s="5"/>
      <c r="D392" s="5"/>
      <c r="E392" s="8"/>
      <c r="F392" s="9"/>
      <c r="G392" s="5"/>
      <c r="H392" s="28" t="str">
        <f>IFERROR(IF(AND(COUNTIF(RegistroPago!$A$1:$A$2000,Consolidado!B392)&gt;0,INDEX(RegistroPago!$E$1:$E$2000,MATCH(Consolidado!B392,RegistroPago!$A$1:$A$2000,0))&lt;&gt;""),"PAGADA",IF(I392&lt;&gt;"","PENDIENTE","SIN EMITIR")),"")</f>
        <v/>
      </c>
      <c r="I392" s="10"/>
      <c r="J392" s="2"/>
      <c r="K392" s="29"/>
      <c r="L392" s="29"/>
    </row>
    <row r="393" spans="1:12" ht="15.75" x14ac:dyDescent="0.25">
      <c r="A393" s="5"/>
      <c r="B393" s="7"/>
      <c r="C393" s="5"/>
      <c r="D393" s="5"/>
      <c r="E393" s="8"/>
      <c r="F393" s="9"/>
      <c r="G393" s="5"/>
      <c r="H393" s="28" t="str">
        <f>IFERROR(IF(AND(COUNTIF(RegistroPago!$A$1:$A$2000,Consolidado!B393)&gt;0,INDEX(RegistroPago!$E$1:$E$2000,MATCH(Consolidado!B393,RegistroPago!$A$1:$A$2000,0))&lt;&gt;""),"PAGADA",IF(I393&lt;&gt;"","PENDIENTE","SIN EMITIR")),"")</f>
        <v/>
      </c>
      <c r="I393" s="10"/>
      <c r="J393" s="2"/>
      <c r="K393" s="29"/>
      <c r="L393" s="29"/>
    </row>
    <row r="394" spans="1:12" ht="15.75" x14ac:dyDescent="0.25">
      <c r="A394" s="5"/>
      <c r="B394" s="7"/>
      <c r="C394" s="5"/>
      <c r="D394" s="5"/>
      <c r="E394" s="8"/>
      <c r="F394" s="9"/>
      <c r="G394" s="5"/>
      <c r="H394" s="28" t="str">
        <f>IFERROR(IF(AND(COUNTIF(RegistroPago!$A$1:$A$2000,Consolidado!B394)&gt;0,INDEX(RegistroPago!$E$1:$E$2000,MATCH(Consolidado!B394,RegistroPago!$A$1:$A$2000,0))&lt;&gt;""),"PAGADA",IF(I394&lt;&gt;"","PENDIENTE","SIN EMITIR")),"")</f>
        <v/>
      </c>
      <c r="I394" s="10"/>
      <c r="J394" s="2"/>
      <c r="K394" s="29"/>
      <c r="L394" s="29"/>
    </row>
    <row r="395" spans="1:12" ht="15.75" x14ac:dyDescent="0.25">
      <c r="A395" s="5"/>
      <c r="B395" s="7"/>
      <c r="C395" s="5"/>
      <c r="D395" s="5"/>
      <c r="E395" s="8"/>
      <c r="F395" s="9"/>
      <c r="G395" s="5"/>
      <c r="H395" s="28" t="str">
        <f>IFERROR(IF(AND(COUNTIF(RegistroPago!$A$1:$A$2000,Consolidado!B395)&gt;0,INDEX(RegistroPago!$E$1:$E$2000,MATCH(Consolidado!B395,RegistroPago!$A$1:$A$2000,0))&lt;&gt;""),"PAGADA",IF(I395&lt;&gt;"","PENDIENTE","SIN EMITIR")),"")</f>
        <v/>
      </c>
      <c r="I395" s="10"/>
      <c r="J395" s="2"/>
      <c r="K395" s="29"/>
      <c r="L395" s="29"/>
    </row>
    <row r="396" spans="1:12" ht="15.75" x14ac:dyDescent="0.25">
      <c r="A396" s="5"/>
      <c r="B396" s="7"/>
      <c r="C396" s="5"/>
      <c r="D396" s="5"/>
      <c r="E396" s="8"/>
      <c r="F396" s="9"/>
      <c r="G396" s="5"/>
      <c r="H396" s="28" t="str">
        <f>IFERROR(IF(AND(COUNTIF(RegistroPago!$A$1:$A$2000,Consolidado!B396)&gt;0,INDEX(RegistroPago!$E$1:$E$2000,MATCH(Consolidado!B396,RegistroPago!$A$1:$A$2000,0))&lt;&gt;""),"PAGADA",IF(I396&lt;&gt;"","PENDIENTE","SIN EMITIR")),"")</f>
        <v/>
      </c>
      <c r="I396" s="10"/>
      <c r="J396" s="2"/>
      <c r="K396" s="29"/>
      <c r="L396" s="29"/>
    </row>
    <row r="397" spans="1:12" ht="15.75" x14ac:dyDescent="0.25">
      <c r="A397" s="5"/>
      <c r="B397" s="7"/>
      <c r="C397" s="5"/>
      <c r="D397" s="5"/>
      <c r="E397" s="8"/>
      <c r="F397" s="9"/>
      <c r="G397" s="5"/>
      <c r="H397" s="28" t="str">
        <f>IFERROR(IF(AND(COUNTIF(RegistroPago!$A$1:$A$2000,Consolidado!B397)&gt;0,INDEX(RegistroPago!$E$1:$E$2000,MATCH(Consolidado!B397,RegistroPago!$A$1:$A$2000,0))&lt;&gt;""),"PAGADA",IF(I397&lt;&gt;"","PENDIENTE","SIN EMITIR")),"")</f>
        <v/>
      </c>
      <c r="I397" s="10"/>
      <c r="J397" s="2"/>
      <c r="K397" s="29"/>
      <c r="L397" s="29"/>
    </row>
    <row r="398" spans="1:12" ht="15.75" x14ac:dyDescent="0.25">
      <c r="A398" s="5"/>
      <c r="B398" s="7"/>
      <c r="C398" s="5"/>
      <c r="D398" s="5"/>
      <c r="E398" s="8"/>
      <c r="F398" s="9"/>
      <c r="G398" s="5"/>
      <c r="H398" s="28" t="str">
        <f>IFERROR(IF(AND(COUNTIF(RegistroPago!$A$1:$A$2000,Consolidado!B398)&gt;0,INDEX(RegistroPago!$E$1:$E$2000,MATCH(Consolidado!B398,RegistroPago!$A$1:$A$2000,0))&lt;&gt;""),"PAGADA",IF(I398&lt;&gt;"","PENDIENTE","SIN EMITIR")),"")</f>
        <v/>
      </c>
      <c r="I398" s="10"/>
      <c r="J398" s="2"/>
      <c r="K398" s="29"/>
      <c r="L398" s="29"/>
    </row>
    <row r="399" spans="1:12" ht="15.75" x14ac:dyDescent="0.25">
      <c r="A399" s="5"/>
      <c r="B399" s="7"/>
      <c r="C399" s="5"/>
      <c r="D399" s="5"/>
      <c r="E399" s="8"/>
      <c r="F399" s="9"/>
      <c r="G399" s="5"/>
      <c r="H399" s="28" t="str">
        <f>IFERROR(IF(AND(COUNTIF(RegistroPago!$A$1:$A$2000,Consolidado!B399)&gt;0,INDEX(RegistroPago!$E$1:$E$2000,MATCH(Consolidado!B399,RegistroPago!$A$1:$A$2000,0))&lt;&gt;""),"PAGADA",IF(I399&lt;&gt;"","PENDIENTE","SIN EMITIR")),"")</f>
        <v/>
      </c>
      <c r="I399" s="10"/>
      <c r="J399" s="2"/>
      <c r="K399" s="29"/>
      <c r="L399" s="29"/>
    </row>
    <row r="400" spans="1:12" ht="15.75" x14ac:dyDescent="0.25">
      <c r="A400" s="5"/>
      <c r="B400" s="7"/>
      <c r="C400" s="5"/>
      <c r="D400" s="5"/>
      <c r="E400" s="8"/>
      <c r="F400" s="9"/>
      <c r="G400" s="5"/>
      <c r="H400" s="28" t="str">
        <f>IFERROR(IF(AND(COUNTIF(RegistroPago!$A$1:$A$2000,Consolidado!B400)&gt;0,INDEX(RegistroPago!$E$1:$E$2000,MATCH(Consolidado!B400,RegistroPago!$A$1:$A$2000,0))&lt;&gt;""),"PAGADA",IF(I400&lt;&gt;"","PENDIENTE","SIN EMITIR")),"")</f>
        <v/>
      </c>
      <c r="I400" s="10"/>
      <c r="J400" s="2"/>
      <c r="K400" s="29"/>
      <c r="L400" s="29"/>
    </row>
    <row r="401" spans="1:12" ht="15.75" x14ac:dyDescent="0.25">
      <c r="A401" s="5"/>
      <c r="B401" s="7"/>
      <c r="C401" s="5"/>
      <c r="D401" s="5"/>
      <c r="E401" s="8"/>
      <c r="F401" s="9"/>
      <c r="G401" s="5"/>
      <c r="H401" s="28" t="str">
        <f>IFERROR(IF(AND(COUNTIF(RegistroPago!$A$1:$A$2000,Consolidado!B401)&gt;0,INDEX(RegistroPago!$E$1:$E$2000,MATCH(Consolidado!B401,RegistroPago!$A$1:$A$2000,0))&lt;&gt;""),"PAGADA",IF(I401&lt;&gt;"","PENDIENTE","SIN EMITIR")),"")</f>
        <v/>
      </c>
      <c r="I401" s="10"/>
      <c r="J401" s="2"/>
      <c r="K401" s="29"/>
      <c r="L401" s="29"/>
    </row>
    <row r="402" spans="1:12" ht="15.75" x14ac:dyDescent="0.25">
      <c r="A402" s="5"/>
      <c r="B402" s="7"/>
      <c r="C402" s="5"/>
      <c r="D402" s="5"/>
      <c r="E402" s="8"/>
      <c r="F402" s="9"/>
      <c r="G402" s="5"/>
      <c r="H402" s="28" t="str">
        <f>IFERROR(IF(AND(COUNTIF(RegistroPago!$A$1:$A$2000,Consolidado!B402)&gt;0,INDEX(RegistroPago!$E$1:$E$2000,MATCH(Consolidado!B402,RegistroPago!$A$1:$A$2000,0))&lt;&gt;""),"PAGADA",IF(I402&lt;&gt;"","PENDIENTE","SIN EMITIR")),"")</f>
        <v/>
      </c>
      <c r="I402" s="10"/>
      <c r="J402" s="2"/>
      <c r="K402" s="29"/>
      <c r="L402" s="29"/>
    </row>
    <row r="403" spans="1:12" ht="15.75" x14ac:dyDescent="0.25">
      <c r="A403" s="5"/>
      <c r="B403" s="7"/>
      <c r="C403" s="5"/>
      <c r="D403" s="5"/>
      <c r="E403" s="8"/>
      <c r="F403" s="9"/>
      <c r="G403" s="5"/>
      <c r="H403" s="28" t="str">
        <f>IFERROR(IF(AND(COUNTIF(RegistroPago!$A$1:$A$2000,Consolidado!B403)&gt;0,INDEX(RegistroPago!$E$1:$E$2000,MATCH(Consolidado!B403,RegistroPago!$A$1:$A$2000,0))&lt;&gt;""),"PAGADA",IF(I403&lt;&gt;"","PENDIENTE","SIN EMITIR")),"")</f>
        <v/>
      </c>
      <c r="I403" s="10"/>
      <c r="J403" s="2"/>
      <c r="K403" s="29"/>
      <c r="L403" s="29"/>
    </row>
    <row r="404" spans="1:12" ht="15.75" x14ac:dyDescent="0.25">
      <c r="A404" s="5"/>
      <c r="B404" s="7"/>
      <c r="C404" s="5"/>
      <c r="D404" s="5"/>
      <c r="E404" s="8"/>
      <c r="F404" s="9"/>
      <c r="G404" s="5"/>
      <c r="H404" s="28" t="str">
        <f>IFERROR(IF(AND(COUNTIF(RegistroPago!$A$1:$A$2000,Consolidado!B404)&gt;0,INDEX(RegistroPago!$E$1:$E$2000,MATCH(Consolidado!B404,RegistroPago!$A$1:$A$2000,0))&lt;&gt;""),"PAGADA",IF(I404&lt;&gt;"","PENDIENTE","SIN EMITIR")),"")</f>
        <v/>
      </c>
      <c r="I404" s="10"/>
      <c r="J404" s="2"/>
      <c r="K404" s="29"/>
      <c r="L404" s="29"/>
    </row>
    <row r="405" spans="1:12" ht="15.75" x14ac:dyDescent="0.25">
      <c r="A405" s="5"/>
      <c r="B405" s="7"/>
      <c r="C405" s="5"/>
      <c r="D405" s="5"/>
      <c r="E405" s="8"/>
      <c r="F405" s="9"/>
      <c r="G405" s="5"/>
      <c r="H405" s="28" t="str">
        <f>IFERROR(IF(AND(COUNTIF(RegistroPago!$A$1:$A$2000,Consolidado!B405)&gt;0,INDEX(RegistroPago!$E$1:$E$2000,MATCH(Consolidado!B405,RegistroPago!$A$1:$A$2000,0))&lt;&gt;""),"PAGADA",IF(I405&lt;&gt;"","PENDIENTE","SIN EMITIR")),"")</f>
        <v/>
      </c>
      <c r="I405" s="10"/>
      <c r="J405" s="2"/>
      <c r="K405" s="29"/>
      <c r="L405" s="29"/>
    </row>
    <row r="406" spans="1:12" ht="15.75" x14ac:dyDescent="0.25">
      <c r="A406" s="5"/>
      <c r="B406" s="7"/>
      <c r="C406" s="5"/>
      <c r="D406" s="5"/>
      <c r="E406" s="8"/>
      <c r="F406" s="9"/>
      <c r="G406" s="5"/>
      <c r="H406" s="28" t="str">
        <f>IFERROR(IF(AND(COUNTIF(RegistroPago!$A$1:$A$2000,Consolidado!B406)&gt;0,INDEX(RegistroPago!$E$1:$E$2000,MATCH(Consolidado!B406,RegistroPago!$A$1:$A$2000,0))&lt;&gt;""),"PAGADA",IF(I406&lt;&gt;"","PENDIENTE","SIN EMITIR")),"")</f>
        <v/>
      </c>
      <c r="I406" s="10"/>
      <c r="J406" s="2"/>
      <c r="K406" s="29"/>
      <c r="L406" s="29"/>
    </row>
    <row r="407" spans="1:12" ht="15.75" x14ac:dyDescent="0.25">
      <c r="A407" s="5"/>
      <c r="B407" s="7"/>
      <c r="C407" s="5"/>
      <c r="D407" s="5"/>
      <c r="E407" s="8"/>
      <c r="F407" s="9"/>
      <c r="G407" s="5"/>
      <c r="H407" s="28" t="str">
        <f>IFERROR(IF(AND(COUNTIF(RegistroPago!$A$1:$A$2000,Consolidado!B407)&gt;0,INDEX(RegistroPago!$E$1:$E$2000,MATCH(Consolidado!B407,RegistroPago!$A$1:$A$2000,0))&lt;&gt;""),"PAGADA",IF(I407&lt;&gt;"","PENDIENTE","SIN EMITIR")),"")</f>
        <v/>
      </c>
      <c r="I407" s="10"/>
      <c r="J407" s="2"/>
      <c r="K407" s="29"/>
      <c r="L407" s="29"/>
    </row>
    <row r="408" spans="1:12" ht="15.75" x14ac:dyDescent="0.25">
      <c r="A408" s="5"/>
      <c r="B408" s="7"/>
      <c r="C408" s="5"/>
      <c r="D408" s="5"/>
      <c r="E408" s="8"/>
      <c r="F408" s="9"/>
      <c r="G408" s="5"/>
      <c r="H408" s="28" t="str">
        <f>IFERROR(IF(AND(COUNTIF(RegistroPago!$A$1:$A$2000,Consolidado!B408)&gt;0,INDEX(RegistroPago!$E$1:$E$2000,MATCH(Consolidado!B408,RegistroPago!$A$1:$A$2000,0))&lt;&gt;""),"PAGADA",IF(I408&lt;&gt;"","PENDIENTE","SIN EMITIR")),"")</f>
        <v/>
      </c>
      <c r="I408" s="10"/>
      <c r="J408" s="2"/>
      <c r="K408" s="29"/>
      <c r="L408" s="29"/>
    </row>
    <row r="409" spans="1:12" ht="15.75" x14ac:dyDescent="0.25">
      <c r="A409" s="5"/>
      <c r="B409" s="7"/>
      <c r="C409" s="5"/>
      <c r="D409" s="5"/>
      <c r="E409" s="8"/>
      <c r="F409" s="9"/>
      <c r="G409" s="5"/>
      <c r="H409" s="28" t="str">
        <f>IFERROR(IF(AND(COUNTIF(RegistroPago!$A$1:$A$2000,Consolidado!B409)&gt;0,INDEX(RegistroPago!$E$1:$E$2000,MATCH(Consolidado!B409,RegistroPago!$A$1:$A$2000,0))&lt;&gt;""),"PAGADA",IF(I409&lt;&gt;"","PENDIENTE","SIN EMITIR")),"")</f>
        <v/>
      </c>
      <c r="I409" s="10"/>
      <c r="J409" s="2"/>
      <c r="K409" s="29"/>
      <c r="L409" s="29"/>
    </row>
    <row r="410" spans="1:12" ht="15.75" x14ac:dyDescent="0.25">
      <c r="A410" s="5"/>
      <c r="B410" s="7"/>
      <c r="C410" s="5"/>
      <c r="D410" s="5"/>
      <c r="E410" s="8"/>
      <c r="F410" s="9"/>
      <c r="G410" s="5"/>
      <c r="H410" s="28" t="str">
        <f>IFERROR(IF(AND(COUNTIF(RegistroPago!$A$1:$A$2000,Consolidado!B410)&gt;0,INDEX(RegistroPago!$E$1:$E$2000,MATCH(Consolidado!B410,RegistroPago!$A$1:$A$2000,0))&lt;&gt;""),"PAGADA",IF(I410&lt;&gt;"","PENDIENTE","SIN EMITIR")),"")</f>
        <v/>
      </c>
      <c r="I410" s="10"/>
      <c r="J410" s="2"/>
      <c r="K410" s="29"/>
      <c r="L410" s="29"/>
    </row>
    <row r="411" spans="1:12" ht="15.75" x14ac:dyDescent="0.25">
      <c r="A411" s="5"/>
      <c r="B411" s="7"/>
      <c r="C411" s="5"/>
      <c r="D411" s="5"/>
      <c r="E411" s="8"/>
      <c r="F411" s="9"/>
      <c r="G411" s="5"/>
      <c r="H411" s="28" t="str">
        <f>IFERROR(IF(AND(COUNTIF(RegistroPago!$A$1:$A$2000,Consolidado!B411)&gt;0,INDEX(RegistroPago!$E$1:$E$2000,MATCH(Consolidado!B411,RegistroPago!$A$1:$A$2000,0))&lt;&gt;""),"PAGADA",IF(I411&lt;&gt;"","PENDIENTE","SIN EMITIR")),"")</f>
        <v/>
      </c>
      <c r="I411" s="10"/>
      <c r="J411" s="2"/>
      <c r="K411" s="29"/>
      <c r="L411" s="29"/>
    </row>
    <row r="412" spans="1:12" ht="15.75" x14ac:dyDescent="0.25">
      <c r="A412" s="5"/>
      <c r="B412" s="7"/>
      <c r="C412" s="5"/>
      <c r="D412" s="5"/>
      <c r="E412" s="8"/>
      <c r="F412" s="9"/>
      <c r="G412" s="5"/>
      <c r="H412" s="28" t="str">
        <f>IFERROR(IF(AND(COUNTIF(RegistroPago!$A$1:$A$2000,Consolidado!B412)&gt;0,INDEX(RegistroPago!$E$1:$E$2000,MATCH(Consolidado!B412,RegistroPago!$A$1:$A$2000,0))&lt;&gt;""),"PAGADA",IF(I412&lt;&gt;"","PENDIENTE","SIN EMITIR")),"")</f>
        <v/>
      </c>
      <c r="I412" s="10"/>
      <c r="J412" s="2"/>
      <c r="K412" s="29"/>
      <c r="L412" s="29"/>
    </row>
    <row r="413" spans="1:12" ht="15.75" x14ac:dyDescent="0.25">
      <c r="A413" s="5"/>
      <c r="B413" s="7"/>
      <c r="C413" s="5"/>
      <c r="D413" s="5"/>
      <c r="E413" s="8"/>
      <c r="F413" s="9"/>
      <c r="G413" s="5"/>
      <c r="H413" s="28" t="str">
        <f>IFERROR(IF(AND(COUNTIF(RegistroPago!$A$1:$A$2000,Consolidado!B413)&gt;0,INDEX(RegistroPago!$E$1:$E$2000,MATCH(Consolidado!B413,RegistroPago!$A$1:$A$2000,0))&lt;&gt;""),"PAGADA",IF(I413&lt;&gt;"","PENDIENTE","SIN EMITIR")),"")</f>
        <v/>
      </c>
      <c r="I413" s="10"/>
      <c r="J413" s="2"/>
      <c r="K413" s="29"/>
      <c r="L413" s="29"/>
    </row>
    <row r="414" spans="1:12" ht="15.75" x14ac:dyDescent="0.25">
      <c r="A414" s="5"/>
      <c r="B414" s="7"/>
      <c r="C414" s="5"/>
      <c r="D414" s="5"/>
      <c r="E414" s="8"/>
      <c r="F414" s="9"/>
      <c r="G414" s="5"/>
      <c r="H414" s="28" t="str">
        <f>IFERROR(IF(AND(COUNTIF(RegistroPago!$A$1:$A$2000,Consolidado!B414)&gt;0,INDEX(RegistroPago!$E$1:$E$2000,MATCH(Consolidado!B414,RegistroPago!$A$1:$A$2000,0))&lt;&gt;""),"PAGADA",IF(I414&lt;&gt;"","PENDIENTE","SIN EMITIR")),"")</f>
        <v/>
      </c>
      <c r="I414" s="10"/>
      <c r="J414" s="2"/>
      <c r="K414" s="29"/>
      <c r="L414" s="29"/>
    </row>
    <row r="415" spans="1:12" ht="15.75" x14ac:dyDescent="0.25">
      <c r="A415" s="5"/>
      <c r="B415" s="7"/>
      <c r="C415" s="5"/>
      <c r="D415" s="5"/>
      <c r="E415" s="8"/>
      <c r="F415" s="9"/>
      <c r="G415" s="5"/>
      <c r="H415" s="28" t="str">
        <f>IFERROR(IF(AND(COUNTIF(RegistroPago!$A$1:$A$2000,Consolidado!B415)&gt;0,INDEX(RegistroPago!$E$1:$E$2000,MATCH(Consolidado!B415,RegistroPago!$A$1:$A$2000,0))&lt;&gt;""),"PAGADA",IF(I415&lt;&gt;"","PENDIENTE","SIN EMITIR")),"")</f>
        <v/>
      </c>
      <c r="I415" s="10"/>
      <c r="J415" s="2"/>
      <c r="K415" s="29"/>
      <c r="L415" s="29"/>
    </row>
    <row r="416" spans="1:12" ht="15.75" x14ac:dyDescent="0.25">
      <c r="A416" s="5"/>
      <c r="B416" s="7"/>
      <c r="C416" s="5"/>
      <c r="D416" s="5"/>
      <c r="E416" s="8"/>
      <c r="F416" s="9"/>
      <c r="G416" s="5"/>
      <c r="H416" s="28" t="str">
        <f>IFERROR(IF(AND(COUNTIF(RegistroPago!$A$1:$A$2000,Consolidado!B416)&gt;0,INDEX(RegistroPago!$E$1:$E$2000,MATCH(Consolidado!B416,RegistroPago!$A$1:$A$2000,0))&lt;&gt;""),"PAGADA",IF(I416&lt;&gt;"","PENDIENTE","SIN EMITIR")),"")</f>
        <v/>
      </c>
      <c r="I416" s="10"/>
      <c r="J416" s="2"/>
      <c r="K416" s="29"/>
      <c r="L416" s="29"/>
    </row>
    <row r="417" spans="1:12" ht="15.75" x14ac:dyDescent="0.25">
      <c r="A417" s="5"/>
      <c r="B417" s="7"/>
      <c r="C417" s="5"/>
      <c r="D417" s="5"/>
      <c r="E417" s="8"/>
      <c r="F417" s="9"/>
      <c r="G417" s="5"/>
      <c r="H417" s="28" t="str">
        <f>IFERROR(IF(AND(COUNTIF(RegistroPago!$A$1:$A$2000,Consolidado!B417)&gt;0,INDEX(RegistroPago!$E$1:$E$2000,MATCH(Consolidado!B417,RegistroPago!$A$1:$A$2000,0))&lt;&gt;""),"PAGADA",IF(I417&lt;&gt;"","PENDIENTE","SIN EMITIR")),"")</f>
        <v/>
      </c>
      <c r="I417" s="10"/>
      <c r="J417" s="2"/>
      <c r="K417" s="29"/>
      <c r="L417" s="29"/>
    </row>
    <row r="418" spans="1:12" ht="15.75" x14ac:dyDescent="0.25">
      <c r="A418" s="5"/>
      <c r="B418" s="7"/>
      <c r="C418" s="5"/>
      <c r="D418" s="5"/>
      <c r="E418" s="8"/>
      <c r="F418" s="9"/>
      <c r="G418" s="5"/>
      <c r="H418" s="28" t="str">
        <f>IFERROR(IF(AND(COUNTIF(RegistroPago!$A$1:$A$2000,Consolidado!B418)&gt;0,INDEX(RegistroPago!$E$1:$E$2000,MATCH(Consolidado!B418,RegistroPago!$A$1:$A$2000,0))&lt;&gt;""),"PAGADA",IF(I418&lt;&gt;"","PENDIENTE","SIN EMITIR")),"")</f>
        <v/>
      </c>
      <c r="I418" s="10"/>
      <c r="J418" s="2"/>
      <c r="K418" s="29"/>
      <c r="L418" s="29"/>
    </row>
    <row r="419" spans="1:12" ht="15.75" x14ac:dyDescent="0.25">
      <c r="A419" s="5"/>
      <c r="B419" s="7"/>
      <c r="C419" s="5"/>
      <c r="D419" s="5"/>
      <c r="E419" s="8"/>
      <c r="F419" s="9"/>
      <c r="G419" s="5"/>
      <c r="H419" s="28" t="str">
        <f>IFERROR(IF(AND(COUNTIF(RegistroPago!$A$1:$A$2000,Consolidado!B419)&gt;0,INDEX(RegistroPago!$E$1:$E$2000,MATCH(Consolidado!B419,RegistroPago!$A$1:$A$2000,0))&lt;&gt;""),"PAGADA",IF(I419&lt;&gt;"","PENDIENTE","SIN EMITIR")),"")</f>
        <v/>
      </c>
      <c r="I419" s="10"/>
      <c r="J419" s="2"/>
      <c r="K419" s="29"/>
      <c r="L419" s="29"/>
    </row>
    <row r="420" spans="1:12" ht="15.75" x14ac:dyDescent="0.25">
      <c r="A420" s="5"/>
      <c r="B420" s="7"/>
      <c r="C420" s="5"/>
      <c r="D420" s="5"/>
      <c r="E420" s="8"/>
      <c r="F420" s="9"/>
      <c r="G420" s="5"/>
      <c r="H420" s="28" t="str">
        <f>IFERROR(IF(AND(COUNTIF(RegistroPago!$A$1:$A$2000,Consolidado!B420)&gt;0,INDEX(RegistroPago!$E$1:$E$2000,MATCH(Consolidado!B420,RegistroPago!$A$1:$A$2000,0))&lt;&gt;""),"PAGADA",IF(I420&lt;&gt;"","PENDIENTE","SIN EMITIR")),"")</f>
        <v/>
      </c>
      <c r="I420" s="10"/>
      <c r="J420" s="2"/>
      <c r="K420" s="29"/>
      <c r="L420" s="29"/>
    </row>
    <row r="421" spans="1:12" ht="15.75" x14ac:dyDescent="0.25">
      <c r="A421" s="5"/>
      <c r="B421" s="7"/>
      <c r="C421" s="5"/>
      <c r="D421" s="5"/>
      <c r="E421" s="8"/>
      <c r="F421" s="9"/>
      <c r="G421" s="5"/>
      <c r="H421" s="28" t="str">
        <f>IFERROR(IF(AND(COUNTIF(RegistroPago!$A$1:$A$2000,Consolidado!B421)&gt;0,INDEX(RegistroPago!$E$1:$E$2000,MATCH(Consolidado!B421,RegistroPago!$A$1:$A$2000,0))&lt;&gt;""),"PAGADA",IF(I421&lt;&gt;"","PENDIENTE","SIN EMITIR")),"")</f>
        <v/>
      </c>
      <c r="I421" s="10"/>
      <c r="J421" s="2"/>
      <c r="K421" s="29"/>
      <c r="L421" s="29"/>
    </row>
    <row r="422" spans="1:12" ht="15.75" x14ac:dyDescent="0.25">
      <c r="A422" s="5"/>
      <c r="B422" s="7"/>
      <c r="C422" s="5"/>
      <c r="D422" s="5"/>
      <c r="E422" s="8"/>
      <c r="F422" s="9"/>
      <c r="G422" s="5"/>
      <c r="H422" s="28" t="str">
        <f>IFERROR(IF(AND(COUNTIF(RegistroPago!$A$1:$A$2000,Consolidado!B422)&gt;0,INDEX(RegistroPago!$E$1:$E$2000,MATCH(Consolidado!B422,RegistroPago!$A$1:$A$2000,0))&lt;&gt;""),"PAGADA",IF(I422&lt;&gt;"","PENDIENTE","SIN EMITIR")),"")</f>
        <v/>
      </c>
      <c r="I422" s="10"/>
      <c r="J422" s="2"/>
      <c r="K422" s="29"/>
      <c r="L422" s="29"/>
    </row>
    <row r="423" spans="1:12" ht="15.75" x14ac:dyDescent="0.25">
      <c r="A423" s="5"/>
      <c r="B423" s="7"/>
      <c r="C423" s="5"/>
      <c r="D423" s="5"/>
      <c r="E423" s="8"/>
      <c r="F423" s="9"/>
      <c r="G423" s="5"/>
      <c r="H423" s="28" t="str">
        <f>IFERROR(IF(AND(COUNTIF(RegistroPago!$A$1:$A$2000,Consolidado!B423)&gt;0,INDEX(RegistroPago!$E$1:$E$2000,MATCH(Consolidado!B423,RegistroPago!$A$1:$A$2000,0))&lt;&gt;""),"PAGADA",IF(I423&lt;&gt;"","PENDIENTE","SIN EMITIR")),"")</f>
        <v/>
      </c>
      <c r="I423" s="10"/>
      <c r="J423" s="2"/>
      <c r="K423" s="29"/>
      <c r="L423" s="29"/>
    </row>
    <row r="424" spans="1:12" ht="15.75" x14ac:dyDescent="0.25">
      <c r="A424" s="5"/>
      <c r="B424" s="7"/>
      <c r="C424" s="5"/>
      <c r="D424" s="5"/>
      <c r="E424" s="8"/>
      <c r="F424" s="9"/>
      <c r="G424" s="5"/>
      <c r="H424" s="28" t="str">
        <f>IFERROR(IF(AND(COUNTIF(RegistroPago!$A$1:$A$2000,Consolidado!B424)&gt;0,INDEX(RegistroPago!$E$1:$E$2000,MATCH(Consolidado!B424,RegistroPago!$A$1:$A$2000,0))&lt;&gt;""),"PAGADA",IF(I424&lt;&gt;"","PENDIENTE","SIN EMITIR")),"")</f>
        <v/>
      </c>
      <c r="I424" s="10"/>
      <c r="J424" s="2"/>
      <c r="K424" s="29"/>
      <c r="L424" s="29"/>
    </row>
    <row r="425" spans="1:12" ht="15.75" x14ac:dyDescent="0.25">
      <c r="A425" s="5"/>
      <c r="B425" s="7"/>
      <c r="C425" s="5"/>
      <c r="D425" s="5"/>
      <c r="E425" s="8"/>
      <c r="F425" s="9"/>
      <c r="G425" s="5"/>
      <c r="H425" s="28" t="str">
        <f>IFERROR(IF(AND(COUNTIF(RegistroPago!$A$1:$A$2000,Consolidado!B425)&gt;0,INDEX(RegistroPago!$E$1:$E$2000,MATCH(Consolidado!B425,RegistroPago!$A$1:$A$2000,0))&lt;&gt;""),"PAGADA",IF(I425&lt;&gt;"","PENDIENTE","SIN EMITIR")),"")</f>
        <v/>
      </c>
      <c r="I425" s="10"/>
      <c r="J425" s="2"/>
      <c r="K425" s="29"/>
      <c r="L425" s="29"/>
    </row>
    <row r="426" spans="1:12" ht="15.75" x14ac:dyDescent="0.25">
      <c r="A426" s="5"/>
      <c r="B426" s="7"/>
      <c r="C426" s="5"/>
      <c r="D426" s="5"/>
      <c r="E426" s="8"/>
      <c r="F426" s="9"/>
      <c r="G426" s="5"/>
      <c r="H426" s="28" t="str">
        <f>IFERROR(IF(AND(COUNTIF(RegistroPago!$A$1:$A$2000,Consolidado!B426)&gt;0,INDEX(RegistroPago!$E$1:$E$2000,MATCH(Consolidado!B426,RegistroPago!$A$1:$A$2000,0))&lt;&gt;""),"PAGADA",IF(I426&lt;&gt;"","PENDIENTE","SIN EMITIR")),"")</f>
        <v/>
      </c>
      <c r="I426" s="10"/>
      <c r="J426" s="2"/>
      <c r="K426" s="29"/>
      <c r="L426" s="29"/>
    </row>
    <row r="427" spans="1:12" ht="15.75" x14ac:dyDescent="0.25">
      <c r="A427" s="5"/>
      <c r="B427" s="7"/>
      <c r="C427" s="5"/>
      <c r="D427" s="5"/>
      <c r="E427" s="8"/>
      <c r="F427" s="9"/>
      <c r="G427" s="5"/>
      <c r="H427" s="28" t="str">
        <f>IFERROR(IF(AND(COUNTIF(RegistroPago!$A$1:$A$2000,Consolidado!B427)&gt;0,INDEX(RegistroPago!$E$1:$E$2000,MATCH(Consolidado!B427,RegistroPago!$A$1:$A$2000,0))&lt;&gt;""),"PAGADA",IF(I427&lt;&gt;"","PENDIENTE","SIN EMITIR")),"")</f>
        <v/>
      </c>
      <c r="I427" s="10"/>
      <c r="J427" s="2"/>
      <c r="K427" s="29"/>
      <c r="L427" s="29"/>
    </row>
    <row r="428" spans="1:12" ht="15.75" x14ac:dyDescent="0.25">
      <c r="A428" s="5"/>
      <c r="B428" s="7"/>
      <c r="C428" s="5"/>
      <c r="D428" s="5"/>
      <c r="E428" s="8"/>
      <c r="F428" s="9"/>
      <c r="G428" s="5"/>
      <c r="H428" s="28" t="str">
        <f>IFERROR(IF(AND(COUNTIF(RegistroPago!$A$1:$A$2000,Consolidado!B428)&gt;0,INDEX(RegistroPago!$E$1:$E$2000,MATCH(Consolidado!B428,RegistroPago!$A$1:$A$2000,0))&lt;&gt;""),"PAGADA",IF(I428&lt;&gt;"","PENDIENTE","SIN EMITIR")),"")</f>
        <v/>
      </c>
      <c r="I428" s="10"/>
      <c r="J428" s="2"/>
      <c r="K428" s="29"/>
      <c r="L428" s="29"/>
    </row>
    <row r="429" spans="1:12" ht="15.75" x14ac:dyDescent="0.25">
      <c r="A429" s="5"/>
      <c r="B429" s="7"/>
      <c r="C429" s="5"/>
      <c r="D429" s="5"/>
      <c r="E429" s="8"/>
      <c r="F429" s="9"/>
      <c r="G429" s="5"/>
      <c r="H429" s="28" t="str">
        <f>IFERROR(IF(AND(COUNTIF(RegistroPago!$A$1:$A$2000,Consolidado!B429)&gt;0,INDEX(RegistroPago!$E$1:$E$2000,MATCH(Consolidado!B429,RegistroPago!$A$1:$A$2000,0))&lt;&gt;""),"PAGADA",IF(I429&lt;&gt;"","PENDIENTE","SIN EMITIR")),"")</f>
        <v/>
      </c>
      <c r="I429" s="10"/>
      <c r="J429" s="2"/>
      <c r="K429" s="29"/>
      <c r="L429" s="29"/>
    </row>
    <row r="430" spans="1:12" ht="15.75" x14ac:dyDescent="0.25">
      <c r="A430" s="5"/>
      <c r="B430" s="7"/>
      <c r="C430" s="5"/>
      <c r="D430" s="5"/>
      <c r="E430" s="8"/>
      <c r="F430" s="9"/>
      <c r="G430" s="5"/>
      <c r="H430" s="28" t="str">
        <f>IFERROR(IF(AND(COUNTIF(RegistroPago!$A$1:$A$2000,Consolidado!B430)&gt;0,INDEX(RegistroPago!$E$1:$E$2000,MATCH(Consolidado!B430,RegistroPago!$A$1:$A$2000,0))&lt;&gt;""),"PAGADA",IF(I430&lt;&gt;"","PENDIENTE","SIN EMITIR")),"")</f>
        <v/>
      </c>
      <c r="I430" s="10"/>
      <c r="J430" s="2"/>
      <c r="K430" s="29"/>
      <c r="L430" s="29"/>
    </row>
    <row r="431" spans="1:12" ht="15.75" x14ac:dyDescent="0.25">
      <c r="A431" s="5"/>
      <c r="B431" s="7"/>
      <c r="C431" s="5"/>
      <c r="D431" s="5"/>
      <c r="E431" s="8"/>
      <c r="F431" s="9"/>
      <c r="G431" s="5"/>
      <c r="H431" s="28" t="str">
        <f>IFERROR(IF(AND(COUNTIF(RegistroPago!$A$1:$A$2000,Consolidado!B431)&gt;0,INDEX(RegistroPago!$E$1:$E$2000,MATCH(Consolidado!B431,RegistroPago!$A$1:$A$2000,0))&lt;&gt;""),"PAGADA",IF(I431&lt;&gt;"","PENDIENTE","SIN EMITIR")),"")</f>
        <v/>
      </c>
      <c r="I431" s="10"/>
      <c r="J431" s="2"/>
      <c r="K431" s="29"/>
      <c r="L431" s="29"/>
    </row>
    <row r="432" spans="1:12" ht="15.75" x14ac:dyDescent="0.25">
      <c r="A432" s="5"/>
      <c r="B432" s="7"/>
      <c r="C432" s="5"/>
      <c r="D432" s="5"/>
      <c r="E432" s="8"/>
      <c r="F432" s="9"/>
      <c r="G432" s="5"/>
      <c r="H432" s="28" t="str">
        <f>IFERROR(IF(AND(COUNTIF(RegistroPago!$A$1:$A$2000,Consolidado!B432)&gt;0,INDEX(RegistroPago!$E$1:$E$2000,MATCH(Consolidado!B432,RegistroPago!$A$1:$A$2000,0))&lt;&gt;""),"PAGADA",IF(I432&lt;&gt;"","PENDIENTE","SIN EMITIR")),"")</f>
        <v/>
      </c>
      <c r="I432" s="10"/>
      <c r="J432" s="2"/>
      <c r="K432" s="29"/>
      <c r="L432" s="29"/>
    </row>
    <row r="433" spans="1:12" ht="15.75" x14ac:dyDescent="0.25">
      <c r="A433" s="5"/>
      <c r="B433" s="7"/>
      <c r="C433" s="5"/>
      <c r="D433" s="5"/>
      <c r="E433" s="8"/>
      <c r="F433" s="9"/>
      <c r="G433" s="5"/>
      <c r="H433" s="28" t="str">
        <f>IFERROR(IF(AND(COUNTIF(RegistroPago!$A$1:$A$2000,Consolidado!B433)&gt;0,INDEX(RegistroPago!$E$1:$E$2000,MATCH(Consolidado!B433,RegistroPago!$A$1:$A$2000,0))&lt;&gt;""),"PAGADA",IF(I433&lt;&gt;"","PENDIENTE","SIN EMITIR")),"")</f>
        <v/>
      </c>
      <c r="I433" s="10"/>
      <c r="J433" s="2"/>
      <c r="K433" s="29"/>
      <c r="L433" s="29"/>
    </row>
    <row r="434" spans="1:12" ht="15.75" x14ac:dyDescent="0.25">
      <c r="A434" s="5"/>
      <c r="B434" s="7"/>
      <c r="C434" s="5"/>
      <c r="D434" s="5"/>
      <c r="E434" s="8"/>
      <c r="F434" s="9"/>
      <c r="G434" s="5"/>
      <c r="H434" s="28" t="str">
        <f>IFERROR(IF(AND(COUNTIF(RegistroPago!$A$1:$A$2000,Consolidado!B434)&gt;0,INDEX(RegistroPago!$E$1:$E$2000,MATCH(Consolidado!B434,RegistroPago!$A$1:$A$2000,0))&lt;&gt;""),"PAGADA",IF(I434&lt;&gt;"","PENDIENTE","SIN EMITIR")),"")</f>
        <v/>
      </c>
      <c r="I434" s="10"/>
      <c r="J434" s="2"/>
      <c r="K434" s="29"/>
      <c r="L434" s="29"/>
    </row>
    <row r="435" spans="1:12" ht="15.75" x14ac:dyDescent="0.25">
      <c r="A435" s="5"/>
      <c r="B435" s="7"/>
      <c r="C435" s="5"/>
      <c r="D435" s="5"/>
      <c r="E435" s="8"/>
      <c r="F435" s="9"/>
      <c r="G435" s="5"/>
      <c r="H435" s="28" t="str">
        <f>IFERROR(IF(AND(COUNTIF(RegistroPago!$A$1:$A$2000,Consolidado!B435)&gt;0,INDEX(RegistroPago!$E$1:$E$2000,MATCH(Consolidado!B435,RegistroPago!$A$1:$A$2000,0))&lt;&gt;""),"PAGADA",IF(I435&lt;&gt;"","PENDIENTE","SIN EMITIR")),"")</f>
        <v/>
      </c>
      <c r="I435" s="10"/>
      <c r="J435" s="2"/>
      <c r="K435" s="29"/>
      <c r="L435" s="29"/>
    </row>
    <row r="436" spans="1:12" ht="15.75" x14ac:dyDescent="0.25">
      <c r="A436" s="5"/>
      <c r="B436" s="7"/>
      <c r="C436" s="5"/>
      <c r="D436" s="5"/>
      <c r="E436" s="8"/>
      <c r="F436" s="9"/>
      <c r="G436" s="5"/>
      <c r="H436" s="28" t="str">
        <f>IFERROR(IF(AND(COUNTIF(RegistroPago!$A$1:$A$2000,Consolidado!B436)&gt;0,INDEX(RegistroPago!$E$1:$E$2000,MATCH(Consolidado!B436,RegistroPago!$A$1:$A$2000,0))&lt;&gt;""),"PAGADA",IF(I436&lt;&gt;"","PENDIENTE","SIN EMITIR")),"")</f>
        <v/>
      </c>
      <c r="I436" s="10"/>
      <c r="J436" s="2"/>
      <c r="K436" s="29"/>
      <c r="L436" s="29"/>
    </row>
    <row r="437" spans="1:12" ht="15.75" x14ac:dyDescent="0.25">
      <c r="A437" s="5"/>
      <c r="B437" s="7"/>
      <c r="C437" s="5"/>
      <c r="D437" s="5"/>
      <c r="E437" s="8"/>
      <c r="F437" s="9"/>
      <c r="G437" s="5"/>
      <c r="H437" s="28" t="str">
        <f>IFERROR(IF(AND(COUNTIF(RegistroPago!$A$1:$A$2000,Consolidado!B437)&gt;0,INDEX(RegistroPago!$E$1:$E$2000,MATCH(Consolidado!B437,RegistroPago!$A$1:$A$2000,0))&lt;&gt;""),"PAGADA",IF(I437&lt;&gt;"","PENDIENTE","SIN EMITIR")),"")</f>
        <v/>
      </c>
      <c r="I437" s="10"/>
      <c r="J437" s="2"/>
      <c r="K437" s="29"/>
      <c r="L437" s="29"/>
    </row>
    <row r="438" spans="1:12" ht="15.75" x14ac:dyDescent="0.25">
      <c r="A438" s="5"/>
      <c r="B438" s="7"/>
      <c r="C438" s="5"/>
      <c r="D438" s="5"/>
      <c r="E438" s="8"/>
      <c r="F438" s="9"/>
      <c r="G438" s="5"/>
      <c r="H438" s="28" t="str">
        <f>IFERROR(IF(AND(COUNTIF(RegistroPago!$A$1:$A$2000,Consolidado!B438)&gt;0,INDEX(RegistroPago!$E$1:$E$2000,MATCH(Consolidado!B438,RegistroPago!$A$1:$A$2000,0))&lt;&gt;""),"PAGADA",IF(I438&lt;&gt;"","PENDIENTE","SIN EMITIR")),"")</f>
        <v/>
      </c>
      <c r="I438" s="10"/>
      <c r="J438" s="2"/>
      <c r="K438" s="29"/>
      <c r="L438" s="29"/>
    </row>
    <row r="439" spans="1:12" ht="15.75" x14ac:dyDescent="0.25">
      <c r="A439" s="5"/>
      <c r="B439" s="7"/>
      <c r="C439" s="5"/>
      <c r="D439" s="5"/>
      <c r="E439" s="8"/>
      <c r="F439" s="9"/>
      <c r="G439" s="5"/>
      <c r="H439" s="28" t="str">
        <f>IFERROR(IF(AND(COUNTIF(RegistroPago!$A$1:$A$2000,Consolidado!B439)&gt;0,INDEX(RegistroPago!$E$1:$E$2000,MATCH(Consolidado!B439,RegistroPago!$A$1:$A$2000,0))&lt;&gt;""),"PAGADA",IF(I439&lt;&gt;"","PENDIENTE","SIN EMITIR")),"")</f>
        <v/>
      </c>
      <c r="I439" s="10"/>
      <c r="J439" s="2"/>
      <c r="K439" s="29"/>
      <c r="L439" s="29"/>
    </row>
    <row r="440" spans="1:12" ht="15.75" x14ac:dyDescent="0.25">
      <c r="A440" s="5"/>
      <c r="B440" s="7"/>
      <c r="C440" s="5"/>
      <c r="D440" s="5"/>
      <c r="E440" s="8"/>
      <c r="F440" s="9"/>
      <c r="G440" s="5"/>
      <c r="H440" s="28" t="str">
        <f>IFERROR(IF(AND(COUNTIF(RegistroPago!$A$1:$A$2000,Consolidado!B440)&gt;0,INDEX(RegistroPago!$E$1:$E$2000,MATCH(Consolidado!B440,RegistroPago!$A$1:$A$2000,0))&lt;&gt;""),"PAGADA",IF(I440&lt;&gt;"","PENDIENTE","SIN EMITIR")),"")</f>
        <v/>
      </c>
      <c r="I440" s="10"/>
      <c r="J440" s="2"/>
      <c r="K440" s="29"/>
      <c r="L440" s="29"/>
    </row>
    <row r="441" spans="1:12" ht="15.75" x14ac:dyDescent="0.25">
      <c r="A441" s="5"/>
      <c r="B441" s="7"/>
      <c r="C441" s="5"/>
      <c r="D441" s="5"/>
      <c r="E441" s="8"/>
      <c r="F441" s="9"/>
      <c r="G441" s="5"/>
      <c r="H441" s="28" t="str">
        <f>IFERROR(IF(AND(COUNTIF(RegistroPago!$A$1:$A$2000,Consolidado!B441)&gt;0,INDEX(RegistroPago!$E$1:$E$2000,MATCH(Consolidado!B441,RegistroPago!$A$1:$A$2000,0))&lt;&gt;""),"PAGADA",IF(I441&lt;&gt;"","PENDIENTE","SIN EMITIR")),"")</f>
        <v/>
      </c>
      <c r="I441" s="10"/>
      <c r="J441" s="2"/>
      <c r="K441" s="29"/>
      <c r="L441" s="29"/>
    </row>
    <row r="442" spans="1:12" ht="15.75" x14ac:dyDescent="0.25">
      <c r="A442" s="5"/>
      <c r="B442" s="7"/>
      <c r="C442" s="5"/>
      <c r="D442" s="5"/>
      <c r="E442" s="8"/>
      <c r="F442" s="9"/>
      <c r="G442" s="5"/>
      <c r="H442" s="28" t="str">
        <f>IFERROR(IF(AND(COUNTIF(RegistroPago!$A$1:$A$2000,Consolidado!B442)&gt;0,INDEX(RegistroPago!$E$1:$E$2000,MATCH(Consolidado!B442,RegistroPago!$A$1:$A$2000,0))&lt;&gt;""),"PAGADA",IF(I442&lt;&gt;"","PENDIENTE","SIN EMITIR")),"")</f>
        <v/>
      </c>
      <c r="I442" s="10"/>
      <c r="J442" s="2"/>
      <c r="K442" s="29"/>
      <c r="L442" s="29"/>
    </row>
    <row r="443" spans="1:12" ht="15.75" x14ac:dyDescent="0.25">
      <c r="A443" s="5"/>
      <c r="B443" s="7"/>
      <c r="C443" s="5"/>
      <c r="D443" s="5"/>
      <c r="E443" s="8"/>
      <c r="F443" s="9"/>
      <c r="G443" s="5"/>
      <c r="H443" s="28" t="str">
        <f>IFERROR(IF(AND(COUNTIF(RegistroPago!$A$1:$A$2000,Consolidado!B443)&gt;0,INDEX(RegistroPago!$E$1:$E$2000,MATCH(Consolidado!B443,RegistroPago!$A$1:$A$2000,0))&lt;&gt;""),"PAGADA",IF(I443&lt;&gt;"","PENDIENTE","SIN EMITIR")),"")</f>
        <v/>
      </c>
      <c r="I443" s="10"/>
      <c r="J443" s="2"/>
      <c r="K443" s="29"/>
      <c r="L443" s="29"/>
    </row>
    <row r="444" spans="1:12" ht="15.75" x14ac:dyDescent="0.25">
      <c r="A444" s="5"/>
      <c r="B444" s="7"/>
      <c r="C444" s="5"/>
      <c r="D444" s="5"/>
      <c r="E444" s="8"/>
      <c r="F444" s="9"/>
      <c r="G444" s="5"/>
      <c r="H444" s="28" t="str">
        <f>IFERROR(IF(AND(COUNTIF(RegistroPago!$A$1:$A$2000,Consolidado!B444)&gt;0,INDEX(RegistroPago!$E$1:$E$2000,MATCH(Consolidado!B444,RegistroPago!$A$1:$A$2000,0))&lt;&gt;""),"PAGADA",IF(I444&lt;&gt;"","PENDIENTE","SIN EMITIR")),"")</f>
        <v/>
      </c>
      <c r="I444" s="10"/>
      <c r="J444" s="2"/>
      <c r="K444" s="29"/>
      <c r="L444" s="29"/>
    </row>
    <row r="445" spans="1:12" ht="15.75" x14ac:dyDescent="0.25">
      <c r="A445" s="5"/>
      <c r="B445" s="7"/>
      <c r="C445" s="5"/>
      <c r="D445" s="5"/>
      <c r="E445" s="8"/>
      <c r="F445" s="9"/>
      <c r="G445" s="5"/>
      <c r="H445" s="28" t="str">
        <f>IFERROR(IF(AND(COUNTIF(RegistroPago!$A$1:$A$2000,Consolidado!B445)&gt;0,INDEX(RegistroPago!$E$1:$E$2000,MATCH(Consolidado!B445,RegistroPago!$A$1:$A$2000,0))&lt;&gt;""),"PAGADA",IF(I445&lt;&gt;"","PENDIENTE","SIN EMITIR")),"")</f>
        <v/>
      </c>
      <c r="I445" s="10"/>
      <c r="J445" s="2"/>
      <c r="K445" s="29"/>
      <c r="L445" s="29"/>
    </row>
    <row r="446" spans="1:12" ht="15.75" x14ac:dyDescent="0.25">
      <c r="A446" s="5"/>
      <c r="B446" s="7"/>
      <c r="C446" s="5"/>
      <c r="D446" s="5"/>
      <c r="E446" s="8"/>
      <c r="F446" s="9"/>
      <c r="G446" s="5"/>
      <c r="H446" s="28" t="str">
        <f>IFERROR(IF(AND(COUNTIF(RegistroPago!$A$1:$A$2000,Consolidado!B446)&gt;0,INDEX(RegistroPago!$E$1:$E$2000,MATCH(Consolidado!B446,RegistroPago!$A$1:$A$2000,0))&lt;&gt;""),"PAGADA",IF(I446&lt;&gt;"","PENDIENTE","SIN EMITIR")),"")</f>
        <v/>
      </c>
      <c r="I446" s="10"/>
      <c r="J446" s="2"/>
      <c r="K446" s="29"/>
      <c r="L446" s="29"/>
    </row>
    <row r="447" spans="1:12" ht="15.75" x14ac:dyDescent="0.25">
      <c r="A447" s="5"/>
      <c r="B447" s="7"/>
      <c r="C447" s="5"/>
      <c r="D447" s="5"/>
      <c r="E447" s="8"/>
      <c r="F447" s="9"/>
      <c r="G447" s="5"/>
      <c r="H447" s="28" t="str">
        <f>IFERROR(IF(AND(COUNTIF(RegistroPago!$A$1:$A$2000,Consolidado!B447)&gt;0,INDEX(RegistroPago!$E$1:$E$2000,MATCH(Consolidado!B447,RegistroPago!$A$1:$A$2000,0))&lt;&gt;""),"PAGADA",IF(I447&lt;&gt;"","PENDIENTE","SIN EMITIR")),"")</f>
        <v/>
      </c>
      <c r="I447" s="10"/>
      <c r="J447" s="2"/>
      <c r="K447" s="29"/>
      <c r="L447" s="29"/>
    </row>
    <row r="448" spans="1:12" ht="15.75" x14ac:dyDescent="0.25">
      <c r="A448" s="5"/>
      <c r="B448" s="7"/>
      <c r="C448" s="5"/>
      <c r="D448" s="5"/>
      <c r="E448" s="8"/>
      <c r="F448" s="9"/>
      <c r="G448" s="5"/>
      <c r="H448" s="28" t="str">
        <f>IFERROR(IF(AND(COUNTIF(RegistroPago!$A$1:$A$2000,Consolidado!B448)&gt;0,INDEX(RegistroPago!$E$1:$E$2000,MATCH(Consolidado!B448,RegistroPago!$A$1:$A$2000,0))&lt;&gt;""),"PAGADA",IF(I448&lt;&gt;"","PENDIENTE","SIN EMITIR")),"")</f>
        <v/>
      </c>
      <c r="I448" s="10"/>
      <c r="J448" s="2"/>
      <c r="K448" s="29"/>
      <c r="L448" s="29"/>
    </row>
    <row r="449" spans="1:12" ht="15.75" x14ac:dyDescent="0.25">
      <c r="A449" s="5"/>
      <c r="B449" s="7"/>
      <c r="C449" s="5"/>
      <c r="D449" s="5"/>
      <c r="E449" s="8"/>
      <c r="F449" s="9"/>
      <c r="G449" s="5"/>
      <c r="H449" s="28" t="str">
        <f>IFERROR(IF(AND(COUNTIF(RegistroPago!$A$1:$A$2000,Consolidado!B449)&gt;0,INDEX(RegistroPago!$E$1:$E$2000,MATCH(Consolidado!B449,RegistroPago!$A$1:$A$2000,0))&lt;&gt;""),"PAGADA",IF(I449&lt;&gt;"","PENDIENTE","SIN EMITIR")),"")</f>
        <v/>
      </c>
      <c r="I449" s="10"/>
      <c r="J449" s="2"/>
      <c r="K449" s="29"/>
      <c r="L449" s="29"/>
    </row>
    <row r="450" spans="1:12" ht="15.75" x14ac:dyDescent="0.25">
      <c r="A450" s="5"/>
      <c r="B450" s="7"/>
      <c r="C450" s="5"/>
      <c r="D450" s="5"/>
      <c r="E450" s="8"/>
      <c r="F450" s="9"/>
      <c r="G450" s="5"/>
      <c r="H450" s="28" t="str">
        <f>IFERROR(IF(AND(COUNTIF(RegistroPago!$A$1:$A$2000,Consolidado!B450)&gt;0,INDEX(RegistroPago!$E$1:$E$2000,MATCH(Consolidado!B450,RegistroPago!$A$1:$A$2000,0))&lt;&gt;""),"PAGADA",IF(I450&lt;&gt;"","PENDIENTE","SIN EMITIR")),"")</f>
        <v/>
      </c>
      <c r="I450" s="10"/>
      <c r="J450" s="2"/>
      <c r="K450" s="29"/>
      <c r="L450" s="29"/>
    </row>
    <row r="451" spans="1:12" ht="15.75" x14ac:dyDescent="0.25">
      <c r="A451" s="5"/>
      <c r="B451" s="7"/>
      <c r="C451" s="5"/>
      <c r="D451" s="5"/>
      <c r="E451" s="8"/>
      <c r="F451" s="9"/>
      <c r="G451" s="5"/>
      <c r="H451" s="28" t="str">
        <f>IFERROR(IF(AND(COUNTIF(RegistroPago!$A$1:$A$2000,Consolidado!B451)&gt;0,INDEX(RegistroPago!$E$1:$E$2000,MATCH(Consolidado!B451,RegistroPago!$A$1:$A$2000,0))&lt;&gt;""),"PAGADA",IF(I451&lt;&gt;"","PENDIENTE","SIN EMITIR")),"")</f>
        <v/>
      </c>
      <c r="I451" s="10"/>
      <c r="J451" s="2"/>
      <c r="K451" s="29"/>
      <c r="L451" s="29"/>
    </row>
    <row r="452" spans="1:12" ht="15.75" x14ac:dyDescent="0.25">
      <c r="A452" s="5"/>
      <c r="B452" s="7"/>
      <c r="C452" s="5"/>
      <c r="D452" s="5"/>
      <c r="E452" s="8"/>
      <c r="F452" s="9"/>
      <c r="G452" s="5"/>
      <c r="H452" s="28" t="str">
        <f>IFERROR(IF(AND(COUNTIF(RegistroPago!$A$1:$A$2000,Consolidado!B452)&gt;0,INDEX(RegistroPago!$E$1:$E$2000,MATCH(Consolidado!B452,RegistroPago!$A$1:$A$2000,0))&lt;&gt;""),"PAGADA",IF(I452&lt;&gt;"","PENDIENTE","SIN EMITIR")),"")</f>
        <v/>
      </c>
      <c r="I452" s="10"/>
      <c r="J452" s="2"/>
      <c r="K452" s="29"/>
      <c r="L452" s="29"/>
    </row>
    <row r="453" spans="1:12" ht="15.75" x14ac:dyDescent="0.25">
      <c r="A453" s="5"/>
      <c r="B453" s="7"/>
      <c r="C453" s="5"/>
      <c r="D453" s="5"/>
      <c r="E453" s="8"/>
      <c r="F453" s="9"/>
      <c r="G453" s="5"/>
      <c r="H453" s="28" t="str">
        <f>IFERROR(IF(AND(COUNTIF(RegistroPago!$A$1:$A$2000,Consolidado!B453)&gt;0,INDEX(RegistroPago!$E$1:$E$2000,MATCH(Consolidado!B453,RegistroPago!$A$1:$A$2000,0))&lt;&gt;""),"PAGADA",IF(I453&lt;&gt;"","PENDIENTE","SIN EMITIR")),"")</f>
        <v/>
      </c>
      <c r="I453" s="10"/>
      <c r="J453" s="2"/>
      <c r="K453" s="29"/>
      <c r="L453" s="29"/>
    </row>
    <row r="454" spans="1:12" ht="15.75" x14ac:dyDescent="0.25">
      <c r="A454" s="5"/>
      <c r="B454" s="7"/>
      <c r="C454" s="5"/>
      <c r="D454" s="5"/>
      <c r="E454" s="8"/>
      <c r="F454" s="9"/>
      <c r="G454" s="5"/>
      <c r="H454" s="28" t="str">
        <f>IFERROR(IF(AND(COUNTIF(RegistroPago!$A$1:$A$2000,Consolidado!B454)&gt;0,INDEX(RegistroPago!$E$1:$E$2000,MATCH(Consolidado!B454,RegistroPago!$A$1:$A$2000,0))&lt;&gt;""),"PAGADA",IF(I454&lt;&gt;"","PENDIENTE","SIN EMITIR")),"")</f>
        <v/>
      </c>
      <c r="I454" s="10"/>
      <c r="J454" s="2"/>
      <c r="K454" s="29"/>
      <c r="L454" s="29"/>
    </row>
    <row r="455" spans="1:12" ht="15.75" x14ac:dyDescent="0.25">
      <c r="A455" s="5"/>
      <c r="B455" s="7"/>
      <c r="C455" s="5"/>
      <c r="D455" s="5"/>
      <c r="E455" s="8"/>
      <c r="F455" s="9"/>
      <c r="G455" s="5"/>
      <c r="H455" s="28" t="str">
        <f>IFERROR(IF(AND(COUNTIF(RegistroPago!$A$1:$A$2000,Consolidado!B455)&gt;0,INDEX(RegistroPago!$E$1:$E$2000,MATCH(Consolidado!B455,RegistroPago!$A$1:$A$2000,0))&lt;&gt;""),"PAGADA",IF(I455&lt;&gt;"","PENDIENTE","SIN EMITIR")),"")</f>
        <v/>
      </c>
      <c r="I455" s="10"/>
      <c r="J455" s="2"/>
      <c r="K455" s="29"/>
      <c r="L455" s="29"/>
    </row>
    <row r="456" spans="1:12" ht="15.75" x14ac:dyDescent="0.25">
      <c r="A456" s="5"/>
      <c r="B456" s="7"/>
      <c r="C456" s="5"/>
      <c r="D456" s="5"/>
      <c r="E456" s="8"/>
      <c r="F456" s="9"/>
      <c r="G456" s="5"/>
      <c r="H456" s="28" t="str">
        <f>IFERROR(IF(AND(COUNTIF(RegistroPago!$A$1:$A$2000,Consolidado!B456)&gt;0,INDEX(RegistroPago!$E$1:$E$2000,MATCH(Consolidado!B456,RegistroPago!$A$1:$A$2000,0))&lt;&gt;""),"PAGADA",IF(I456&lt;&gt;"","PENDIENTE","SIN EMITIR")),"")</f>
        <v/>
      </c>
      <c r="I456" s="10"/>
      <c r="J456" s="2"/>
      <c r="K456" s="29"/>
      <c r="L456" s="29"/>
    </row>
    <row r="457" spans="1:12" ht="15.75" x14ac:dyDescent="0.25">
      <c r="A457" s="5"/>
      <c r="B457" s="7"/>
      <c r="C457" s="5"/>
      <c r="D457" s="5"/>
      <c r="E457" s="8"/>
      <c r="F457" s="9"/>
      <c r="G457" s="5"/>
      <c r="H457" s="28" t="str">
        <f>IFERROR(IF(AND(COUNTIF(RegistroPago!$A$1:$A$2000,Consolidado!B457)&gt;0,INDEX(RegistroPago!$E$1:$E$2000,MATCH(Consolidado!B457,RegistroPago!$A$1:$A$2000,0))&lt;&gt;""),"PAGADA",IF(I457&lt;&gt;"","PENDIENTE","SIN EMITIR")),"")</f>
        <v/>
      </c>
      <c r="I457" s="10"/>
      <c r="J457" s="2"/>
      <c r="K457" s="29"/>
      <c r="L457" s="29"/>
    </row>
    <row r="458" spans="1:12" ht="15.75" x14ac:dyDescent="0.25">
      <c r="A458" s="5"/>
      <c r="B458" s="7"/>
      <c r="C458" s="5"/>
      <c r="D458" s="5"/>
      <c r="E458" s="8"/>
      <c r="F458" s="9"/>
      <c r="G458" s="5"/>
      <c r="H458" s="28" t="str">
        <f>IFERROR(IF(AND(COUNTIF(RegistroPago!$A$1:$A$2000,Consolidado!B458)&gt;0,INDEX(RegistroPago!$E$1:$E$2000,MATCH(Consolidado!B458,RegistroPago!$A$1:$A$2000,0))&lt;&gt;""),"PAGADA",IF(I458&lt;&gt;"","PENDIENTE","SIN EMITIR")),"")</f>
        <v/>
      </c>
      <c r="I458" s="10"/>
      <c r="J458" s="2"/>
      <c r="K458" s="29"/>
      <c r="L458" s="29"/>
    </row>
    <row r="459" spans="1:12" ht="15.75" x14ac:dyDescent="0.25">
      <c r="A459" s="5"/>
      <c r="B459" s="7"/>
      <c r="C459" s="5"/>
      <c r="D459" s="5"/>
      <c r="E459" s="8"/>
      <c r="F459" s="9"/>
      <c r="G459" s="5"/>
      <c r="H459" s="28" t="str">
        <f>IFERROR(IF(AND(COUNTIF(RegistroPago!$A$1:$A$2000,Consolidado!B459)&gt;0,INDEX(RegistroPago!$E$1:$E$2000,MATCH(Consolidado!B459,RegistroPago!$A$1:$A$2000,0))&lt;&gt;""),"PAGADA",IF(I459&lt;&gt;"","PENDIENTE","SIN EMITIR")),"")</f>
        <v/>
      </c>
      <c r="I459" s="10"/>
      <c r="J459" s="2"/>
      <c r="K459" s="29"/>
      <c r="L459" s="29"/>
    </row>
    <row r="460" spans="1:12" ht="15.75" x14ac:dyDescent="0.25">
      <c r="A460" s="5"/>
      <c r="B460" s="7"/>
      <c r="C460" s="5"/>
      <c r="D460" s="5"/>
      <c r="E460" s="8"/>
      <c r="F460" s="9"/>
      <c r="G460" s="5"/>
      <c r="H460" s="28" t="str">
        <f>IFERROR(IF(AND(COUNTIF(RegistroPago!$A$1:$A$2000,Consolidado!B460)&gt;0,INDEX(RegistroPago!$E$1:$E$2000,MATCH(Consolidado!B460,RegistroPago!$A$1:$A$2000,0))&lt;&gt;""),"PAGADA",IF(I460&lt;&gt;"","PENDIENTE","SIN EMITIR")),"")</f>
        <v/>
      </c>
      <c r="I460" s="10"/>
      <c r="J460" s="2"/>
      <c r="K460" s="29"/>
      <c r="L460" s="29"/>
    </row>
    <row r="461" spans="1:12" ht="15.75" x14ac:dyDescent="0.25">
      <c r="A461" s="5"/>
      <c r="B461" s="7"/>
      <c r="C461" s="5"/>
      <c r="D461" s="5"/>
      <c r="E461" s="8"/>
      <c r="F461" s="9"/>
      <c r="G461" s="5"/>
      <c r="H461" s="28" t="str">
        <f>IFERROR(IF(AND(COUNTIF(RegistroPago!$A$1:$A$2000,Consolidado!B461)&gt;0,INDEX(RegistroPago!$E$1:$E$2000,MATCH(Consolidado!B461,RegistroPago!$A$1:$A$2000,0))&lt;&gt;""),"PAGADA",IF(I461&lt;&gt;"","PENDIENTE","SIN EMITIR")),"")</f>
        <v/>
      </c>
      <c r="I461" s="10"/>
      <c r="J461" s="2"/>
      <c r="K461" s="29"/>
      <c r="L461" s="29"/>
    </row>
    <row r="462" spans="1:12" ht="15.75" x14ac:dyDescent="0.25">
      <c r="A462" s="5"/>
      <c r="B462" s="7"/>
      <c r="C462" s="5"/>
      <c r="D462" s="5"/>
      <c r="E462" s="8"/>
      <c r="F462" s="9"/>
      <c r="G462" s="5"/>
      <c r="H462" s="28" t="str">
        <f>IFERROR(IF(AND(COUNTIF(RegistroPago!$A$1:$A$2000,Consolidado!B462)&gt;0,INDEX(RegistroPago!$E$1:$E$2000,MATCH(Consolidado!B462,RegistroPago!$A$1:$A$2000,0))&lt;&gt;""),"PAGADA",IF(I462&lt;&gt;"","PENDIENTE","SIN EMITIR")),"")</f>
        <v/>
      </c>
      <c r="I462" s="10"/>
      <c r="J462" s="2"/>
      <c r="K462" s="29"/>
      <c r="L462" s="29"/>
    </row>
    <row r="463" spans="1:12" ht="15.75" x14ac:dyDescent="0.25">
      <c r="A463" s="5"/>
      <c r="B463" s="7"/>
      <c r="C463" s="5"/>
      <c r="D463" s="5"/>
      <c r="E463" s="8"/>
      <c r="F463" s="9"/>
      <c r="G463" s="5"/>
      <c r="H463" s="28" t="str">
        <f>IFERROR(IF(AND(COUNTIF(RegistroPago!$A$1:$A$2000,Consolidado!B463)&gt;0,INDEX(RegistroPago!$E$1:$E$2000,MATCH(Consolidado!B463,RegistroPago!$A$1:$A$2000,0))&lt;&gt;""),"PAGADA",IF(I463&lt;&gt;"","PENDIENTE","SIN EMITIR")),"")</f>
        <v/>
      </c>
      <c r="I463" s="10"/>
      <c r="J463" s="2"/>
      <c r="K463" s="29"/>
      <c r="L463" s="29"/>
    </row>
    <row r="464" spans="1:12" ht="15.75" x14ac:dyDescent="0.25">
      <c r="A464" s="5"/>
      <c r="B464" s="7"/>
      <c r="C464" s="5"/>
      <c r="D464" s="5"/>
      <c r="E464" s="8"/>
      <c r="F464" s="9"/>
      <c r="G464" s="5"/>
      <c r="H464" s="28" t="str">
        <f>IFERROR(IF(AND(COUNTIF(RegistroPago!$A$1:$A$2000,Consolidado!B464)&gt;0,INDEX(RegistroPago!$E$1:$E$2000,MATCH(Consolidado!B464,RegistroPago!$A$1:$A$2000,0))&lt;&gt;""),"PAGADA",IF(I464&lt;&gt;"","PENDIENTE","SIN EMITIR")),"")</f>
        <v/>
      </c>
      <c r="I464" s="10"/>
      <c r="J464" s="2"/>
      <c r="K464" s="29"/>
      <c r="L464" s="29"/>
    </row>
    <row r="465" spans="1:12" ht="15.75" x14ac:dyDescent="0.25">
      <c r="A465" s="5"/>
      <c r="B465" s="7"/>
      <c r="C465" s="5"/>
      <c r="D465" s="5"/>
      <c r="E465" s="8"/>
      <c r="F465" s="9"/>
      <c r="G465" s="5"/>
      <c r="H465" s="28" t="str">
        <f>IFERROR(IF(AND(COUNTIF(RegistroPago!$A$1:$A$2000,Consolidado!B465)&gt;0,INDEX(RegistroPago!$E$1:$E$2000,MATCH(Consolidado!B465,RegistroPago!$A$1:$A$2000,0))&lt;&gt;""),"PAGADA",IF(I465&lt;&gt;"","PENDIENTE","SIN EMITIR")),"")</f>
        <v/>
      </c>
      <c r="I465" s="10"/>
      <c r="J465" s="2"/>
      <c r="K465" s="29"/>
      <c r="L465" s="29"/>
    </row>
    <row r="466" spans="1:12" ht="15.75" x14ac:dyDescent="0.25">
      <c r="A466" s="5"/>
      <c r="B466" s="7"/>
      <c r="C466" s="5"/>
      <c r="D466" s="5"/>
      <c r="E466" s="8"/>
      <c r="F466" s="9"/>
      <c r="G466" s="5"/>
      <c r="H466" s="28" t="str">
        <f>IFERROR(IF(AND(COUNTIF(RegistroPago!$A$1:$A$2000,Consolidado!B466)&gt;0,INDEX(RegistroPago!$E$1:$E$2000,MATCH(Consolidado!B466,RegistroPago!$A$1:$A$2000,0))&lt;&gt;""),"PAGADA",IF(I466&lt;&gt;"","PENDIENTE","SIN EMITIR")),"")</f>
        <v/>
      </c>
      <c r="I466" s="10"/>
      <c r="J466" s="2"/>
      <c r="K466" s="29"/>
      <c r="L466" s="29"/>
    </row>
    <row r="467" spans="1:12" ht="15.75" x14ac:dyDescent="0.25">
      <c r="A467" s="5"/>
      <c r="B467" s="7"/>
      <c r="C467" s="5"/>
      <c r="D467" s="5"/>
      <c r="E467" s="8"/>
      <c r="F467" s="9"/>
      <c r="G467" s="5"/>
      <c r="H467" s="28" t="str">
        <f>IFERROR(IF(AND(COUNTIF(RegistroPago!$A$1:$A$2000,Consolidado!B467)&gt;0,INDEX(RegistroPago!$E$1:$E$2000,MATCH(Consolidado!B467,RegistroPago!$A$1:$A$2000,0))&lt;&gt;""),"PAGADA",IF(I467&lt;&gt;"","PENDIENTE","SIN EMITIR")),"")</f>
        <v/>
      </c>
      <c r="I467" s="10"/>
      <c r="J467" s="2"/>
      <c r="K467" s="29"/>
      <c r="L467" s="29"/>
    </row>
    <row r="468" spans="1:12" ht="15.75" x14ac:dyDescent="0.25">
      <c r="A468" s="5"/>
      <c r="B468" s="7"/>
      <c r="C468" s="5"/>
      <c r="D468" s="5"/>
      <c r="E468" s="8"/>
      <c r="F468" s="9"/>
      <c r="G468" s="5"/>
      <c r="H468" s="28" t="str">
        <f>IFERROR(IF(AND(COUNTIF(RegistroPago!$A$1:$A$2000,Consolidado!B468)&gt;0,INDEX(RegistroPago!$E$1:$E$2000,MATCH(Consolidado!B468,RegistroPago!$A$1:$A$2000,0))&lt;&gt;""),"PAGADA",IF(I468&lt;&gt;"","PENDIENTE","SIN EMITIR")),"")</f>
        <v/>
      </c>
      <c r="I468" s="10"/>
      <c r="J468" s="2"/>
      <c r="K468" s="29"/>
      <c r="L468" s="29"/>
    </row>
    <row r="469" spans="1:12" ht="15.75" x14ac:dyDescent="0.25">
      <c r="A469" s="5"/>
      <c r="B469" s="7"/>
      <c r="C469" s="5"/>
      <c r="D469" s="5"/>
      <c r="E469" s="8"/>
      <c r="F469" s="9"/>
      <c r="G469" s="5"/>
      <c r="H469" s="28" t="str">
        <f>IFERROR(IF(AND(COUNTIF(RegistroPago!$A$1:$A$2000,Consolidado!B469)&gt;0,INDEX(RegistroPago!$E$1:$E$2000,MATCH(Consolidado!B469,RegistroPago!$A$1:$A$2000,0))&lt;&gt;""),"PAGADA",IF(I469&lt;&gt;"","PENDIENTE","SIN EMITIR")),"")</f>
        <v/>
      </c>
      <c r="I469" s="10"/>
      <c r="J469" s="2"/>
      <c r="K469" s="29"/>
      <c r="L469" s="29"/>
    </row>
    <row r="470" spans="1:12" ht="15.75" x14ac:dyDescent="0.25">
      <c r="A470" s="5"/>
      <c r="B470" s="7"/>
      <c r="C470" s="5"/>
      <c r="D470" s="5"/>
      <c r="E470" s="8"/>
      <c r="F470" s="9"/>
      <c r="G470" s="5"/>
      <c r="H470" s="28" t="str">
        <f>IFERROR(IF(AND(COUNTIF(RegistroPago!$A$1:$A$2000,Consolidado!B470)&gt;0,INDEX(RegistroPago!$E$1:$E$2000,MATCH(Consolidado!B470,RegistroPago!$A$1:$A$2000,0))&lt;&gt;""),"PAGADA",IF(I470&lt;&gt;"","PENDIENTE","SIN EMITIR")),"")</f>
        <v/>
      </c>
      <c r="I470" s="10"/>
      <c r="J470" s="2"/>
      <c r="K470" s="29"/>
      <c r="L470" s="29"/>
    </row>
    <row r="471" spans="1:12" ht="15.75" x14ac:dyDescent="0.25">
      <c r="A471" s="5"/>
      <c r="B471" s="7"/>
      <c r="C471" s="5"/>
      <c r="D471" s="5"/>
      <c r="E471" s="8"/>
      <c r="F471" s="9"/>
      <c r="G471" s="5"/>
      <c r="H471" s="28" t="str">
        <f>IFERROR(IF(AND(COUNTIF(RegistroPago!$A$1:$A$2000,Consolidado!B471)&gt;0,INDEX(RegistroPago!$E$1:$E$2000,MATCH(Consolidado!B471,RegistroPago!$A$1:$A$2000,0))&lt;&gt;""),"PAGADA",IF(I471&lt;&gt;"","PENDIENTE","SIN EMITIR")),"")</f>
        <v/>
      </c>
      <c r="I471" s="10"/>
      <c r="J471" s="2"/>
      <c r="K471" s="29"/>
      <c r="L471" s="29"/>
    </row>
    <row r="472" spans="1:12" ht="15.75" x14ac:dyDescent="0.25">
      <c r="A472" s="5"/>
      <c r="B472" s="7"/>
      <c r="C472" s="5"/>
      <c r="D472" s="5"/>
      <c r="E472" s="8"/>
      <c r="F472" s="9"/>
      <c r="G472" s="5"/>
      <c r="H472" s="28" t="str">
        <f>IFERROR(IF(AND(COUNTIF(RegistroPago!$A$1:$A$2000,Consolidado!B472)&gt;0,INDEX(RegistroPago!$E$1:$E$2000,MATCH(Consolidado!B472,RegistroPago!$A$1:$A$2000,0))&lt;&gt;""),"PAGADA",IF(I472&lt;&gt;"","PENDIENTE","SIN EMITIR")),"")</f>
        <v/>
      </c>
      <c r="I472" s="10"/>
      <c r="J472" s="2"/>
      <c r="K472" s="29"/>
      <c r="L472" s="29"/>
    </row>
    <row r="473" spans="1:12" ht="15.75" x14ac:dyDescent="0.25">
      <c r="A473" s="5"/>
      <c r="B473" s="7"/>
      <c r="C473" s="5"/>
      <c r="D473" s="5"/>
      <c r="E473" s="8"/>
      <c r="F473" s="9"/>
      <c r="G473" s="5"/>
      <c r="H473" s="28" t="str">
        <f>IFERROR(IF(AND(COUNTIF(RegistroPago!$A$1:$A$2000,Consolidado!B473)&gt;0,INDEX(RegistroPago!$E$1:$E$2000,MATCH(Consolidado!B473,RegistroPago!$A$1:$A$2000,0))&lt;&gt;""),"PAGADA",IF(I473&lt;&gt;"","PENDIENTE","SIN EMITIR")),"")</f>
        <v/>
      </c>
      <c r="I473" s="10"/>
      <c r="J473" s="2"/>
      <c r="K473" s="29"/>
      <c r="L473" s="29"/>
    </row>
    <row r="474" spans="1:12" ht="15.75" x14ac:dyDescent="0.25">
      <c r="A474" s="5"/>
      <c r="B474" s="7"/>
      <c r="C474" s="5"/>
      <c r="D474" s="5"/>
      <c r="E474" s="8"/>
      <c r="F474" s="9"/>
      <c r="G474" s="5"/>
      <c r="H474" s="28" t="str">
        <f>IFERROR(IF(AND(COUNTIF(RegistroPago!$A$1:$A$2000,Consolidado!B474)&gt;0,INDEX(RegistroPago!$E$1:$E$2000,MATCH(Consolidado!B474,RegistroPago!$A$1:$A$2000,0))&lt;&gt;""),"PAGADA",IF(I474&lt;&gt;"","PENDIENTE","SIN EMITIR")),"")</f>
        <v/>
      </c>
      <c r="I474" s="10"/>
      <c r="J474" s="2"/>
      <c r="K474" s="29"/>
      <c r="L474" s="29"/>
    </row>
    <row r="475" spans="1:12" ht="15.75" x14ac:dyDescent="0.25">
      <c r="A475" s="5"/>
      <c r="B475" s="7"/>
      <c r="C475" s="5"/>
      <c r="D475" s="5"/>
      <c r="E475" s="8"/>
      <c r="F475" s="9"/>
      <c r="G475" s="5"/>
      <c r="H475" s="28" t="str">
        <f>IFERROR(IF(AND(COUNTIF(RegistroPago!$A$1:$A$2000,Consolidado!B475)&gt;0,INDEX(RegistroPago!$E$1:$E$2000,MATCH(Consolidado!B475,RegistroPago!$A$1:$A$2000,0))&lt;&gt;""),"PAGADA",IF(I475&lt;&gt;"","PENDIENTE","SIN EMITIR")),"")</f>
        <v/>
      </c>
      <c r="I475" s="10"/>
      <c r="J475" s="2"/>
      <c r="K475" s="29"/>
      <c r="L475" s="29"/>
    </row>
    <row r="476" spans="1:12" ht="15.75" x14ac:dyDescent="0.25">
      <c r="A476" s="5"/>
      <c r="B476" s="7"/>
      <c r="C476" s="5"/>
      <c r="D476" s="5"/>
      <c r="E476" s="8"/>
      <c r="F476" s="9"/>
      <c r="G476" s="5"/>
      <c r="H476" s="28" t="str">
        <f>IFERROR(IF(AND(COUNTIF(RegistroPago!$A$1:$A$2000,Consolidado!B476)&gt;0,INDEX(RegistroPago!$E$1:$E$2000,MATCH(Consolidado!B476,RegistroPago!$A$1:$A$2000,0))&lt;&gt;""),"PAGADA",IF(I476&lt;&gt;"","PENDIENTE","SIN EMITIR")),"")</f>
        <v/>
      </c>
      <c r="I476" s="10"/>
      <c r="J476" s="2"/>
      <c r="K476" s="29"/>
      <c r="L476" s="29"/>
    </row>
    <row r="477" spans="1:12" ht="15.75" x14ac:dyDescent="0.25">
      <c r="A477" s="5"/>
      <c r="B477" s="7"/>
      <c r="C477" s="5"/>
      <c r="D477" s="5"/>
      <c r="E477" s="8"/>
      <c r="F477" s="9"/>
      <c r="G477" s="5"/>
      <c r="H477" s="28" t="str">
        <f>IFERROR(IF(AND(COUNTIF(RegistroPago!$A$1:$A$2000,Consolidado!B477)&gt;0,INDEX(RegistroPago!$E$1:$E$2000,MATCH(Consolidado!B477,RegistroPago!$A$1:$A$2000,0))&lt;&gt;""),"PAGADA",IF(I477&lt;&gt;"","PENDIENTE","SIN EMITIR")),"")</f>
        <v/>
      </c>
      <c r="I477" s="10"/>
      <c r="J477" s="2"/>
      <c r="K477" s="29"/>
      <c r="L477" s="29"/>
    </row>
    <row r="478" spans="1:12" ht="15.75" x14ac:dyDescent="0.25">
      <c r="A478" s="5"/>
      <c r="B478" s="7"/>
      <c r="C478" s="5"/>
      <c r="D478" s="5"/>
      <c r="E478" s="8"/>
      <c r="F478" s="9"/>
      <c r="G478" s="5"/>
      <c r="H478" s="28" t="str">
        <f>IFERROR(IF(AND(COUNTIF(RegistroPago!$A$1:$A$2000,Consolidado!B478)&gt;0,INDEX(RegistroPago!$E$1:$E$2000,MATCH(Consolidado!B478,RegistroPago!$A$1:$A$2000,0))&lt;&gt;""),"PAGADA",IF(I478&lt;&gt;"","PENDIENTE","SIN EMITIR")),"")</f>
        <v/>
      </c>
      <c r="I478" s="10"/>
      <c r="J478" s="2"/>
      <c r="K478" s="29"/>
      <c r="L478" s="29"/>
    </row>
    <row r="479" spans="1:12" ht="15.75" x14ac:dyDescent="0.25">
      <c r="A479" s="5"/>
      <c r="B479" s="7"/>
      <c r="C479" s="5"/>
      <c r="D479" s="5"/>
      <c r="E479" s="8"/>
      <c r="F479" s="9"/>
      <c r="G479" s="5"/>
      <c r="H479" s="28" t="str">
        <f>IFERROR(IF(AND(COUNTIF(RegistroPago!$A$1:$A$2000,Consolidado!B479)&gt;0,INDEX(RegistroPago!$E$1:$E$2000,MATCH(Consolidado!B479,RegistroPago!$A$1:$A$2000,0))&lt;&gt;""),"PAGADA",IF(I479&lt;&gt;"","PENDIENTE","SIN EMITIR")),"")</f>
        <v/>
      </c>
      <c r="I479" s="10"/>
      <c r="J479" s="2"/>
      <c r="K479" s="29"/>
      <c r="L479" s="29"/>
    </row>
    <row r="480" spans="1:12" ht="15.75" x14ac:dyDescent="0.25">
      <c r="A480" s="5"/>
      <c r="B480" s="7"/>
      <c r="C480" s="5"/>
      <c r="D480" s="5"/>
      <c r="E480" s="8"/>
      <c r="F480" s="9"/>
      <c r="G480" s="5"/>
      <c r="H480" s="28" t="str">
        <f>IFERROR(IF(AND(COUNTIF(RegistroPago!$A$1:$A$2000,Consolidado!B480)&gt;0,INDEX(RegistroPago!$E$1:$E$2000,MATCH(Consolidado!B480,RegistroPago!$A$1:$A$2000,0))&lt;&gt;""),"PAGADA",IF(I480&lt;&gt;"","PENDIENTE","SIN EMITIR")),"")</f>
        <v/>
      </c>
      <c r="I480" s="10"/>
      <c r="J480" s="2"/>
      <c r="K480" s="29"/>
      <c r="L480" s="29"/>
    </row>
    <row r="481" spans="1:12" ht="15.75" x14ac:dyDescent="0.25">
      <c r="A481" s="5"/>
      <c r="B481" s="7"/>
      <c r="C481" s="5"/>
      <c r="D481" s="5"/>
      <c r="E481" s="8"/>
      <c r="F481" s="9"/>
      <c r="G481" s="5"/>
      <c r="H481" s="28" t="str">
        <f>IFERROR(IF(AND(COUNTIF(RegistroPago!$A$1:$A$2000,Consolidado!B481)&gt;0,INDEX(RegistroPago!$E$1:$E$2000,MATCH(Consolidado!B481,RegistroPago!$A$1:$A$2000,0))&lt;&gt;""),"PAGADA",IF(I481&lt;&gt;"","PENDIENTE","SIN EMITIR")),"")</f>
        <v/>
      </c>
      <c r="I481" s="10"/>
      <c r="J481" s="2"/>
      <c r="K481" s="29"/>
      <c r="L481" s="29"/>
    </row>
    <row r="482" spans="1:12" ht="15.75" x14ac:dyDescent="0.25">
      <c r="A482" s="5"/>
      <c r="B482" s="7"/>
      <c r="C482" s="5"/>
      <c r="D482" s="5"/>
      <c r="E482" s="8"/>
      <c r="F482" s="9"/>
      <c r="G482" s="5"/>
      <c r="H482" s="28" t="str">
        <f>IFERROR(IF(AND(COUNTIF(RegistroPago!$A$1:$A$2000,Consolidado!B482)&gt;0,INDEX(RegistroPago!$E$1:$E$2000,MATCH(Consolidado!B482,RegistroPago!$A$1:$A$2000,0))&lt;&gt;""),"PAGADA",IF(I482&lt;&gt;"","PENDIENTE","SIN EMITIR")),"")</f>
        <v/>
      </c>
      <c r="I482" s="10"/>
      <c r="J482" s="2"/>
      <c r="K482" s="29"/>
      <c r="L482" s="29"/>
    </row>
    <row r="483" spans="1:12" ht="15.75" x14ac:dyDescent="0.25">
      <c r="A483" s="5"/>
      <c r="B483" s="7"/>
      <c r="C483" s="5"/>
      <c r="D483" s="5"/>
      <c r="E483" s="8"/>
      <c r="F483" s="9"/>
      <c r="G483" s="5"/>
      <c r="H483" s="28" t="str">
        <f>IFERROR(IF(AND(COUNTIF(RegistroPago!$A$1:$A$2000,Consolidado!B483)&gt;0,INDEX(RegistroPago!$E$1:$E$2000,MATCH(Consolidado!B483,RegistroPago!$A$1:$A$2000,0))&lt;&gt;""),"PAGADA",IF(I483&lt;&gt;"","PENDIENTE","SIN EMITIR")),"")</f>
        <v/>
      </c>
      <c r="I483" s="10"/>
      <c r="J483" s="2"/>
      <c r="K483" s="29"/>
      <c r="L483" s="29"/>
    </row>
    <row r="484" spans="1:12" ht="15.75" x14ac:dyDescent="0.25">
      <c r="A484" s="5"/>
      <c r="B484" s="7"/>
      <c r="C484" s="5"/>
      <c r="D484" s="5"/>
      <c r="E484" s="8"/>
      <c r="F484" s="9"/>
      <c r="G484" s="5"/>
      <c r="H484" s="28" t="str">
        <f>IFERROR(IF(AND(COUNTIF(RegistroPago!$A$1:$A$2000,Consolidado!B484)&gt;0,INDEX(RegistroPago!$E$1:$E$2000,MATCH(Consolidado!B484,RegistroPago!$A$1:$A$2000,0))&lt;&gt;""),"PAGADA",IF(I484&lt;&gt;"","PENDIENTE","SIN EMITIR")),"")</f>
        <v/>
      </c>
      <c r="I484" s="10"/>
      <c r="J484" s="2"/>
      <c r="K484" s="29"/>
      <c r="L484" s="29"/>
    </row>
    <row r="485" spans="1:12" ht="15.75" x14ac:dyDescent="0.25">
      <c r="A485" s="5"/>
      <c r="B485" s="7"/>
      <c r="C485" s="5"/>
      <c r="D485" s="5"/>
      <c r="E485" s="8"/>
      <c r="F485" s="9"/>
      <c r="G485" s="5"/>
      <c r="H485" s="28" t="str">
        <f>IFERROR(IF(AND(COUNTIF(RegistroPago!$A$1:$A$2000,Consolidado!B485)&gt;0,INDEX(RegistroPago!$E$1:$E$2000,MATCH(Consolidado!B485,RegistroPago!$A$1:$A$2000,0))&lt;&gt;""),"PAGADA",IF(I485&lt;&gt;"","PENDIENTE","SIN EMITIR")),"")</f>
        <v/>
      </c>
      <c r="I485" s="10"/>
      <c r="J485" s="2"/>
      <c r="K485" s="29"/>
      <c r="L485" s="29"/>
    </row>
    <row r="486" spans="1:12" ht="15.75" x14ac:dyDescent="0.25">
      <c r="A486" s="5"/>
      <c r="B486" s="7"/>
      <c r="C486" s="5"/>
      <c r="D486" s="5"/>
      <c r="E486" s="8"/>
      <c r="F486" s="9"/>
      <c r="G486" s="5"/>
      <c r="H486" s="28" t="str">
        <f>IFERROR(IF(AND(COUNTIF(RegistroPago!$A$1:$A$2000,Consolidado!B486)&gt;0,INDEX(RegistroPago!$E$1:$E$2000,MATCH(Consolidado!B486,RegistroPago!$A$1:$A$2000,0))&lt;&gt;""),"PAGADA",IF(I486&lt;&gt;"","PENDIENTE","SIN EMITIR")),"")</f>
        <v/>
      </c>
      <c r="I486" s="10"/>
      <c r="J486" s="2"/>
      <c r="K486" s="29"/>
      <c r="L486" s="29"/>
    </row>
    <row r="487" spans="1:12" ht="15.75" x14ac:dyDescent="0.25">
      <c r="A487" s="5"/>
      <c r="B487" s="7"/>
      <c r="C487" s="5"/>
      <c r="D487" s="5"/>
      <c r="E487" s="8"/>
      <c r="F487" s="9"/>
      <c r="G487" s="5"/>
      <c r="H487" s="28" t="str">
        <f>IFERROR(IF(AND(COUNTIF(RegistroPago!$A$1:$A$2000,Consolidado!B487)&gt;0,INDEX(RegistroPago!$E$1:$E$2000,MATCH(Consolidado!B487,RegistroPago!$A$1:$A$2000,0))&lt;&gt;""),"PAGADA",IF(I487&lt;&gt;"","PENDIENTE","SIN EMITIR")),"")</f>
        <v/>
      </c>
      <c r="I487" s="10"/>
      <c r="J487" s="2"/>
      <c r="K487" s="29"/>
      <c r="L487" s="29"/>
    </row>
    <row r="488" spans="1:12" ht="15.75" x14ac:dyDescent="0.25">
      <c r="A488" s="5"/>
      <c r="B488" s="7"/>
      <c r="C488" s="5"/>
      <c r="D488" s="5"/>
      <c r="E488" s="8"/>
      <c r="F488" s="9"/>
      <c r="G488" s="5"/>
      <c r="H488" s="28" t="str">
        <f>IFERROR(IF(AND(COUNTIF(RegistroPago!$A$1:$A$2000,Consolidado!B488)&gt;0,INDEX(RegistroPago!$E$1:$E$2000,MATCH(Consolidado!B488,RegistroPago!$A$1:$A$2000,0))&lt;&gt;""),"PAGADA",IF(I488&lt;&gt;"","PENDIENTE","SIN EMITIR")),"")</f>
        <v/>
      </c>
      <c r="I488" s="10"/>
      <c r="J488" s="2"/>
      <c r="K488" s="29"/>
      <c r="L488" s="29"/>
    </row>
    <row r="489" spans="1:12" ht="15.75" x14ac:dyDescent="0.25">
      <c r="A489" s="5"/>
      <c r="B489" s="7"/>
      <c r="C489" s="5"/>
      <c r="D489" s="5"/>
      <c r="E489" s="8"/>
      <c r="F489" s="9"/>
      <c r="G489" s="5"/>
      <c r="H489" s="28" t="str">
        <f>IFERROR(IF(AND(COUNTIF(RegistroPago!$A$1:$A$2000,Consolidado!B489)&gt;0,INDEX(RegistroPago!$E$1:$E$2000,MATCH(Consolidado!B489,RegistroPago!$A$1:$A$2000,0))&lt;&gt;""),"PAGADA",IF(I489&lt;&gt;"","PENDIENTE","SIN EMITIR")),"")</f>
        <v/>
      </c>
      <c r="I489" s="10"/>
      <c r="J489" s="2"/>
      <c r="K489" s="29"/>
      <c r="L489" s="29"/>
    </row>
    <row r="490" spans="1:12" ht="15.75" x14ac:dyDescent="0.25">
      <c r="A490" s="5"/>
      <c r="B490" s="7"/>
      <c r="C490" s="5"/>
      <c r="D490" s="5"/>
      <c r="E490" s="8"/>
      <c r="F490" s="9"/>
      <c r="G490" s="5"/>
      <c r="H490" s="28" t="str">
        <f>IFERROR(IF(AND(COUNTIF(RegistroPago!$A$1:$A$2000,Consolidado!B490)&gt;0,INDEX(RegistroPago!$E$1:$E$2000,MATCH(Consolidado!B490,RegistroPago!$A$1:$A$2000,0))&lt;&gt;""),"PAGADA",IF(I490&lt;&gt;"","PENDIENTE","SIN EMITIR")),"")</f>
        <v/>
      </c>
      <c r="I490" s="10"/>
      <c r="J490" s="2"/>
      <c r="K490" s="29"/>
      <c r="L490" s="29"/>
    </row>
    <row r="491" spans="1:12" ht="15.75" x14ac:dyDescent="0.25">
      <c r="A491" s="5"/>
      <c r="B491" s="7"/>
      <c r="C491" s="5"/>
      <c r="D491" s="5"/>
      <c r="E491" s="8"/>
      <c r="F491" s="9"/>
      <c r="G491" s="5"/>
      <c r="H491" s="28" t="str">
        <f>IFERROR(IF(AND(COUNTIF(RegistroPago!$A$1:$A$2000,Consolidado!B491)&gt;0,INDEX(RegistroPago!$E$1:$E$2000,MATCH(Consolidado!B491,RegistroPago!$A$1:$A$2000,0))&lt;&gt;""),"PAGADA",IF(I491&lt;&gt;"","PENDIENTE","SIN EMITIR")),"")</f>
        <v/>
      </c>
      <c r="I491" s="10"/>
      <c r="J491" s="2"/>
      <c r="K491" s="29"/>
      <c r="L491" s="29"/>
    </row>
    <row r="492" spans="1:12" ht="15.75" x14ac:dyDescent="0.25">
      <c r="A492" s="5"/>
      <c r="B492" s="7"/>
      <c r="C492" s="5"/>
      <c r="D492" s="5"/>
      <c r="E492" s="8"/>
      <c r="F492" s="9"/>
      <c r="G492" s="5"/>
      <c r="H492" s="28" t="str">
        <f>IFERROR(IF(AND(COUNTIF(RegistroPago!$A$1:$A$2000,Consolidado!B492)&gt;0,INDEX(RegistroPago!$E$1:$E$2000,MATCH(Consolidado!B492,RegistroPago!$A$1:$A$2000,0))&lt;&gt;""),"PAGADA",IF(I492&lt;&gt;"","PENDIENTE","SIN EMITIR")),"")</f>
        <v/>
      </c>
      <c r="I492" s="10"/>
      <c r="J492" s="2"/>
      <c r="K492" s="29"/>
      <c r="L492" s="29"/>
    </row>
    <row r="493" spans="1:12" ht="15.75" x14ac:dyDescent="0.25">
      <c r="A493" s="5"/>
      <c r="B493" s="7"/>
      <c r="C493" s="5"/>
      <c r="D493" s="5"/>
      <c r="E493" s="8"/>
      <c r="F493" s="9"/>
      <c r="G493" s="5"/>
      <c r="H493" s="28" t="str">
        <f>IFERROR(IF(AND(COUNTIF(RegistroPago!$A$1:$A$2000,Consolidado!B493)&gt;0,INDEX(RegistroPago!$E$1:$E$2000,MATCH(Consolidado!B493,RegistroPago!$A$1:$A$2000,0))&lt;&gt;""),"PAGADA",IF(I493&lt;&gt;"","PENDIENTE","SIN EMITIR")),"")</f>
        <v/>
      </c>
      <c r="I493" s="10"/>
      <c r="J493" s="2"/>
      <c r="K493" s="29"/>
      <c r="L493" s="29"/>
    </row>
    <row r="494" spans="1:12" ht="15.75" x14ac:dyDescent="0.25">
      <c r="A494" s="5"/>
      <c r="B494" s="7"/>
      <c r="C494" s="5"/>
      <c r="D494" s="5"/>
      <c r="E494" s="8"/>
      <c r="F494" s="9"/>
      <c r="G494" s="5"/>
      <c r="H494" s="28" t="str">
        <f>IFERROR(IF(AND(COUNTIF(RegistroPago!$A$1:$A$2000,Consolidado!B494)&gt;0,INDEX(RegistroPago!$E$1:$E$2000,MATCH(Consolidado!B494,RegistroPago!$A$1:$A$2000,0))&lt;&gt;""),"PAGADA",IF(I494&lt;&gt;"","PENDIENTE","SIN EMITIR")),"")</f>
        <v/>
      </c>
      <c r="I494" s="10"/>
      <c r="J494" s="2"/>
      <c r="K494" s="29"/>
      <c r="L494" s="29"/>
    </row>
    <row r="495" spans="1:12" ht="15.75" x14ac:dyDescent="0.25">
      <c r="A495" s="5"/>
      <c r="B495" s="7"/>
      <c r="C495" s="5"/>
      <c r="D495" s="5"/>
      <c r="E495" s="8"/>
      <c r="F495" s="9"/>
      <c r="G495" s="5"/>
      <c r="H495" s="28" t="str">
        <f>IFERROR(IF(AND(COUNTIF(RegistroPago!$A$1:$A$2000,Consolidado!B495)&gt;0,INDEX(RegistroPago!$E$1:$E$2000,MATCH(Consolidado!B495,RegistroPago!$A$1:$A$2000,0))&lt;&gt;""),"PAGADA",IF(I495&lt;&gt;"","PENDIENTE","SIN EMITIR")),"")</f>
        <v/>
      </c>
      <c r="I495" s="10"/>
      <c r="J495" s="2"/>
      <c r="K495" s="29"/>
      <c r="L495" s="29"/>
    </row>
    <row r="496" spans="1:12" ht="15.75" x14ac:dyDescent="0.25">
      <c r="A496" s="5"/>
      <c r="B496" s="7"/>
      <c r="C496" s="5"/>
      <c r="D496" s="5"/>
      <c r="E496" s="8"/>
      <c r="F496" s="9"/>
      <c r="G496" s="5"/>
      <c r="H496" s="28" t="str">
        <f>IFERROR(IF(AND(COUNTIF(RegistroPago!$A$1:$A$2000,Consolidado!B496)&gt;0,INDEX(RegistroPago!$E$1:$E$2000,MATCH(Consolidado!B496,RegistroPago!$A$1:$A$2000,0))&lt;&gt;""),"PAGADA",IF(I496&lt;&gt;"","PENDIENTE","SIN EMITIR")),"")</f>
        <v/>
      </c>
      <c r="I496" s="10"/>
      <c r="J496" s="2"/>
      <c r="K496" s="29"/>
      <c r="L496" s="29"/>
    </row>
    <row r="497" spans="1:12" ht="15.75" x14ac:dyDescent="0.25">
      <c r="A497" s="5"/>
      <c r="B497" s="7"/>
      <c r="C497" s="5"/>
      <c r="D497" s="5"/>
      <c r="E497" s="8"/>
      <c r="F497" s="9"/>
      <c r="G497" s="5"/>
      <c r="H497" s="28" t="str">
        <f>IFERROR(IF(AND(COUNTIF(RegistroPago!$A$1:$A$2000,Consolidado!B497)&gt;0,INDEX(RegistroPago!$E$1:$E$2000,MATCH(Consolidado!B497,RegistroPago!$A$1:$A$2000,0))&lt;&gt;""),"PAGADA",IF(I497&lt;&gt;"","PENDIENTE","SIN EMITIR")),"")</f>
        <v/>
      </c>
      <c r="I497" s="10"/>
      <c r="J497" s="2"/>
      <c r="K497" s="29"/>
      <c r="L497" s="29"/>
    </row>
    <row r="498" spans="1:12" ht="15.75" x14ac:dyDescent="0.25">
      <c r="A498" s="5"/>
      <c r="B498" s="7"/>
      <c r="C498" s="5"/>
      <c r="D498" s="5"/>
      <c r="E498" s="8"/>
      <c r="F498" s="9"/>
      <c r="G498" s="5"/>
      <c r="H498" s="28" t="str">
        <f>IFERROR(IF(AND(COUNTIF(RegistroPago!$A$1:$A$2000,Consolidado!B498)&gt;0,INDEX(RegistroPago!$E$1:$E$2000,MATCH(Consolidado!B498,RegistroPago!$A$1:$A$2000,0))&lt;&gt;""),"PAGADA",IF(I498&lt;&gt;"","PENDIENTE","SIN EMITIR")),"")</f>
        <v/>
      </c>
      <c r="I498" s="10"/>
      <c r="J498" s="2"/>
      <c r="K498" s="29"/>
      <c r="L498" s="29"/>
    </row>
    <row r="499" spans="1:12" ht="15.75" x14ac:dyDescent="0.25">
      <c r="A499" s="5"/>
      <c r="B499" s="7"/>
      <c r="C499" s="5"/>
      <c r="D499" s="5"/>
      <c r="E499" s="8"/>
      <c r="F499" s="9"/>
      <c r="G499" s="5"/>
      <c r="H499" s="28" t="str">
        <f>IFERROR(IF(AND(COUNTIF(RegistroPago!$A$1:$A$2000,Consolidado!B499)&gt;0,INDEX(RegistroPago!$E$1:$E$2000,MATCH(Consolidado!B499,RegistroPago!$A$1:$A$2000,0))&lt;&gt;""),"PAGADA",IF(I499&lt;&gt;"","PENDIENTE","SIN EMITIR")),"")</f>
        <v/>
      </c>
      <c r="I499" s="10"/>
      <c r="J499" s="2"/>
      <c r="K499" s="29"/>
      <c r="L499" s="29"/>
    </row>
    <row r="500" spans="1:12" ht="15.75" x14ac:dyDescent="0.25">
      <c r="A500" s="5"/>
      <c r="B500" s="7"/>
      <c r="C500" s="5"/>
      <c r="D500" s="5"/>
      <c r="E500" s="8"/>
      <c r="F500" s="9"/>
      <c r="G500" s="5"/>
      <c r="H500" s="28" t="str">
        <f>IFERROR(IF(AND(COUNTIF(RegistroPago!$A$1:$A$2000,Consolidado!B500)&gt;0,INDEX(RegistroPago!$E$1:$E$2000,MATCH(Consolidado!B500,RegistroPago!$A$1:$A$2000,0))&lt;&gt;""),"PAGADA",IF(I500&lt;&gt;"","PENDIENTE","SIN EMITIR")),"")</f>
        <v/>
      </c>
      <c r="I500" s="10"/>
      <c r="J500" s="2"/>
      <c r="K500" s="29"/>
      <c r="L500" s="29"/>
    </row>
    <row r="501" spans="1:12" ht="15.75" x14ac:dyDescent="0.25">
      <c r="A501" s="5"/>
      <c r="B501" s="7"/>
      <c r="C501" s="5"/>
      <c r="D501" s="5"/>
      <c r="E501" s="8"/>
      <c r="F501" s="9"/>
      <c r="G501" s="5"/>
      <c r="H501" s="28" t="str">
        <f>IFERROR(IF(AND(COUNTIF(RegistroPago!$A$1:$A$2000,Consolidado!B501)&gt;0,INDEX(RegistroPago!$E$1:$E$2000,MATCH(Consolidado!B501,RegistroPago!$A$1:$A$2000,0))&lt;&gt;""),"PAGADA",IF(I501&lt;&gt;"","PENDIENTE","SIN EMITIR")),"")</f>
        <v/>
      </c>
      <c r="I501" s="10"/>
      <c r="J501" s="2"/>
      <c r="K501" s="29"/>
      <c r="L501" s="29"/>
    </row>
    <row r="502" spans="1:12" ht="15.75" x14ac:dyDescent="0.25">
      <c r="A502" s="5"/>
      <c r="B502" s="7"/>
      <c r="C502" s="5"/>
      <c r="D502" s="5"/>
      <c r="E502" s="8"/>
      <c r="F502" s="9"/>
      <c r="G502" s="5"/>
      <c r="H502" s="28" t="str">
        <f>IFERROR(IF(AND(COUNTIF(RegistroPago!$A$1:$A$2000,Consolidado!B502)&gt;0,INDEX(RegistroPago!$E$1:$E$2000,MATCH(Consolidado!B502,RegistroPago!$A$1:$A$2000,0))&lt;&gt;""),"PAGADA",IF(I502&lt;&gt;"","PENDIENTE","SIN EMITIR")),"")</f>
        <v/>
      </c>
      <c r="I502" s="10"/>
      <c r="J502" s="2"/>
      <c r="K502" s="29"/>
      <c r="L502" s="29"/>
    </row>
    <row r="503" spans="1:12" ht="15.75" x14ac:dyDescent="0.25">
      <c r="A503" s="5"/>
      <c r="B503" s="7"/>
      <c r="C503" s="5"/>
      <c r="D503" s="5"/>
      <c r="E503" s="8"/>
      <c r="F503" s="9"/>
      <c r="G503" s="5"/>
      <c r="H503" s="28" t="str">
        <f>IFERROR(IF(AND(COUNTIF(RegistroPago!$A$1:$A$2000,Consolidado!B503)&gt;0,INDEX(RegistroPago!$E$1:$E$2000,MATCH(Consolidado!B503,RegistroPago!$A$1:$A$2000,0))&lt;&gt;""),"PAGADA",IF(I503&lt;&gt;"","PENDIENTE","SIN EMITIR")),"")</f>
        <v/>
      </c>
      <c r="I503" s="10"/>
      <c r="J503" s="2"/>
      <c r="K503" s="29"/>
      <c r="L503" s="29"/>
    </row>
    <row r="504" spans="1:12" ht="15.75" x14ac:dyDescent="0.25">
      <c r="A504" s="5"/>
      <c r="B504" s="7"/>
      <c r="C504" s="5"/>
      <c r="D504" s="5"/>
      <c r="E504" s="8"/>
      <c r="F504" s="9"/>
      <c r="G504" s="5"/>
      <c r="H504" s="28" t="str">
        <f>IFERROR(IF(AND(COUNTIF(RegistroPago!$A$1:$A$2000,Consolidado!B504)&gt;0,INDEX(RegistroPago!$E$1:$E$2000,MATCH(Consolidado!B504,RegistroPago!$A$1:$A$2000,0))&lt;&gt;""),"PAGADA",IF(I504&lt;&gt;"","PENDIENTE","SIN EMITIR")),"")</f>
        <v/>
      </c>
      <c r="I504" s="10"/>
      <c r="J504" s="2"/>
      <c r="K504" s="29"/>
      <c r="L504" s="29"/>
    </row>
    <row r="505" spans="1:12" ht="15.75" x14ac:dyDescent="0.25">
      <c r="A505" s="5"/>
      <c r="B505" s="7"/>
      <c r="C505" s="5"/>
      <c r="D505" s="5"/>
      <c r="E505" s="8"/>
      <c r="F505" s="9"/>
      <c r="G505" s="5"/>
      <c r="H505" s="28" t="str">
        <f>IFERROR(IF(AND(COUNTIF(RegistroPago!$A$1:$A$2000,Consolidado!B505)&gt;0,INDEX(RegistroPago!$E$1:$E$2000,MATCH(Consolidado!B505,RegistroPago!$A$1:$A$2000,0))&lt;&gt;""),"PAGADA",IF(I505&lt;&gt;"","PENDIENTE","SIN EMITIR")),"")</f>
        <v/>
      </c>
      <c r="I505" s="10"/>
      <c r="J505" s="2"/>
      <c r="K505" s="29"/>
      <c r="L505" s="29"/>
    </row>
    <row r="506" spans="1:12" ht="15.75" x14ac:dyDescent="0.25">
      <c r="A506" s="5"/>
      <c r="B506" s="7"/>
      <c r="C506" s="5"/>
      <c r="D506" s="5"/>
      <c r="E506" s="8"/>
      <c r="F506" s="9"/>
      <c r="G506" s="5"/>
      <c r="H506" s="28" t="str">
        <f>IFERROR(IF(AND(COUNTIF(RegistroPago!$A$1:$A$2000,Consolidado!B506)&gt;0,INDEX(RegistroPago!$E$1:$E$2000,MATCH(Consolidado!B506,RegistroPago!$A$1:$A$2000,0))&lt;&gt;""),"PAGADA",IF(I506&lt;&gt;"","PENDIENTE","SIN EMITIR")),"")</f>
        <v/>
      </c>
      <c r="I506" s="10"/>
      <c r="J506" s="2"/>
      <c r="K506" s="29"/>
      <c r="L506" s="29"/>
    </row>
    <row r="507" spans="1:12" ht="15.75" x14ac:dyDescent="0.25">
      <c r="A507" s="5"/>
      <c r="B507" s="7"/>
      <c r="C507" s="5"/>
      <c r="D507" s="5"/>
      <c r="E507" s="8"/>
      <c r="F507" s="9"/>
      <c r="G507" s="5"/>
      <c r="H507" s="28" t="str">
        <f>IFERROR(IF(AND(COUNTIF(RegistroPago!$A$1:$A$2000,Consolidado!B507)&gt;0,INDEX(RegistroPago!$E$1:$E$2000,MATCH(Consolidado!B507,RegistroPago!$A$1:$A$2000,0))&lt;&gt;""),"PAGADA",IF(I507&lt;&gt;"","PENDIENTE","SIN EMITIR")),"")</f>
        <v/>
      </c>
      <c r="I507" s="10"/>
      <c r="J507" s="2"/>
      <c r="K507" s="29"/>
      <c r="L507" s="29"/>
    </row>
    <row r="508" spans="1:12" ht="15.75" x14ac:dyDescent="0.25">
      <c r="A508" s="5"/>
      <c r="B508" s="7"/>
      <c r="C508" s="5"/>
      <c r="D508" s="5"/>
      <c r="E508" s="8"/>
      <c r="F508" s="9"/>
      <c r="G508" s="5"/>
      <c r="H508" s="28" t="str">
        <f>IFERROR(IF(AND(COUNTIF(RegistroPago!$A$1:$A$2000,Consolidado!B508)&gt;0,INDEX(RegistroPago!$E$1:$E$2000,MATCH(Consolidado!B508,RegistroPago!$A$1:$A$2000,0))&lt;&gt;""),"PAGADA",IF(I508&lt;&gt;"","PENDIENTE","SIN EMITIR")),"")</f>
        <v/>
      </c>
      <c r="I508" s="10"/>
      <c r="J508" s="2"/>
      <c r="K508" s="29"/>
      <c r="L508" s="29"/>
    </row>
    <row r="509" spans="1:12" ht="15.75" x14ac:dyDescent="0.25">
      <c r="A509" s="5"/>
      <c r="B509" s="7"/>
      <c r="C509" s="5"/>
      <c r="D509" s="5"/>
      <c r="E509" s="8"/>
      <c r="F509" s="9"/>
      <c r="G509" s="5"/>
      <c r="H509" s="28" t="str">
        <f>IFERROR(IF(AND(COUNTIF(RegistroPago!$A$1:$A$2000,Consolidado!B509)&gt;0,INDEX(RegistroPago!$E$1:$E$2000,MATCH(Consolidado!B509,RegistroPago!$A$1:$A$2000,0))&lt;&gt;""),"PAGADA",IF(I509&lt;&gt;"","PENDIENTE","SIN EMITIR")),"")</f>
        <v/>
      </c>
      <c r="I509" s="10"/>
      <c r="J509" s="2"/>
      <c r="K509" s="29"/>
      <c r="L509" s="29"/>
    </row>
    <row r="510" spans="1:12" ht="15.75" x14ac:dyDescent="0.25">
      <c r="A510" s="5"/>
      <c r="B510" s="7"/>
      <c r="C510" s="5"/>
      <c r="D510" s="5"/>
      <c r="E510" s="8"/>
      <c r="F510" s="9"/>
      <c r="G510" s="5"/>
      <c r="H510" s="28" t="str">
        <f>IFERROR(IF(AND(COUNTIF(RegistroPago!$A$1:$A$2000,Consolidado!B510)&gt;0,INDEX(RegistroPago!$E$1:$E$2000,MATCH(Consolidado!B510,RegistroPago!$A$1:$A$2000,0))&lt;&gt;""),"PAGADA",IF(I510&lt;&gt;"","PENDIENTE","SIN EMITIR")),"")</f>
        <v/>
      </c>
      <c r="I510" s="10"/>
      <c r="J510" s="2"/>
      <c r="K510" s="29"/>
      <c r="L510" s="29"/>
    </row>
    <row r="511" spans="1:12" ht="15.75" x14ac:dyDescent="0.25">
      <c r="A511" s="5"/>
      <c r="B511" s="7"/>
      <c r="C511" s="5"/>
      <c r="D511" s="5"/>
      <c r="E511" s="8"/>
      <c r="F511" s="9"/>
      <c r="G511" s="5"/>
      <c r="H511" s="28" t="str">
        <f>IFERROR(IF(AND(COUNTIF(RegistroPago!$A$1:$A$2000,Consolidado!B511)&gt;0,INDEX(RegistroPago!$E$1:$E$2000,MATCH(Consolidado!B511,RegistroPago!$A$1:$A$2000,0))&lt;&gt;""),"PAGADA",IF(I511&lt;&gt;"","PENDIENTE","SIN EMITIR")),"")</f>
        <v/>
      </c>
      <c r="I511" s="10"/>
      <c r="J511" s="2"/>
      <c r="K511" s="29"/>
      <c r="L511" s="29"/>
    </row>
    <row r="512" spans="1:12" ht="15.75" x14ac:dyDescent="0.25">
      <c r="A512" s="5"/>
      <c r="B512" s="7"/>
      <c r="C512" s="5"/>
      <c r="D512" s="5"/>
      <c r="E512" s="8"/>
      <c r="F512" s="9"/>
      <c r="G512" s="5"/>
      <c r="H512" s="28" t="str">
        <f>IFERROR(IF(AND(COUNTIF(RegistroPago!$A$1:$A$2000,Consolidado!B512)&gt;0,INDEX(RegistroPago!$E$1:$E$2000,MATCH(Consolidado!B512,RegistroPago!$A$1:$A$2000,0))&lt;&gt;""),"PAGADA",IF(I512&lt;&gt;"","PENDIENTE","SIN EMITIR")),"")</f>
        <v/>
      </c>
      <c r="I512" s="10"/>
      <c r="J512" s="2"/>
      <c r="K512" s="29"/>
      <c r="L512" s="29"/>
    </row>
    <row r="513" spans="1:12" ht="15.75" x14ac:dyDescent="0.25">
      <c r="A513" s="5"/>
      <c r="B513" s="7"/>
      <c r="C513" s="5"/>
      <c r="D513" s="5"/>
      <c r="E513" s="8"/>
      <c r="F513" s="9"/>
      <c r="G513" s="5"/>
      <c r="H513" s="28" t="str">
        <f>IFERROR(IF(AND(COUNTIF(RegistroPago!$A$1:$A$2000,Consolidado!B513)&gt;0,INDEX(RegistroPago!$E$1:$E$2000,MATCH(Consolidado!B513,RegistroPago!$A$1:$A$2000,0))&lt;&gt;""),"PAGADA",IF(I513&lt;&gt;"","PENDIENTE","SIN EMITIR")),"")</f>
        <v/>
      </c>
      <c r="I513" s="10"/>
      <c r="J513" s="2"/>
      <c r="K513" s="29"/>
      <c r="L513" s="29"/>
    </row>
    <row r="514" spans="1:12" ht="15.75" x14ac:dyDescent="0.25">
      <c r="A514" s="5"/>
      <c r="B514" s="7"/>
      <c r="C514" s="5"/>
      <c r="D514" s="5"/>
      <c r="E514" s="8"/>
      <c r="F514" s="9"/>
      <c r="G514" s="5"/>
      <c r="H514" s="28" t="str">
        <f>IFERROR(IF(AND(COUNTIF(RegistroPago!$A$1:$A$2000,Consolidado!B514)&gt;0,INDEX(RegistroPago!$E$1:$E$2000,MATCH(Consolidado!B514,RegistroPago!$A$1:$A$2000,0))&lt;&gt;""),"PAGADA",IF(I514&lt;&gt;"","PENDIENTE","SIN EMITIR")),"")</f>
        <v/>
      </c>
      <c r="I514" s="10"/>
      <c r="J514" s="2"/>
      <c r="K514" s="29"/>
      <c r="L514" s="29"/>
    </row>
    <row r="515" spans="1:12" ht="15.75" x14ac:dyDescent="0.25">
      <c r="A515" s="5"/>
      <c r="B515" s="7"/>
      <c r="C515" s="5"/>
      <c r="D515" s="5"/>
      <c r="E515" s="8"/>
      <c r="F515" s="9"/>
      <c r="G515" s="5"/>
      <c r="H515" s="28" t="str">
        <f>IFERROR(IF(AND(COUNTIF(RegistroPago!$A$1:$A$2000,Consolidado!B515)&gt;0,INDEX(RegistroPago!$E$1:$E$2000,MATCH(Consolidado!B515,RegistroPago!$A$1:$A$2000,0))&lt;&gt;""),"PAGADA",IF(I515&lt;&gt;"","PENDIENTE","SIN EMITIR")),"")</f>
        <v/>
      </c>
      <c r="I515" s="10"/>
      <c r="J515" s="2"/>
      <c r="K515" s="29"/>
      <c r="L515" s="29"/>
    </row>
    <row r="516" spans="1:12" ht="15.75" x14ac:dyDescent="0.25">
      <c r="A516" s="5"/>
      <c r="B516" s="7"/>
      <c r="C516" s="5"/>
      <c r="D516" s="5"/>
      <c r="E516" s="8"/>
      <c r="F516" s="9"/>
      <c r="G516" s="5"/>
      <c r="H516" s="28" t="str">
        <f>IFERROR(IF(AND(COUNTIF(RegistroPago!$A$1:$A$2000,Consolidado!B516)&gt;0,INDEX(RegistroPago!$E$1:$E$2000,MATCH(Consolidado!B516,RegistroPago!$A$1:$A$2000,0))&lt;&gt;""),"PAGADA",IF(I516&lt;&gt;"","PENDIENTE","SIN EMITIR")),"")</f>
        <v/>
      </c>
      <c r="I516" s="10"/>
      <c r="J516" s="2"/>
      <c r="K516" s="29"/>
      <c r="L516" s="29"/>
    </row>
    <row r="517" spans="1:12" ht="15.75" x14ac:dyDescent="0.25">
      <c r="A517" s="5"/>
      <c r="B517" s="7"/>
      <c r="C517" s="5"/>
      <c r="D517" s="5"/>
      <c r="E517" s="8"/>
      <c r="F517" s="9"/>
      <c r="G517" s="5"/>
      <c r="H517" s="28" t="str">
        <f>IFERROR(IF(AND(COUNTIF(RegistroPago!$A$1:$A$2000,Consolidado!B517)&gt;0,INDEX(RegistroPago!$E$1:$E$2000,MATCH(Consolidado!B517,RegistroPago!$A$1:$A$2000,0))&lt;&gt;""),"PAGADA",IF(I517&lt;&gt;"","PENDIENTE","SIN EMITIR")),"")</f>
        <v/>
      </c>
      <c r="I517" s="10"/>
      <c r="J517" s="2"/>
      <c r="K517" s="29"/>
      <c r="L517" s="29"/>
    </row>
    <row r="518" spans="1:12" ht="15.75" x14ac:dyDescent="0.25">
      <c r="A518" s="5"/>
      <c r="B518" s="7"/>
      <c r="C518" s="5"/>
      <c r="D518" s="5"/>
      <c r="E518" s="8"/>
      <c r="F518" s="9"/>
      <c r="G518" s="5"/>
      <c r="H518" s="28" t="str">
        <f>IFERROR(IF(AND(COUNTIF(RegistroPago!$A$1:$A$2000,Consolidado!B518)&gt;0,INDEX(RegistroPago!$E$1:$E$2000,MATCH(Consolidado!B518,RegistroPago!$A$1:$A$2000,0))&lt;&gt;""),"PAGADA",IF(I518&lt;&gt;"","PENDIENTE","SIN EMITIR")),"")</f>
        <v/>
      </c>
      <c r="I518" s="10"/>
      <c r="J518" s="2"/>
      <c r="K518" s="29"/>
      <c r="L518" s="29"/>
    </row>
    <row r="519" spans="1:12" ht="15.75" x14ac:dyDescent="0.25">
      <c r="A519" s="5"/>
      <c r="B519" s="7"/>
      <c r="C519" s="5"/>
      <c r="D519" s="5"/>
      <c r="E519" s="8"/>
      <c r="F519" s="9"/>
      <c r="G519" s="5"/>
      <c r="H519" s="28" t="str">
        <f>IFERROR(IF(AND(COUNTIF(RegistroPago!$A$1:$A$2000,Consolidado!B519)&gt;0,INDEX(RegistroPago!$E$1:$E$2000,MATCH(Consolidado!B519,RegistroPago!$A$1:$A$2000,0))&lt;&gt;""),"PAGADA",IF(I519&lt;&gt;"","PENDIENTE","SIN EMITIR")),"")</f>
        <v/>
      </c>
      <c r="I519" s="10"/>
      <c r="J519" s="2"/>
      <c r="K519" s="29"/>
      <c r="L519" s="29"/>
    </row>
    <row r="520" spans="1:12" ht="15.75" x14ac:dyDescent="0.25">
      <c r="A520" s="5"/>
      <c r="B520" s="7"/>
      <c r="C520" s="5"/>
      <c r="D520" s="5"/>
      <c r="E520" s="8"/>
      <c r="F520" s="9"/>
      <c r="G520" s="5"/>
      <c r="H520" s="28" t="str">
        <f>IFERROR(IF(AND(COUNTIF(RegistroPago!$A$1:$A$2000,Consolidado!B520)&gt;0,INDEX(RegistroPago!$E$1:$E$2000,MATCH(Consolidado!B520,RegistroPago!$A$1:$A$2000,0))&lt;&gt;""),"PAGADA",IF(I520&lt;&gt;"","PENDIENTE","SIN EMITIR")),"")</f>
        <v/>
      </c>
      <c r="I520" s="10"/>
      <c r="J520" s="2"/>
      <c r="K520" s="29"/>
      <c r="L520" s="29"/>
    </row>
    <row r="521" spans="1:12" ht="15.75" x14ac:dyDescent="0.25">
      <c r="A521" s="5"/>
      <c r="B521" s="7"/>
      <c r="C521" s="5"/>
      <c r="D521" s="5"/>
      <c r="E521" s="8"/>
      <c r="F521" s="9"/>
      <c r="G521" s="5"/>
      <c r="H521" s="28" t="str">
        <f>IFERROR(IF(AND(COUNTIF(RegistroPago!$A$1:$A$2000,Consolidado!B521)&gt;0,INDEX(RegistroPago!$E$1:$E$2000,MATCH(Consolidado!B521,RegistroPago!$A$1:$A$2000,0))&lt;&gt;""),"PAGADA",IF(I521&lt;&gt;"","PENDIENTE","SIN EMITIR")),"")</f>
        <v/>
      </c>
      <c r="I521" s="10"/>
      <c r="J521" s="2"/>
      <c r="K521" s="29"/>
      <c r="L521" s="29"/>
    </row>
    <row r="522" spans="1:12" ht="15.75" x14ac:dyDescent="0.25">
      <c r="A522" s="5"/>
      <c r="B522" s="7"/>
      <c r="C522" s="5"/>
      <c r="D522" s="5"/>
      <c r="E522" s="8"/>
      <c r="F522" s="9"/>
      <c r="G522" s="5"/>
      <c r="H522" s="28" t="str">
        <f>IFERROR(IF(AND(COUNTIF(RegistroPago!$A$1:$A$2000,Consolidado!B522)&gt;0,INDEX(RegistroPago!$E$1:$E$2000,MATCH(Consolidado!B522,RegistroPago!$A$1:$A$2000,0))&lt;&gt;""),"PAGADA",IF(I522&lt;&gt;"","PENDIENTE","SIN EMITIR")),"")</f>
        <v/>
      </c>
      <c r="I522" s="10"/>
      <c r="J522" s="2"/>
      <c r="K522" s="29"/>
      <c r="L522" s="29"/>
    </row>
    <row r="523" spans="1:12" ht="15.75" x14ac:dyDescent="0.25">
      <c r="A523" s="5"/>
      <c r="B523" s="7"/>
      <c r="C523" s="5"/>
      <c r="D523" s="5"/>
      <c r="E523" s="8"/>
      <c r="F523" s="9"/>
      <c r="G523" s="5"/>
      <c r="H523" s="28" t="str">
        <f>IFERROR(IF(AND(COUNTIF(RegistroPago!$A$1:$A$2000,Consolidado!B523)&gt;0,INDEX(RegistroPago!$E$1:$E$2000,MATCH(Consolidado!B523,RegistroPago!$A$1:$A$2000,0))&lt;&gt;""),"PAGADA",IF(I523&lt;&gt;"","PENDIENTE","SIN EMITIR")),"")</f>
        <v/>
      </c>
      <c r="I523" s="10"/>
      <c r="J523" s="2"/>
      <c r="K523" s="29"/>
      <c r="L523" s="29"/>
    </row>
    <row r="524" spans="1:12" ht="15.75" x14ac:dyDescent="0.25">
      <c r="A524" s="5"/>
      <c r="B524" s="7"/>
      <c r="C524" s="5"/>
      <c r="D524" s="5"/>
      <c r="E524" s="8"/>
      <c r="F524" s="9"/>
      <c r="G524" s="5"/>
      <c r="H524" s="28" t="str">
        <f>IFERROR(IF(AND(COUNTIF(RegistroPago!$A$1:$A$2000,Consolidado!B524)&gt;0,INDEX(RegistroPago!$E$1:$E$2000,MATCH(Consolidado!B524,RegistroPago!$A$1:$A$2000,0))&lt;&gt;""),"PAGADA",IF(I524&lt;&gt;"","PENDIENTE","SIN EMITIR")),"")</f>
        <v/>
      </c>
      <c r="I524" s="10"/>
      <c r="J524" s="2"/>
      <c r="K524" s="29"/>
      <c r="L524" s="29"/>
    </row>
    <row r="525" spans="1:12" ht="15.75" x14ac:dyDescent="0.25">
      <c r="A525" s="5"/>
      <c r="B525" s="7"/>
      <c r="C525" s="5"/>
      <c r="D525" s="5"/>
      <c r="E525" s="8"/>
      <c r="F525" s="9"/>
      <c r="G525" s="5"/>
      <c r="H525" s="28" t="str">
        <f>IFERROR(IF(AND(COUNTIF(RegistroPago!$A$1:$A$2000,Consolidado!B525)&gt;0,INDEX(RegistroPago!$E$1:$E$2000,MATCH(Consolidado!B525,RegistroPago!$A$1:$A$2000,0))&lt;&gt;""),"PAGADA",IF(I525&lt;&gt;"","PENDIENTE","SIN EMITIR")),"")</f>
        <v/>
      </c>
      <c r="I525" s="10"/>
      <c r="J525" s="2"/>
      <c r="K525" s="29"/>
      <c r="L525" s="29"/>
    </row>
    <row r="526" spans="1:12" ht="15.75" x14ac:dyDescent="0.25">
      <c r="A526" s="5"/>
      <c r="B526" s="7"/>
      <c r="C526" s="5"/>
      <c r="D526" s="5"/>
      <c r="E526" s="8"/>
      <c r="F526" s="9"/>
      <c r="G526" s="5"/>
      <c r="H526" s="28" t="str">
        <f>IFERROR(IF(AND(COUNTIF(RegistroPago!$A$1:$A$2000,Consolidado!B526)&gt;0,INDEX(RegistroPago!$E$1:$E$2000,MATCH(Consolidado!B526,RegistroPago!$A$1:$A$2000,0))&lt;&gt;""),"PAGADA",IF(I526&lt;&gt;"","PENDIENTE","SIN EMITIR")),"")</f>
        <v/>
      </c>
      <c r="I526" s="10"/>
      <c r="J526" s="2"/>
      <c r="K526" s="29"/>
      <c r="L526" s="29"/>
    </row>
    <row r="527" spans="1:12" ht="15.75" x14ac:dyDescent="0.25">
      <c r="A527" s="5"/>
      <c r="B527" s="7"/>
      <c r="C527" s="5"/>
      <c r="D527" s="5"/>
      <c r="E527" s="8"/>
      <c r="F527" s="9"/>
      <c r="G527" s="5"/>
      <c r="H527" s="28" t="str">
        <f>IFERROR(IF(AND(COUNTIF(RegistroPago!$A$1:$A$2000,Consolidado!B527)&gt;0,INDEX(RegistroPago!$E$1:$E$2000,MATCH(Consolidado!B527,RegistroPago!$A$1:$A$2000,0))&lt;&gt;""),"PAGADA",IF(I527&lt;&gt;"","PENDIENTE","SIN EMITIR")),"")</f>
        <v/>
      </c>
      <c r="I527" s="10"/>
      <c r="J527" s="2"/>
      <c r="K527" s="29"/>
      <c r="L527" s="29"/>
    </row>
    <row r="528" spans="1:12" ht="15.75" x14ac:dyDescent="0.25">
      <c r="A528" s="5"/>
      <c r="B528" s="7"/>
      <c r="C528" s="5"/>
      <c r="D528" s="5"/>
      <c r="E528" s="8"/>
      <c r="F528" s="9"/>
      <c r="G528" s="5"/>
      <c r="H528" s="28" t="str">
        <f>IFERROR(IF(AND(COUNTIF(RegistroPago!$A$1:$A$2000,Consolidado!B528)&gt;0,INDEX(RegistroPago!$E$1:$E$2000,MATCH(Consolidado!B528,RegistroPago!$A$1:$A$2000,0))&lt;&gt;""),"PAGADA",IF(I528&lt;&gt;"","PENDIENTE","SIN EMITIR")),"")</f>
        <v/>
      </c>
      <c r="I528" s="10"/>
      <c r="J528" s="2"/>
      <c r="K528" s="29"/>
      <c r="L528" s="29"/>
    </row>
    <row r="529" spans="1:12" ht="15.75" x14ac:dyDescent="0.25">
      <c r="A529" s="5"/>
      <c r="B529" s="7"/>
      <c r="C529" s="5"/>
      <c r="D529" s="5"/>
      <c r="E529" s="8"/>
      <c r="F529" s="9"/>
      <c r="G529" s="5"/>
      <c r="H529" s="28" t="str">
        <f>IFERROR(IF(AND(COUNTIF(RegistroPago!$A$1:$A$2000,Consolidado!B529)&gt;0,INDEX(RegistroPago!$E$1:$E$2000,MATCH(Consolidado!B529,RegistroPago!$A$1:$A$2000,0))&lt;&gt;""),"PAGADA",IF(I529&lt;&gt;"","PENDIENTE","SIN EMITIR")),"")</f>
        <v/>
      </c>
      <c r="I529" s="10"/>
      <c r="J529" s="2"/>
      <c r="K529" s="29"/>
      <c r="L529" s="29"/>
    </row>
    <row r="530" spans="1:12" ht="15.75" x14ac:dyDescent="0.25">
      <c r="A530" s="5"/>
      <c r="B530" s="7"/>
      <c r="C530" s="5"/>
      <c r="D530" s="5"/>
      <c r="E530" s="8"/>
      <c r="F530" s="9"/>
      <c r="G530" s="5"/>
      <c r="H530" s="28" t="str">
        <f>IFERROR(IF(AND(COUNTIF(RegistroPago!$A$1:$A$2000,Consolidado!B530)&gt;0,INDEX(RegistroPago!$E$1:$E$2000,MATCH(Consolidado!B530,RegistroPago!$A$1:$A$2000,0))&lt;&gt;""),"PAGADA",IF(I530&lt;&gt;"","PENDIENTE","SIN EMITIR")),"")</f>
        <v/>
      </c>
      <c r="I530" s="10"/>
      <c r="J530" s="2"/>
      <c r="K530" s="29"/>
      <c r="L530" s="29"/>
    </row>
    <row r="531" spans="1:12" ht="15.75" x14ac:dyDescent="0.25">
      <c r="A531" s="5"/>
      <c r="B531" s="7"/>
      <c r="C531" s="5"/>
      <c r="D531" s="5"/>
      <c r="E531" s="8"/>
      <c r="F531" s="9"/>
      <c r="G531" s="5"/>
      <c r="H531" s="28" t="str">
        <f>IFERROR(IF(AND(COUNTIF(RegistroPago!$A$1:$A$2000,Consolidado!B531)&gt;0,INDEX(RegistroPago!$E$1:$E$2000,MATCH(Consolidado!B531,RegistroPago!$A$1:$A$2000,0))&lt;&gt;""),"PAGADA",IF(I531&lt;&gt;"","PENDIENTE","SIN EMITIR")),"")</f>
        <v/>
      </c>
      <c r="I531" s="10"/>
      <c r="J531" s="2"/>
      <c r="K531" s="29"/>
      <c r="L531" s="29"/>
    </row>
    <row r="532" spans="1:12" ht="15.75" x14ac:dyDescent="0.25">
      <c r="A532" s="5"/>
      <c r="B532" s="7"/>
      <c r="C532" s="5"/>
      <c r="D532" s="5"/>
      <c r="E532" s="8"/>
      <c r="F532" s="9"/>
      <c r="G532" s="5"/>
      <c r="H532" s="28" t="str">
        <f>IFERROR(IF(AND(COUNTIF(RegistroPago!$A$1:$A$2000,Consolidado!B532)&gt;0,INDEX(RegistroPago!$E$1:$E$2000,MATCH(Consolidado!B532,RegistroPago!$A$1:$A$2000,0))&lt;&gt;""),"PAGADA",IF(I532&lt;&gt;"","PENDIENTE","SIN EMITIR")),"")</f>
        <v/>
      </c>
      <c r="I532" s="10"/>
      <c r="J532" s="2"/>
      <c r="K532" s="29"/>
      <c r="L532" s="29"/>
    </row>
    <row r="533" spans="1:12" ht="15.75" x14ac:dyDescent="0.25">
      <c r="A533" s="5"/>
      <c r="B533" s="7"/>
      <c r="C533" s="5"/>
      <c r="D533" s="5"/>
      <c r="E533" s="8"/>
      <c r="F533" s="9"/>
      <c r="G533" s="5"/>
      <c r="H533" s="28" t="str">
        <f>IFERROR(IF(AND(COUNTIF(RegistroPago!$A$1:$A$2000,Consolidado!B533)&gt;0,INDEX(RegistroPago!$E$1:$E$2000,MATCH(Consolidado!B533,RegistroPago!$A$1:$A$2000,0))&lt;&gt;""),"PAGADA",IF(I533&lt;&gt;"","PENDIENTE","SIN EMITIR")),"")</f>
        <v/>
      </c>
      <c r="I533" s="10"/>
      <c r="J533" s="2"/>
      <c r="K533" s="29"/>
      <c r="L533" s="29"/>
    </row>
    <row r="534" spans="1:12" ht="15.75" x14ac:dyDescent="0.25">
      <c r="A534" s="5"/>
      <c r="B534" s="7"/>
      <c r="C534" s="5"/>
      <c r="D534" s="5"/>
      <c r="E534" s="8"/>
      <c r="F534" s="9"/>
      <c r="G534" s="5"/>
      <c r="H534" s="28" t="str">
        <f>IFERROR(IF(AND(COUNTIF(RegistroPago!$A$1:$A$2000,Consolidado!B534)&gt;0,INDEX(RegistroPago!$E$1:$E$2000,MATCH(Consolidado!B534,RegistroPago!$A$1:$A$2000,0))&lt;&gt;""),"PAGADA",IF(I534&lt;&gt;"","PENDIENTE","SIN EMITIR")),"")</f>
        <v/>
      </c>
      <c r="I534" s="10"/>
      <c r="J534" s="2"/>
      <c r="K534" s="29"/>
      <c r="L534" s="29"/>
    </row>
    <row r="535" spans="1:12" ht="15.75" x14ac:dyDescent="0.25">
      <c r="A535" s="5"/>
      <c r="B535" s="7"/>
      <c r="C535" s="5"/>
      <c r="D535" s="5"/>
      <c r="E535" s="8"/>
      <c r="F535" s="9"/>
      <c r="G535" s="5"/>
      <c r="H535" s="28" t="str">
        <f>IFERROR(IF(AND(COUNTIF(RegistroPago!$A$1:$A$2000,Consolidado!B535)&gt;0,INDEX(RegistroPago!$E$1:$E$2000,MATCH(Consolidado!B535,RegistroPago!$A$1:$A$2000,0))&lt;&gt;""),"PAGADA",IF(I535&lt;&gt;"","PENDIENTE","SIN EMITIR")),"")</f>
        <v/>
      </c>
      <c r="I535" s="10"/>
      <c r="J535" s="2"/>
      <c r="K535" s="29"/>
      <c r="L535" s="29"/>
    </row>
    <row r="536" spans="1:12" ht="15.75" x14ac:dyDescent="0.25">
      <c r="A536" s="5"/>
      <c r="B536" s="7"/>
      <c r="C536" s="5"/>
      <c r="D536" s="5"/>
      <c r="E536" s="8"/>
      <c r="F536" s="9"/>
      <c r="G536" s="5"/>
      <c r="H536" s="28" t="str">
        <f>IFERROR(IF(AND(COUNTIF(RegistroPago!$A$1:$A$2000,Consolidado!B536)&gt;0,INDEX(RegistroPago!$E$1:$E$2000,MATCH(Consolidado!B536,RegistroPago!$A$1:$A$2000,0))&lt;&gt;""),"PAGADA",IF(I536&lt;&gt;"","PENDIENTE","SIN EMITIR")),"")</f>
        <v/>
      </c>
      <c r="I536" s="10"/>
      <c r="J536" s="2"/>
      <c r="K536" s="29"/>
      <c r="L536" s="29"/>
    </row>
    <row r="537" spans="1:12" ht="15.75" x14ac:dyDescent="0.25">
      <c r="A537" s="5"/>
      <c r="B537" s="7"/>
      <c r="C537" s="5"/>
      <c r="D537" s="5"/>
      <c r="E537" s="8"/>
      <c r="F537" s="9"/>
      <c r="G537" s="5"/>
      <c r="H537" s="28" t="str">
        <f>IFERROR(IF(AND(COUNTIF(RegistroPago!$A$1:$A$2000,Consolidado!B537)&gt;0,INDEX(RegistroPago!$E$1:$E$2000,MATCH(Consolidado!B537,RegistroPago!$A$1:$A$2000,0))&lt;&gt;""),"PAGADA",IF(I537&lt;&gt;"","PENDIENTE","SIN EMITIR")),"")</f>
        <v/>
      </c>
      <c r="I537" s="10"/>
      <c r="J537" s="2"/>
      <c r="K537" s="29"/>
      <c r="L537" s="29"/>
    </row>
    <row r="538" spans="1:12" ht="15.75" x14ac:dyDescent="0.25">
      <c r="A538" s="5"/>
      <c r="B538" s="7"/>
      <c r="C538" s="5"/>
      <c r="D538" s="5"/>
      <c r="E538" s="8"/>
      <c r="F538" s="9"/>
      <c r="G538" s="5"/>
      <c r="H538" s="28" t="str">
        <f>IFERROR(IF(AND(COUNTIF(RegistroPago!$A$1:$A$2000,Consolidado!B538)&gt;0,INDEX(RegistroPago!$E$1:$E$2000,MATCH(Consolidado!B538,RegistroPago!$A$1:$A$2000,0))&lt;&gt;""),"PAGADA",IF(I538&lt;&gt;"","PENDIENTE","SIN EMITIR")),"")</f>
        <v/>
      </c>
      <c r="I538" s="10"/>
      <c r="J538" s="2"/>
      <c r="K538" s="29"/>
      <c r="L538" s="29"/>
    </row>
    <row r="539" spans="1:12" ht="15.75" x14ac:dyDescent="0.25">
      <c r="A539" s="5"/>
      <c r="B539" s="7"/>
      <c r="C539" s="5"/>
      <c r="D539" s="5"/>
      <c r="E539" s="8"/>
      <c r="F539" s="9"/>
      <c r="G539" s="5"/>
      <c r="H539" s="28" t="str">
        <f>IFERROR(IF(AND(COUNTIF(RegistroPago!$A$1:$A$2000,Consolidado!B539)&gt;0,INDEX(RegistroPago!$E$1:$E$2000,MATCH(Consolidado!B539,RegistroPago!$A$1:$A$2000,0))&lt;&gt;""),"PAGADA",IF(I539&lt;&gt;"","PENDIENTE","SIN EMITIR")),"")</f>
        <v/>
      </c>
      <c r="I539" s="10"/>
      <c r="J539" s="2"/>
      <c r="K539" s="29"/>
      <c r="L539" s="29"/>
    </row>
    <row r="540" spans="1:12" ht="15.75" x14ac:dyDescent="0.25">
      <c r="A540" s="5"/>
      <c r="B540" s="7"/>
      <c r="C540" s="5"/>
      <c r="D540" s="5"/>
      <c r="E540" s="8"/>
      <c r="F540" s="9"/>
      <c r="G540" s="5"/>
      <c r="H540" s="28" t="str">
        <f>IFERROR(IF(AND(COUNTIF(RegistroPago!$A$1:$A$2000,Consolidado!B540)&gt;0,INDEX(RegistroPago!$E$1:$E$2000,MATCH(Consolidado!B540,RegistroPago!$A$1:$A$2000,0))&lt;&gt;""),"PAGADA",IF(I540&lt;&gt;"","PENDIENTE","SIN EMITIR")),"")</f>
        <v/>
      </c>
      <c r="I540" s="10"/>
      <c r="J540" s="2"/>
      <c r="K540" s="29"/>
      <c r="L540" s="29"/>
    </row>
    <row r="541" spans="1:12" ht="15.75" x14ac:dyDescent="0.25">
      <c r="A541" s="5"/>
      <c r="B541" s="7"/>
      <c r="C541" s="5"/>
      <c r="D541" s="5"/>
      <c r="E541" s="8"/>
      <c r="F541" s="9"/>
      <c r="G541" s="5"/>
      <c r="H541" s="28" t="str">
        <f>IFERROR(IF(AND(COUNTIF(RegistroPago!$A$1:$A$2000,Consolidado!B541)&gt;0,INDEX(RegistroPago!$E$1:$E$2000,MATCH(Consolidado!B541,RegistroPago!$A$1:$A$2000,0))&lt;&gt;""),"PAGADA",IF(I541&lt;&gt;"","PENDIENTE","SIN EMITIR")),"")</f>
        <v/>
      </c>
      <c r="I541" s="10"/>
      <c r="J541" s="2"/>
      <c r="K541" s="29"/>
      <c r="L541" s="29"/>
    </row>
    <row r="542" spans="1:12" ht="15.75" x14ac:dyDescent="0.25">
      <c r="A542" s="5"/>
      <c r="B542" s="7"/>
      <c r="C542" s="5"/>
      <c r="D542" s="5"/>
      <c r="E542" s="8"/>
      <c r="F542" s="9"/>
      <c r="G542" s="5"/>
      <c r="H542" s="28" t="str">
        <f>IFERROR(IF(AND(COUNTIF(RegistroPago!$A$1:$A$2000,Consolidado!B542)&gt;0,INDEX(RegistroPago!$E$1:$E$2000,MATCH(Consolidado!B542,RegistroPago!$A$1:$A$2000,0))&lt;&gt;""),"PAGADA",IF(I542&lt;&gt;"","PENDIENTE","SIN EMITIR")),"")</f>
        <v/>
      </c>
      <c r="I542" s="10"/>
      <c r="J542" s="2"/>
      <c r="K542" s="29"/>
      <c r="L542" s="29"/>
    </row>
    <row r="543" spans="1:12" ht="15.75" x14ac:dyDescent="0.25">
      <c r="A543" s="5"/>
      <c r="B543" s="7"/>
      <c r="C543" s="5"/>
      <c r="D543" s="5"/>
      <c r="E543" s="8"/>
      <c r="F543" s="9"/>
      <c r="G543" s="5"/>
      <c r="H543" s="28" t="str">
        <f>IFERROR(IF(AND(COUNTIF(RegistroPago!$A$1:$A$2000,Consolidado!B543)&gt;0,INDEX(RegistroPago!$E$1:$E$2000,MATCH(Consolidado!B543,RegistroPago!$A$1:$A$2000,0))&lt;&gt;""),"PAGADA",IF(I543&lt;&gt;"","PENDIENTE","SIN EMITIR")),"")</f>
        <v/>
      </c>
      <c r="I543" s="10"/>
      <c r="J543" s="2"/>
      <c r="K543" s="29"/>
      <c r="L543" s="29"/>
    </row>
    <row r="544" spans="1:12" ht="15.75" x14ac:dyDescent="0.25">
      <c r="A544" s="5"/>
      <c r="B544" s="7"/>
      <c r="C544" s="5"/>
      <c r="D544" s="5"/>
      <c r="E544" s="8"/>
      <c r="F544" s="9"/>
      <c r="G544" s="5"/>
      <c r="H544" s="28" t="str">
        <f>IFERROR(IF(AND(COUNTIF(RegistroPago!$A$1:$A$2000,Consolidado!B544)&gt;0,INDEX(RegistroPago!$E$1:$E$2000,MATCH(Consolidado!B544,RegistroPago!$A$1:$A$2000,0))&lt;&gt;""),"PAGADA",IF(I544&lt;&gt;"","PENDIENTE","SIN EMITIR")),"")</f>
        <v/>
      </c>
      <c r="I544" s="10"/>
      <c r="J544" s="2"/>
      <c r="K544" s="29"/>
      <c r="L544" s="29"/>
    </row>
    <row r="545" spans="1:12" ht="15.75" x14ac:dyDescent="0.25">
      <c r="A545" s="5"/>
      <c r="B545" s="7"/>
      <c r="C545" s="5"/>
      <c r="D545" s="5"/>
      <c r="E545" s="8"/>
      <c r="F545" s="9"/>
      <c r="G545" s="5"/>
      <c r="H545" s="28" t="str">
        <f>IFERROR(IF(AND(COUNTIF(RegistroPago!$A$1:$A$2000,Consolidado!B545)&gt;0,INDEX(RegistroPago!$E$1:$E$2000,MATCH(Consolidado!B545,RegistroPago!$A$1:$A$2000,0))&lt;&gt;""),"PAGADA",IF(I545&lt;&gt;"","PENDIENTE","SIN EMITIR")),"")</f>
        <v/>
      </c>
      <c r="I545" s="10"/>
      <c r="J545" s="2"/>
      <c r="K545" s="29"/>
      <c r="L545" s="29"/>
    </row>
    <row r="546" spans="1:12" ht="15.75" x14ac:dyDescent="0.25">
      <c r="A546" s="5"/>
      <c r="B546" s="7"/>
      <c r="C546" s="5"/>
      <c r="D546" s="5"/>
      <c r="E546" s="8"/>
      <c r="F546" s="9"/>
      <c r="G546" s="5"/>
      <c r="H546" s="28" t="str">
        <f>IFERROR(IF(AND(COUNTIF(RegistroPago!$A$1:$A$2000,Consolidado!B546)&gt;0,INDEX(RegistroPago!$E$1:$E$2000,MATCH(Consolidado!B546,RegistroPago!$A$1:$A$2000,0))&lt;&gt;""),"PAGADA",IF(I546&lt;&gt;"","PENDIENTE","SIN EMITIR")),"")</f>
        <v/>
      </c>
      <c r="I546" s="10"/>
      <c r="J546" s="2"/>
      <c r="K546" s="29"/>
      <c r="L546" s="29"/>
    </row>
    <row r="547" spans="1:12" ht="15.75" x14ac:dyDescent="0.25">
      <c r="A547" s="5"/>
      <c r="B547" s="7"/>
      <c r="C547" s="5"/>
      <c r="D547" s="5"/>
      <c r="E547" s="8"/>
      <c r="F547" s="9"/>
      <c r="G547" s="5"/>
      <c r="H547" s="28" t="str">
        <f>IFERROR(IF(AND(COUNTIF(RegistroPago!$A$1:$A$2000,Consolidado!B547)&gt;0,INDEX(RegistroPago!$E$1:$E$2000,MATCH(Consolidado!B547,RegistroPago!$A$1:$A$2000,0))&lt;&gt;""),"PAGADA",IF(I547&lt;&gt;"","PENDIENTE","SIN EMITIR")),"")</f>
        <v/>
      </c>
      <c r="I547" s="10"/>
      <c r="J547" s="2"/>
      <c r="K547" s="29"/>
      <c r="L547" s="29"/>
    </row>
    <row r="548" spans="1:12" ht="15.75" x14ac:dyDescent="0.25">
      <c r="A548" s="5"/>
      <c r="B548" s="7"/>
      <c r="C548" s="5"/>
      <c r="D548" s="5"/>
      <c r="E548" s="8"/>
      <c r="F548" s="9"/>
      <c r="G548" s="5"/>
      <c r="H548" s="28" t="str">
        <f>IFERROR(IF(AND(COUNTIF(RegistroPago!$A$1:$A$2000,Consolidado!B548)&gt;0,INDEX(RegistroPago!$E$1:$E$2000,MATCH(Consolidado!B548,RegistroPago!$A$1:$A$2000,0))&lt;&gt;""),"PAGADA",IF(I548&lt;&gt;"","PENDIENTE","SIN EMITIR")),"")</f>
        <v/>
      </c>
      <c r="I548" s="10"/>
      <c r="J548" s="2"/>
      <c r="K548" s="29"/>
      <c r="L548" s="29"/>
    </row>
    <row r="549" spans="1:12" ht="15.75" x14ac:dyDescent="0.25">
      <c r="A549" s="5"/>
      <c r="B549" s="7"/>
      <c r="C549" s="5"/>
      <c r="D549" s="5"/>
      <c r="E549" s="8"/>
      <c r="F549" s="9"/>
      <c r="G549" s="5"/>
      <c r="H549" s="28" t="str">
        <f>IFERROR(IF(AND(COUNTIF(RegistroPago!$A$1:$A$2000,Consolidado!B549)&gt;0,INDEX(RegistroPago!$E$1:$E$2000,MATCH(Consolidado!B549,RegistroPago!$A$1:$A$2000,0))&lt;&gt;""),"PAGADA",IF(I549&lt;&gt;"","PENDIENTE","SIN EMITIR")),"")</f>
        <v/>
      </c>
      <c r="I549" s="10"/>
      <c r="J549" s="2"/>
      <c r="K549" s="29"/>
      <c r="L549" s="29"/>
    </row>
    <row r="550" spans="1:12" ht="15.75" x14ac:dyDescent="0.25">
      <c r="A550" s="5"/>
      <c r="B550" s="7"/>
      <c r="C550" s="5"/>
      <c r="D550" s="5"/>
      <c r="E550" s="8"/>
      <c r="F550" s="9"/>
      <c r="G550" s="5"/>
      <c r="H550" s="28" t="str">
        <f>IFERROR(IF(AND(COUNTIF(RegistroPago!$A$1:$A$2000,Consolidado!B550)&gt;0,INDEX(RegistroPago!$E$1:$E$2000,MATCH(Consolidado!B550,RegistroPago!$A$1:$A$2000,0))&lt;&gt;""),"PAGADA",IF(I550&lt;&gt;"","PENDIENTE","SIN EMITIR")),"")</f>
        <v/>
      </c>
      <c r="I550" s="10"/>
      <c r="J550" s="2"/>
      <c r="K550" s="29"/>
      <c r="L550" s="29"/>
    </row>
    <row r="551" spans="1:12" ht="15.75" x14ac:dyDescent="0.25">
      <c r="A551" s="5"/>
      <c r="B551" s="7"/>
      <c r="C551" s="5"/>
      <c r="D551" s="5"/>
      <c r="E551" s="8"/>
      <c r="F551" s="9"/>
      <c r="G551" s="5"/>
      <c r="H551" s="28" t="str">
        <f>IFERROR(IF(AND(COUNTIF(RegistroPago!$A$1:$A$2000,Consolidado!B551)&gt;0,INDEX(RegistroPago!$E$1:$E$2000,MATCH(Consolidado!B551,RegistroPago!$A$1:$A$2000,0))&lt;&gt;""),"PAGADA",IF(I551&lt;&gt;"","PENDIENTE","SIN EMITIR")),"")</f>
        <v/>
      </c>
      <c r="I551" s="10"/>
      <c r="J551" s="2"/>
      <c r="K551" s="29"/>
      <c r="L551" s="29"/>
    </row>
    <row r="552" spans="1:12" ht="15.75" x14ac:dyDescent="0.25">
      <c r="A552" s="5"/>
      <c r="B552" s="7"/>
      <c r="C552" s="5"/>
      <c r="D552" s="5"/>
      <c r="E552" s="8"/>
      <c r="F552" s="9"/>
      <c r="G552" s="5"/>
      <c r="H552" s="28" t="str">
        <f>IFERROR(IF(AND(COUNTIF(RegistroPago!$A$1:$A$2000,Consolidado!B552)&gt;0,INDEX(RegistroPago!$E$1:$E$2000,MATCH(Consolidado!B552,RegistroPago!$A$1:$A$2000,0))&lt;&gt;""),"PAGADA",IF(I552&lt;&gt;"","PENDIENTE","SIN EMITIR")),"")</f>
        <v/>
      </c>
      <c r="I552" s="10"/>
      <c r="J552" s="2"/>
      <c r="K552" s="29"/>
      <c r="L552" s="29"/>
    </row>
    <row r="553" spans="1:12" ht="15.75" x14ac:dyDescent="0.25">
      <c r="A553" s="5"/>
      <c r="B553" s="7"/>
      <c r="C553" s="5"/>
      <c r="D553" s="5"/>
      <c r="E553" s="8"/>
      <c r="F553" s="9"/>
      <c r="G553" s="5"/>
      <c r="H553" s="28" t="str">
        <f>IFERROR(IF(AND(COUNTIF(RegistroPago!$A$1:$A$2000,Consolidado!B553)&gt;0,INDEX(RegistroPago!$E$1:$E$2000,MATCH(Consolidado!B553,RegistroPago!$A$1:$A$2000,0))&lt;&gt;""),"PAGADA",IF(I553&lt;&gt;"","PENDIENTE","SIN EMITIR")),"")</f>
        <v/>
      </c>
      <c r="I553" s="10"/>
      <c r="J553" s="2"/>
      <c r="K553" s="29"/>
      <c r="L553" s="29"/>
    </row>
    <row r="554" spans="1:12" ht="15.75" x14ac:dyDescent="0.25">
      <c r="A554" s="5"/>
      <c r="B554" s="7"/>
      <c r="C554" s="5"/>
      <c r="D554" s="5"/>
      <c r="E554" s="8"/>
      <c r="F554" s="9"/>
      <c r="G554" s="5"/>
      <c r="H554" s="28" t="str">
        <f>IFERROR(IF(AND(COUNTIF(RegistroPago!$A$1:$A$2000,Consolidado!B554)&gt;0,INDEX(RegistroPago!$E$1:$E$2000,MATCH(Consolidado!B554,RegistroPago!$A$1:$A$2000,0))&lt;&gt;""),"PAGADA",IF(I554&lt;&gt;"","PENDIENTE","SIN EMITIR")),"")</f>
        <v/>
      </c>
      <c r="I554" s="10"/>
      <c r="J554" s="2"/>
      <c r="K554" s="29"/>
      <c r="L554" s="29"/>
    </row>
    <row r="555" spans="1:12" ht="15.75" x14ac:dyDescent="0.25">
      <c r="A555" s="5"/>
      <c r="B555" s="7"/>
      <c r="C555" s="5"/>
      <c r="D555" s="5"/>
      <c r="E555" s="8"/>
      <c r="F555" s="9"/>
      <c r="G555" s="5"/>
      <c r="H555" s="28" t="str">
        <f>IFERROR(IF(AND(COUNTIF(RegistroPago!$A$1:$A$2000,Consolidado!B555)&gt;0,INDEX(RegistroPago!$E$1:$E$2000,MATCH(Consolidado!B555,RegistroPago!$A$1:$A$2000,0))&lt;&gt;""),"PAGADA",IF(I555&lt;&gt;"","PENDIENTE","SIN EMITIR")),"")</f>
        <v/>
      </c>
      <c r="I555" s="10"/>
      <c r="J555" s="2"/>
      <c r="K555" s="29"/>
      <c r="L555" s="29"/>
    </row>
    <row r="556" spans="1:12" ht="15.75" x14ac:dyDescent="0.25">
      <c r="A556" s="5"/>
      <c r="B556" s="7"/>
      <c r="C556" s="5"/>
      <c r="D556" s="5"/>
      <c r="E556" s="8"/>
      <c r="F556" s="9"/>
      <c r="G556" s="5"/>
      <c r="H556" s="28" t="str">
        <f>IFERROR(IF(AND(COUNTIF(RegistroPago!$A$1:$A$2000,Consolidado!B556)&gt;0,INDEX(RegistroPago!$E$1:$E$2000,MATCH(Consolidado!B556,RegistroPago!$A$1:$A$2000,0))&lt;&gt;""),"PAGADA",IF(I556&lt;&gt;"","PENDIENTE","SIN EMITIR")),"")</f>
        <v/>
      </c>
      <c r="I556" s="10"/>
      <c r="J556" s="2"/>
      <c r="K556" s="29"/>
      <c r="L556" s="29"/>
    </row>
    <row r="557" spans="1:12" ht="15.75" x14ac:dyDescent="0.25">
      <c r="A557" s="5"/>
      <c r="B557" s="7"/>
      <c r="C557" s="5"/>
      <c r="D557" s="5"/>
      <c r="E557" s="8"/>
      <c r="F557" s="9"/>
      <c r="G557" s="5"/>
      <c r="H557" s="28" t="str">
        <f>IFERROR(IF(AND(COUNTIF(RegistroPago!$A$1:$A$2000,Consolidado!B557)&gt;0,INDEX(RegistroPago!$E$1:$E$2000,MATCH(Consolidado!B557,RegistroPago!$A$1:$A$2000,0))&lt;&gt;""),"PAGADA",IF(I557&lt;&gt;"","PENDIENTE","SIN EMITIR")),"")</f>
        <v/>
      </c>
      <c r="I557" s="10"/>
      <c r="J557" s="2"/>
      <c r="K557" s="29"/>
      <c r="L557" s="29"/>
    </row>
    <row r="558" spans="1:12" ht="15.75" x14ac:dyDescent="0.25">
      <c r="A558" s="5"/>
      <c r="B558" s="7"/>
      <c r="C558" s="5"/>
      <c r="D558" s="5"/>
      <c r="E558" s="8"/>
      <c r="F558" s="9"/>
      <c r="G558" s="5"/>
      <c r="H558" s="28" t="str">
        <f>IFERROR(IF(AND(COUNTIF(RegistroPago!$A$1:$A$2000,Consolidado!B558)&gt;0,INDEX(RegistroPago!$E$1:$E$2000,MATCH(Consolidado!B558,RegistroPago!$A$1:$A$2000,0))&lt;&gt;""),"PAGADA",IF(I558&lt;&gt;"","PENDIENTE","SIN EMITIR")),"")</f>
        <v/>
      </c>
      <c r="I558" s="10"/>
      <c r="J558" s="2"/>
      <c r="K558" s="29"/>
      <c r="L558" s="29"/>
    </row>
    <row r="559" spans="1:12" ht="15.75" x14ac:dyDescent="0.25">
      <c r="A559" s="5"/>
      <c r="B559" s="7"/>
      <c r="C559" s="5"/>
      <c r="D559" s="5"/>
      <c r="E559" s="8"/>
      <c r="F559" s="9"/>
      <c r="G559" s="5"/>
      <c r="H559" s="28" t="str">
        <f>IFERROR(IF(AND(COUNTIF(RegistroPago!$A$1:$A$2000,Consolidado!B559)&gt;0,INDEX(RegistroPago!$E$1:$E$2000,MATCH(Consolidado!B559,RegistroPago!$A$1:$A$2000,0))&lt;&gt;""),"PAGADA",IF(I559&lt;&gt;"","PENDIENTE","SIN EMITIR")),"")</f>
        <v/>
      </c>
      <c r="I559" s="10"/>
      <c r="J559" s="2"/>
      <c r="K559" s="29"/>
      <c r="L559" s="29"/>
    </row>
    <row r="560" spans="1:12" ht="15.75" x14ac:dyDescent="0.25">
      <c r="A560" s="5"/>
      <c r="B560" s="7"/>
      <c r="C560" s="5"/>
      <c r="D560" s="5"/>
      <c r="E560" s="8"/>
      <c r="F560" s="9"/>
      <c r="G560" s="5"/>
      <c r="H560" s="28" t="str">
        <f>IFERROR(IF(AND(COUNTIF(RegistroPago!$A$1:$A$2000,Consolidado!B560)&gt;0,INDEX(RegistroPago!$E$1:$E$2000,MATCH(Consolidado!B560,RegistroPago!$A$1:$A$2000,0))&lt;&gt;""),"PAGADA",IF(I560&lt;&gt;"","PENDIENTE","SIN EMITIR")),"")</f>
        <v/>
      </c>
      <c r="I560" s="10"/>
      <c r="J560" s="2"/>
      <c r="K560" s="29"/>
      <c r="L560" s="29"/>
    </row>
    <row r="561" spans="1:12" ht="15.75" x14ac:dyDescent="0.25">
      <c r="A561" s="5"/>
      <c r="B561" s="7"/>
      <c r="C561" s="5"/>
      <c r="D561" s="5"/>
      <c r="E561" s="8"/>
      <c r="F561" s="9"/>
      <c r="G561" s="5"/>
      <c r="H561" s="28" t="str">
        <f>IFERROR(IF(AND(COUNTIF(RegistroPago!$A$1:$A$2000,Consolidado!B561)&gt;0,INDEX(RegistroPago!$E$1:$E$2000,MATCH(Consolidado!B561,RegistroPago!$A$1:$A$2000,0))&lt;&gt;""),"PAGADA",IF(I561&lt;&gt;"","PENDIENTE","SIN EMITIR")),"")</f>
        <v/>
      </c>
      <c r="I561" s="10"/>
      <c r="J561" s="2"/>
      <c r="K561" s="29"/>
      <c r="L561" s="29"/>
    </row>
    <row r="562" spans="1:12" ht="15.75" x14ac:dyDescent="0.25">
      <c r="A562" s="5"/>
      <c r="B562" s="7"/>
      <c r="C562" s="5"/>
      <c r="D562" s="5"/>
      <c r="E562" s="8"/>
      <c r="F562" s="9"/>
      <c r="G562" s="5"/>
      <c r="H562" s="28" t="str">
        <f>IFERROR(IF(AND(COUNTIF(RegistroPago!$A$1:$A$2000,Consolidado!B562)&gt;0,INDEX(RegistroPago!$E$1:$E$2000,MATCH(Consolidado!B562,RegistroPago!$A$1:$A$2000,0))&lt;&gt;""),"PAGADA",IF(I562&lt;&gt;"","PENDIENTE","SIN EMITIR")),"")</f>
        <v/>
      </c>
      <c r="I562" s="10"/>
      <c r="J562" s="2"/>
      <c r="K562" s="29"/>
      <c r="L562" s="29"/>
    </row>
    <row r="563" spans="1:12" ht="15.75" x14ac:dyDescent="0.25">
      <c r="A563" s="5"/>
      <c r="B563" s="7"/>
      <c r="C563" s="5"/>
      <c r="D563" s="5"/>
      <c r="E563" s="8"/>
      <c r="F563" s="9"/>
      <c r="G563" s="5"/>
      <c r="H563" s="28" t="str">
        <f>IFERROR(IF(AND(COUNTIF(RegistroPago!$A$1:$A$2000,Consolidado!B563)&gt;0,INDEX(RegistroPago!$E$1:$E$2000,MATCH(Consolidado!B563,RegistroPago!$A$1:$A$2000,0))&lt;&gt;""),"PAGADA",IF(I563&lt;&gt;"","PENDIENTE","SIN EMITIR")),"")</f>
        <v/>
      </c>
      <c r="I563" s="10"/>
      <c r="J563" s="2"/>
      <c r="K563" s="29"/>
      <c r="L563" s="29"/>
    </row>
    <row r="564" spans="1:12" ht="15.75" x14ac:dyDescent="0.25">
      <c r="A564" s="5"/>
      <c r="B564" s="7"/>
      <c r="C564" s="5"/>
      <c r="D564" s="5"/>
      <c r="E564" s="8"/>
      <c r="F564" s="9"/>
      <c r="G564" s="5"/>
      <c r="H564" s="28" t="str">
        <f>IFERROR(IF(AND(COUNTIF(RegistroPago!$A$1:$A$2000,Consolidado!B564)&gt;0,INDEX(RegistroPago!$E$1:$E$2000,MATCH(Consolidado!B564,RegistroPago!$A$1:$A$2000,0))&lt;&gt;""),"PAGADA",IF(I564&lt;&gt;"","PENDIENTE","SIN EMITIR")),"")</f>
        <v/>
      </c>
      <c r="I564" s="10"/>
      <c r="J564" s="2"/>
      <c r="K564" s="29"/>
      <c r="L564" s="29"/>
    </row>
    <row r="565" spans="1:12" ht="15.75" x14ac:dyDescent="0.25">
      <c r="A565" s="5"/>
      <c r="B565" s="7"/>
      <c r="C565" s="5"/>
      <c r="D565" s="5"/>
      <c r="E565" s="8"/>
      <c r="F565" s="9"/>
      <c r="G565" s="5"/>
      <c r="H565" s="28" t="str">
        <f>IFERROR(IF(AND(COUNTIF(RegistroPago!$A$1:$A$2000,Consolidado!B565)&gt;0,INDEX(RegistroPago!$E$1:$E$2000,MATCH(Consolidado!B565,RegistroPago!$A$1:$A$2000,0))&lt;&gt;""),"PAGADA",IF(I565&lt;&gt;"","PENDIENTE","SIN EMITIR")),"")</f>
        <v/>
      </c>
      <c r="I565" s="10"/>
      <c r="J565" s="2"/>
      <c r="K565" s="29"/>
      <c r="L565" s="29"/>
    </row>
    <row r="566" spans="1:12" ht="15.75" x14ac:dyDescent="0.25">
      <c r="A566" s="5"/>
      <c r="B566" s="7"/>
      <c r="C566" s="5"/>
      <c r="D566" s="5"/>
      <c r="E566" s="8"/>
      <c r="F566" s="9"/>
      <c r="G566" s="5"/>
      <c r="H566" s="28" t="str">
        <f>IFERROR(IF(AND(COUNTIF(RegistroPago!$A$1:$A$2000,Consolidado!B566)&gt;0,INDEX(RegistroPago!$E$1:$E$2000,MATCH(Consolidado!B566,RegistroPago!$A$1:$A$2000,0))&lt;&gt;""),"PAGADA",IF(I566&lt;&gt;"","PENDIENTE","SIN EMITIR")),"")</f>
        <v/>
      </c>
      <c r="I566" s="10"/>
      <c r="J566" s="2"/>
      <c r="K566" s="29"/>
      <c r="L566" s="29"/>
    </row>
    <row r="567" spans="1:12" ht="15.75" x14ac:dyDescent="0.25">
      <c r="A567" s="5"/>
      <c r="B567" s="7"/>
      <c r="C567" s="5"/>
      <c r="D567" s="5"/>
      <c r="E567" s="8"/>
      <c r="F567" s="9"/>
      <c r="G567" s="5"/>
      <c r="H567" s="28" t="str">
        <f>IFERROR(IF(AND(COUNTIF(RegistroPago!$A$1:$A$2000,Consolidado!B567)&gt;0,INDEX(RegistroPago!$E$1:$E$2000,MATCH(Consolidado!B567,RegistroPago!$A$1:$A$2000,0))&lt;&gt;""),"PAGADA",IF(I567&lt;&gt;"","PENDIENTE","SIN EMITIR")),"")</f>
        <v/>
      </c>
      <c r="I567" s="10"/>
      <c r="J567" s="2"/>
      <c r="K567" s="29"/>
      <c r="L567" s="29"/>
    </row>
    <row r="568" spans="1:12" ht="15.75" x14ac:dyDescent="0.25">
      <c r="A568" s="5"/>
      <c r="B568" s="7"/>
      <c r="C568" s="5"/>
      <c r="D568" s="5"/>
      <c r="E568" s="8"/>
      <c r="F568" s="9"/>
      <c r="G568" s="5"/>
      <c r="H568" s="28" t="str">
        <f>IFERROR(IF(AND(COUNTIF(RegistroPago!$A$1:$A$2000,Consolidado!B568)&gt;0,INDEX(RegistroPago!$E$1:$E$2000,MATCH(Consolidado!B568,RegistroPago!$A$1:$A$2000,0))&lt;&gt;""),"PAGADA",IF(I568&lt;&gt;"","PENDIENTE","SIN EMITIR")),"")</f>
        <v/>
      </c>
      <c r="I568" s="10"/>
      <c r="J568" s="2"/>
      <c r="K568" s="29"/>
      <c r="L568" s="29"/>
    </row>
    <row r="569" spans="1:12" ht="15.75" x14ac:dyDescent="0.25">
      <c r="A569" s="5"/>
      <c r="B569" s="7"/>
      <c r="C569" s="5"/>
      <c r="D569" s="5"/>
      <c r="E569" s="8"/>
      <c r="F569" s="9"/>
      <c r="G569" s="5"/>
      <c r="H569" s="28" t="str">
        <f>IFERROR(IF(AND(COUNTIF(RegistroPago!$A$1:$A$2000,Consolidado!B569)&gt;0,INDEX(RegistroPago!$E$1:$E$2000,MATCH(Consolidado!B569,RegistroPago!$A$1:$A$2000,0))&lt;&gt;""),"PAGADA",IF(I569&lt;&gt;"","PENDIENTE","SIN EMITIR")),"")</f>
        <v/>
      </c>
      <c r="I569" s="10"/>
      <c r="J569" s="2"/>
      <c r="K569" s="29"/>
      <c r="L569" s="29"/>
    </row>
    <row r="570" spans="1:12" ht="15.75" x14ac:dyDescent="0.25">
      <c r="A570" s="5"/>
      <c r="B570" s="7"/>
      <c r="C570" s="5"/>
      <c r="D570" s="5"/>
      <c r="E570" s="8"/>
      <c r="F570" s="9"/>
      <c r="G570" s="5"/>
      <c r="H570" s="28" t="str">
        <f>IFERROR(IF(AND(COUNTIF(RegistroPago!$A$1:$A$2000,Consolidado!B570)&gt;0,INDEX(RegistroPago!$E$1:$E$2000,MATCH(Consolidado!B570,RegistroPago!$A$1:$A$2000,0))&lt;&gt;""),"PAGADA",IF(I570&lt;&gt;"","PENDIENTE","SIN EMITIR")),"")</f>
        <v/>
      </c>
      <c r="I570" s="10"/>
      <c r="J570" s="2"/>
      <c r="K570" s="29"/>
      <c r="L570" s="29"/>
    </row>
    <row r="571" spans="1:12" ht="15.75" x14ac:dyDescent="0.25">
      <c r="A571" s="5"/>
      <c r="B571" s="7"/>
      <c r="C571" s="5"/>
      <c r="D571" s="5"/>
      <c r="E571" s="8"/>
      <c r="F571" s="9"/>
      <c r="G571" s="5"/>
      <c r="H571" s="28" t="str">
        <f>IFERROR(IF(AND(COUNTIF(RegistroPago!$A$1:$A$2000,Consolidado!B571)&gt;0,INDEX(RegistroPago!$E$1:$E$2000,MATCH(Consolidado!B571,RegistroPago!$A$1:$A$2000,0))&lt;&gt;""),"PAGADA",IF(I571&lt;&gt;"","PENDIENTE","SIN EMITIR")),"")</f>
        <v/>
      </c>
      <c r="I571" s="10"/>
      <c r="J571" s="2"/>
      <c r="K571" s="29"/>
      <c r="L571" s="29"/>
    </row>
    <row r="572" spans="1:12" ht="15.75" x14ac:dyDescent="0.25">
      <c r="A572" s="5"/>
      <c r="B572" s="7"/>
      <c r="C572" s="5"/>
      <c r="D572" s="5"/>
      <c r="E572" s="8"/>
      <c r="F572" s="9"/>
      <c r="G572" s="5"/>
      <c r="H572" s="28" t="str">
        <f>IFERROR(IF(AND(COUNTIF(RegistroPago!$A$1:$A$2000,Consolidado!B572)&gt;0,INDEX(RegistroPago!$E$1:$E$2000,MATCH(Consolidado!B572,RegistroPago!$A$1:$A$2000,0))&lt;&gt;""),"PAGADA",IF(I572&lt;&gt;"","PENDIENTE","SIN EMITIR")),"")</f>
        <v/>
      </c>
      <c r="I572" s="10"/>
      <c r="J572" s="2"/>
      <c r="K572" s="29"/>
      <c r="L572" s="29"/>
    </row>
    <row r="573" spans="1:12" ht="15.75" x14ac:dyDescent="0.25">
      <c r="A573" s="5"/>
      <c r="B573" s="7"/>
      <c r="C573" s="5"/>
      <c r="D573" s="5"/>
      <c r="E573" s="8"/>
      <c r="F573" s="9"/>
      <c r="G573" s="5"/>
      <c r="H573" s="28" t="str">
        <f>IFERROR(IF(AND(COUNTIF(RegistroPago!$A$1:$A$2000,Consolidado!B573)&gt;0,INDEX(RegistroPago!$E$1:$E$2000,MATCH(Consolidado!B573,RegistroPago!$A$1:$A$2000,0))&lt;&gt;""),"PAGADA",IF(I573&lt;&gt;"","PENDIENTE","SIN EMITIR")),"")</f>
        <v/>
      </c>
      <c r="I573" s="10"/>
      <c r="J573" s="2"/>
      <c r="K573" s="29"/>
      <c r="L573" s="29"/>
    </row>
    <row r="574" spans="1:12" ht="15.75" x14ac:dyDescent="0.25">
      <c r="A574" s="5"/>
      <c r="B574" s="7"/>
      <c r="C574" s="5"/>
      <c r="D574" s="5"/>
      <c r="E574" s="8"/>
      <c r="F574" s="9"/>
      <c r="G574" s="5"/>
      <c r="H574" s="28" t="str">
        <f>IFERROR(IF(AND(COUNTIF(RegistroPago!$A$1:$A$2000,Consolidado!B574)&gt;0,INDEX(RegistroPago!$E$1:$E$2000,MATCH(Consolidado!B574,RegistroPago!$A$1:$A$2000,0))&lt;&gt;""),"PAGADA",IF(I574&lt;&gt;"","PENDIENTE","SIN EMITIR")),"")</f>
        <v/>
      </c>
      <c r="I574" s="10"/>
      <c r="J574" s="2"/>
      <c r="K574" s="29"/>
      <c r="L574" s="29"/>
    </row>
    <row r="575" spans="1:12" ht="15.75" x14ac:dyDescent="0.25">
      <c r="A575" s="5"/>
      <c r="B575" s="7"/>
      <c r="C575" s="5"/>
      <c r="D575" s="5"/>
      <c r="E575" s="8"/>
      <c r="F575" s="9"/>
      <c r="G575" s="5"/>
      <c r="H575" s="28" t="str">
        <f>IFERROR(IF(AND(COUNTIF(RegistroPago!$A$1:$A$2000,Consolidado!B575)&gt;0,INDEX(RegistroPago!$E$1:$E$2000,MATCH(Consolidado!B575,RegistroPago!$A$1:$A$2000,0))&lt;&gt;""),"PAGADA",IF(I575&lt;&gt;"","PENDIENTE","SIN EMITIR")),"")</f>
        <v/>
      </c>
      <c r="I575" s="10"/>
      <c r="J575" s="2"/>
      <c r="K575" s="29"/>
      <c r="L575" s="29"/>
    </row>
    <row r="576" spans="1:12" ht="15.75" x14ac:dyDescent="0.25">
      <c r="A576" s="5"/>
      <c r="B576" s="7"/>
      <c r="C576" s="5"/>
      <c r="D576" s="5"/>
      <c r="E576" s="8"/>
      <c r="F576" s="9"/>
      <c r="G576" s="5"/>
      <c r="H576" s="28" t="str">
        <f>IFERROR(IF(AND(COUNTIF(RegistroPago!$A$1:$A$2000,Consolidado!B576)&gt;0,INDEX(RegistroPago!$E$1:$E$2000,MATCH(Consolidado!B576,RegistroPago!$A$1:$A$2000,0))&lt;&gt;""),"PAGADA",IF(I576&lt;&gt;"","PENDIENTE","SIN EMITIR")),"")</f>
        <v/>
      </c>
      <c r="I576" s="10"/>
      <c r="J576" s="2"/>
      <c r="K576" s="29"/>
      <c r="L576" s="29"/>
    </row>
    <row r="577" spans="1:12" ht="15.75" x14ac:dyDescent="0.25">
      <c r="A577" s="5"/>
      <c r="B577" s="7"/>
      <c r="C577" s="5"/>
      <c r="D577" s="5"/>
      <c r="E577" s="8"/>
      <c r="F577" s="9"/>
      <c r="G577" s="5"/>
      <c r="H577" s="28" t="str">
        <f>IFERROR(IF(AND(COUNTIF(RegistroPago!$A$1:$A$2000,Consolidado!B577)&gt;0,INDEX(RegistroPago!$E$1:$E$2000,MATCH(Consolidado!B577,RegistroPago!$A$1:$A$2000,0))&lt;&gt;""),"PAGADA",IF(I577&lt;&gt;"","PENDIENTE","SIN EMITIR")),"")</f>
        <v/>
      </c>
      <c r="I577" s="10"/>
      <c r="J577" s="2"/>
      <c r="K577" s="29"/>
      <c r="L577" s="29"/>
    </row>
    <row r="578" spans="1:12" ht="15.75" x14ac:dyDescent="0.25">
      <c r="A578" s="5"/>
      <c r="B578" s="7"/>
      <c r="C578" s="5"/>
      <c r="D578" s="5"/>
      <c r="E578" s="8"/>
      <c r="F578" s="9"/>
      <c r="G578" s="5"/>
      <c r="H578" s="28" t="str">
        <f>IFERROR(IF(AND(COUNTIF(RegistroPago!$A$1:$A$2000,Consolidado!B578)&gt;0,INDEX(RegistroPago!$E$1:$E$2000,MATCH(Consolidado!B578,RegistroPago!$A$1:$A$2000,0))&lt;&gt;""),"PAGADA",IF(I578&lt;&gt;"","PENDIENTE","SIN EMITIR")),"")</f>
        <v/>
      </c>
      <c r="I578" s="10"/>
      <c r="J578" s="2"/>
      <c r="K578" s="29"/>
      <c r="L578" s="29"/>
    </row>
    <row r="579" spans="1:12" ht="15.75" x14ac:dyDescent="0.25">
      <c r="A579" s="5"/>
      <c r="B579" s="7"/>
      <c r="C579" s="5"/>
      <c r="D579" s="5"/>
      <c r="E579" s="8"/>
      <c r="F579" s="9"/>
      <c r="G579" s="5"/>
      <c r="H579" s="28" t="str">
        <f>IFERROR(IF(AND(COUNTIF(RegistroPago!$A$1:$A$2000,Consolidado!B579)&gt;0,INDEX(RegistroPago!$E$1:$E$2000,MATCH(Consolidado!B579,RegistroPago!$A$1:$A$2000,0))&lt;&gt;""),"PAGADA",IF(I579&lt;&gt;"","PENDIENTE","SIN EMITIR")),"")</f>
        <v/>
      </c>
      <c r="I579" s="10"/>
      <c r="J579" s="2"/>
      <c r="K579" s="29"/>
      <c r="L579" s="29"/>
    </row>
    <row r="580" spans="1:12" ht="15.75" x14ac:dyDescent="0.25">
      <c r="A580" s="5"/>
      <c r="B580" s="7"/>
      <c r="C580" s="5"/>
      <c r="D580" s="5"/>
      <c r="E580" s="8"/>
      <c r="F580" s="9"/>
      <c r="G580" s="5"/>
      <c r="H580" s="28" t="str">
        <f>IFERROR(IF(AND(COUNTIF(RegistroPago!$A$1:$A$2000,Consolidado!B580)&gt;0,INDEX(RegistroPago!$E$1:$E$2000,MATCH(Consolidado!B580,RegistroPago!$A$1:$A$2000,0))&lt;&gt;""),"PAGADA",IF(I580&lt;&gt;"","PENDIENTE","SIN EMITIR")),"")</f>
        <v/>
      </c>
      <c r="I580" s="10"/>
      <c r="J580" s="2"/>
      <c r="K580" s="29"/>
      <c r="L580" s="29"/>
    </row>
    <row r="581" spans="1:12" ht="15.75" x14ac:dyDescent="0.25">
      <c r="A581" s="5"/>
      <c r="B581" s="7"/>
      <c r="C581" s="5"/>
      <c r="D581" s="5"/>
      <c r="E581" s="8"/>
      <c r="F581" s="9"/>
      <c r="G581" s="5"/>
      <c r="H581" s="28" t="str">
        <f>IFERROR(IF(AND(COUNTIF(RegistroPago!$A$1:$A$2000,Consolidado!B581)&gt;0,INDEX(RegistroPago!$E$1:$E$2000,MATCH(Consolidado!B581,RegistroPago!$A$1:$A$2000,0))&lt;&gt;""),"PAGADA",IF(I581&lt;&gt;"","PENDIENTE","SIN EMITIR")),"")</f>
        <v/>
      </c>
      <c r="I581" s="10"/>
      <c r="J581" s="2"/>
      <c r="K581" s="29"/>
      <c r="L581" s="29"/>
    </row>
    <row r="582" spans="1:12" ht="15.75" x14ac:dyDescent="0.25">
      <c r="A582" s="5"/>
      <c r="B582" s="7"/>
      <c r="C582" s="5"/>
      <c r="D582" s="5"/>
      <c r="E582" s="8"/>
      <c r="F582" s="9"/>
      <c r="G582" s="5"/>
      <c r="H582" s="28" t="str">
        <f>IFERROR(IF(AND(COUNTIF(RegistroPago!$A$1:$A$2000,Consolidado!B582)&gt;0,INDEX(RegistroPago!$E$1:$E$2000,MATCH(Consolidado!B582,RegistroPago!$A$1:$A$2000,0))&lt;&gt;""),"PAGADA",IF(I582&lt;&gt;"","PENDIENTE","SIN EMITIR")),"")</f>
        <v/>
      </c>
      <c r="I582" s="10"/>
      <c r="J582" s="2"/>
      <c r="K582" s="29"/>
      <c r="L582" s="29"/>
    </row>
    <row r="583" spans="1:12" ht="15.75" x14ac:dyDescent="0.25">
      <c r="A583" s="5"/>
      <c r="B583" s="7"/>
      <c r="C583" s="5"/>
      <c r="D583" s="5"/>
      <c r="E583" s="8"/>
      <c r="F583" s="9"/>
      <c r="G583" s="5"/>
      <c r="H583" s="28" t="str">
        <f>IFERROR(IF(AND(COUNTIF(RegistroPago!$A$1:$A$2000,Consolidado!B583)&gt;0,INDEX(RegistroPago!$E$1:$E$2000,MATCH(Consolidado!B583,RegistroPago!$A$1:$A$2000,0))&lt;&gt;""),"PAGADA",IF(I583&lt;&gt;"","PENDIENTE","SIN EMITIR")),"")</f>
        <v/>
      </c>
      <c r="I583" s="10"/>
      <c r="J583" s="2"/>
      <c r="K583" s="29"/>
      <c r="L583" s="29"/>
    </row>
    <row r="584" spans="1:12" ht="15.75" x14ac:dyDescent="0.25">
      <c r="A584" s="5"/>
      <c r="B584" s="7"/>
      <c r="C584" s="5"/>
      <c r="D584" s="5"/>
      <c r="E584" s="8"/>
      <c r="F584" s="9"/>
      <c r="G584" s="5"/>
      <c r="H584" s="28" t="str">
        <f>IFERROR(IF(AND(COUNTIF(RegistroPago!$A$1:$A$2000,Consolidado!B584)&gt;0,INDEX(RegistroPago!$E$1:$E$2000,MATCH(Consolidado!B584,RegistroPago!$A$1:$A$2000,0))&lt;&gt;""),"PAGADA",IF(I584&lt;&gt;"","PENDIENTE","SIN EMITIR")),"")</f>
        <v/>
      </c>
      <c r="I584" s="10"/>
      <c r="J584" s="2"/>
      <c r="K584" s="29"/>
      <c r="L584" s="29"/>
    </row>
    <row r="585" spans="1:12" ht="15.75" x14ac:dyDescent="0.25">
      <c r="A585" s="5"/>
      <c r="B585" s="7"/>
      <c r="C585" s="5"/>
      <c r="D585" s="5"/>
      <c r="E585" s="8"/>
      <c r="F585" s="9"/>
      <c r="G585" s="5"/>
      <c r="H585" s="28" t="str">
        <f>IFERROR(IF(AND(COUNTIF(RegistroPago!$A$1:$A$2000,Consolidado!B585)&gt;0,INDEX(RegistroPago!$E$1:$E$2000,MATCH(Consolidado!B585,RegistroPago!$A$1:$A$2000,0))&lt;&gt;""),"PAGADA",IF(I585&lt;&gt;"","PENDIENTE","SIN EMITIR")),"")</f>
        <v/>
      </c>
      <c r="I585" s="10"/>
      <c r="J585" s="2"/>
      <c r="K585" s="29"/>
      <c r="L585" s="29"/>
    </row>
    <row r="586" spans="1:12" ht="15.75" x14ac:dyDescent="0.25">
      <c r="A586" s="5"/>
      <c r="B586" s="7"/>
      <c r="C586" s="5"/>
      <c r="D586" s="5"/>
      <c r="E586" s="8"/>
      <c r="F586" s="9"/>
      <c r="G586" s="5"/>
      <c r="H586" s="28" t="str">
        <f>IFERROR(IF(AND(COUNTIF(RegistroPago!$A$1:$A$2000,Consolidado!B586)&gt;0,INDEX(RegistroPago!$E$1:$E$2000,MATCH(Consolidado!B586,RegistroPago!$A$1:$A$2000,0))&lt;&gt;""),"PAGADA",IF(I586&lt;&gt;"","PENDIENTE","SIN EMITIR")),"")</f>
        <v/>
      </c>
      <c r="I586" s="10"/>
      <c r="J586" s="2"/>
      <c r="K586" s="29"/>
      <c r="L586" s="29"/>
    </row>
    <row r="587" spans="1:12" ht="15.75" x14ac:dyDescent="0.25">
      <c r="A587" s="5"/>
      <c r="B587" s="7"/>
      <c r="C587" s="5"/>
      <c r="D587" s="5"/>
      <c r="E587" s="8"/>
      <c r="F587" s="9"/>
      <c r="G587" s="5"/>
      <c r="H587" s="28" t="str">
        <f>IFERROR(IF(AND(COUNTIF(RegistroPago!$A$1:$A$2000,Consolidado!B587)&gt;0,INDEX(RegistroPago!$E$1:$E$2000,MATCH(Consolidado!B587,RegistroPago!$A$1:$A$2000,0))&lt;&gt;""),"PAGADA",IF(I587&lt;&gt;"","PENDIENTE","SIN EMITIR")),"")</f>
        <v/>
      </c>
      <c r="I587" s="10"/>
      <c r="J587" s="2"/>
      <c r="K587" s="29"/>
      <c r="L587" s="29"/>
    </row>
    <row r="588" spans="1:12" ht="15.75" x14ac:dyDescent="0.25">
      <c r="A588" s="5"/>
      <c r="B588" s="7"/>
      <c r="C588" s="5"/>
      <c r="D588" s="5"/>
      <c r="E588" s="8"/>
      <c r="F588" s="9"/>
      <c r="G588" s="5"/>
      <c r="H588" s="28" t="str">
        <f>IFERROR(IF(AND(COUNTIF(RegistroPago!$A$1:$A$2000,Consolidado!B588)&gt;0,INDEX(RegistroPago!$E$1:$E$2000,MATCH(Consolidado!B588,RegistroPago!$A$1:$A$2000,0))&lt;&gt;""),"PAGADA",IF(I588&lt;&gt;"","PENDIENTE","SIN EMITIR")),"")</f>
        <v/>
      </c>
      <c r="I588" s="10"/>
      <c r="J588" s="2"/>
      <c r="K588" s="29"/>
      <c r="L588" s="29"/>
    </row>
    <row r="589" spans="1:12" ht="15.75" x14ac:dyDescent="0.25">
      <c r="A589" s="5"/>
      <c r="B589" s="7"/>
      <c r="C589" s="5"/>
      <c r="D589" s="5"/>
      <c r="E589" s="8"/>
      <c r="F589" s="9"/>
      <c r="G589" s="5"/>
      <c r="H589" s="28" t="str">
        <f>IFERROR(IF(AND(COUNTIF(RegistroPago!$A$1:$A$2000,Consolidado!B589)&gt;0,INDEX(RegistroPago!$E$1:$E$2000,MATCH(Consolidado!B589,RegistroPago!$A$1:$A$2000,0))&lt;&gt;""),"PAGADA",IF(I589&lt;&gt;"","PENDIENTE","SIN EMITIR")),"")</f>
        <v/>
      </c>
      <c r="I589" s="10"/>
      <c r="J589" s="2"/>
      <c r="K589" s="29"/>
      <c r="L589" s="29"/>
    </row>
    <row r="590" spans="1:12" ht="15.75" x14ac:dyDescent="0.25">
      <c r="A590" s="5"/>
      <c r="B590" s="7"/>
      <c r="C590" s="5"/>
      <c r="D590" s="5"/>
      <c r="E590" s="8"/>
      <c r="F590" s="9"/>
      <c r="G590" s="5"/>
      <c r="H590" s="28" t="str">
        <f>IFERROR(IF(AND(COUNTIF(RegistroPago!$A$1:$A$2000,Consolidado!B590)&gt;0,INDEX(RegistroPago!$E$1:$E$2000,MATCH(Consolidado!B590,RegistroPago!$A$1:$A$2000,0))&lt;&gt;""),"PAGADA",IF(I590&lt;&gt;"","PENDIENTE","SIN EMITIR")),"")</f>
        <v/>
      </c>
      <c r="I590" s="10"/>
      <c r="J590" s="2"/>
      <c r="K590" s="29"/>
      <c r="L590" s="29"/>
    </row>
    <row r="591" spans="1:12" ht="15.75" x14ac:dyDescent="0.25">
      <c r="A591" s="5"/>
      <c r="B591" s="7"/>
      <c r="C591" s="5"/>
      <c r="D591" s="5"/>
      <c r="E591" s="8"/>
      <c r="F591" s="9"/>
      <c r="G591" s="5"/>
      <c r="H591" s="28" t="str">
        <f>IFERROR(IF(AND(COUNTIF(RegistroPago!$A$1:$A$2000,Consolidado!B591)&gt;0,INDEX(RegistroPago!$E$1:$E$2000,MATCH(Consolidado!B591,RegistroPago!$A$1:$A$2000,0))&lt;&gt;""),"PAGADA",IF(I591&lt;&gt;"","PENDIENTE","SIN EMITIR")),"")</f>
        <v/>
      </c>
      <c r="I591" s="10"/>
      <c r="J591" s="2"/>
      <c r="K591" s="29"/>
      <c r="L591" s="29"/>
    </row>
    <row r="592" spans="1:12" ht="15.75" x14ac:dyDescent="0.25">
      <c r="A592" s="5"/>
      <c r="B592" s="7"/>
      <c r="C592" s="5"/>
      <c r="D592" s="5"/>
      <c r="E592" s="8"/>
      <c r="F592" s="9"/>
      <c r="G592" s="5"/>
      <c r="H592" s="28" t="str">
        <f>IFERROR(IF(AND(COUNTIF(RegistroPago!$A$1:$A$2000,Consolidado!B592)&gt;0,INDEX(RegistroPago!$E$1:$E$2000,MATCH(Consolidado!B592,RegistroPago!$A$1:$A$2000,0))&lt;&gt;""),"PAGADA",IF(I592&lt;&gt;"","PENDIENTE","SIN EMITIR")),"")</f>
        <v/>
      </c>
      <c r="I592" s="10"/>
      <c r="J592" s="2"/>
      <c r="K592" s="29"/>
      <c r="L592" s="29"/>
    </row>
    <row r="593" spans="1:12" ht="15.75" x14ac:dyDescent="0.25">
      <c r="A593" s="5"/>
      <c r="B593" s="7"/>
      <c r="C593" s="5"/>
      <c r="D593" s="5"/>
      <c r="E593" s="8"/>
      <c r="F593" s="9"/>
      <c r="G593" s="5"/>
      <c r="H593" s="28" t="str">
        <f>IFERROR(IF(AND(COUNTIF(RegistroPago!$A$1:$A$2000,Consolidado!B593)&gt;0,INDEX(RegistroPago!$E$1:$E$2000,MATCH(Consolidado!B593,RegistroPago!$A$1:$A$2000,0))&lt;&gt;""),"PAGADA",IF(I593&lt;&gt;"","PENDIENTE","SIN EMITIR")),"")</f>
        <v/>
      </c>
      <c r="I593" s="10"/>
      <c r="J593" s="2"/>
      <c r="K593" s="29"/>
      <c r="L593" s="29"/>
    </row>
    <row r="594" spans="1:12" ht="15.75" x14ac:dyDescent="0.25">
      <c r="A594" s="5"/>
      <c r="B594" s="7"/>
      <c r="C594" s="5"/>
      <c r="D594" s="5"/>
      <c r="E594" s="8"/>
      <c r="F594" s="9"/>
      <c r="G594" s="5"/>
      <c r="H594" s="28" t="str">
        <f>IFERROR(IF(AND(COUNTIF(RegistroPago!$A$1:$A$2000,Consolidado!B594)&gt;0,INDEX(RegistroPago!$E$1:$E$2000,MATCH(Consolidado!B594,RegistroPago!$A$1:$A$2000,0))&lt;&gt;""),"PAGADA",IF(I594&lt;&gt;"","PENDIENTE","SIN EMITIR")),"")</f>
        <v/>
      </c>
      <c r="I594" s="10"/>
      <c r="J594" s="2"/>
      <c r="K594" s="29"/>
      <c r="L594" s="29"/>
    </row>
    <row r="595" spans="1:12" ht="15.75" x14ac:dyDescent="0.25">
      <c r="A595" s="5"/>
      <c r="B595" s="7"/>
      <c r="C595" s="5"/>
      <c r="D595" s="5"/>
      <c r="E595" s="8"/>
      <c r="F595" s="9"/>
      <c r="G595" s="5"/>
      <c r="H595" s="28" t="str">
        <f>IFERROR(IF(AND(COUNTIF(RegistroPago!$A$1:$A$2000,Consolidado!B595)&gt;0,INDEX(RegistroPago!$E$1:$E$2000,MATCH(Consolidado!B595,RegistroPago!$A$1:$A$2000,0))&lt;&gt;""),"PAGADA",IF(I595&lt;&gt;"","PENDIENTE","SIN EMITIR")),"")</f>
        <v/>
      </c>
      <c r="I595" s="10"/>
      <c r="J595" s="2"/>
      <c r="K595" s="29"/>
      <c r="L595" s="29"/>
    </row>
    <row r="596" spans="1:12" ht="15.75" x14ac:dyDescent="0.25">
      <c r="A596" s="5"/>
      <c r="B596" s="7"/>
      <c r="C596" s="5"/>
      <c r="D596" s="5"/>
      <c r="E596" s="8"/>
      <c r="F596" s="9"/>
      <c r="G596" s="5"/>
      <c r="H596" s="28" t="str">
        <f>IFERROR(IF(AND(COUNTIF(RegistroPago!$A$1:$A$2000,Consolidado!B596)&gt;0,INDEX(RegistroPago!$E$1:$E$2000,MATCH(Consolidado!B596,RegistroPago!$A$1:$A$2000,0))&lt;&gt;""),"PAGADA",IF(I596&lt;&gt;"","PENDIENTE","SIN EMITIR")),"")</f>
        <v/>
      </c>
      <c r="I596" s="10"/>
      <c r="J596" s="2"/>
      <c r="K596" s="29"/>
      <c r="L596" s="29"/>
    </row>
    <row r="597" spans="1:12" ht="15.75" x14ac:dyDescent="0.25">
      <c r="A597" s="5"/>
      <c r="B597" s="7"/>
      <c r="C597" s="5"/>
      <c r="D597" s="5"/>
      <c r="E597" s="8"/>
      <c r="F597" s="9"/>
      <c r="G597" s="5"/>
      <c r="H597" s="28" t="str">
        <f>IFERROR(IF(AND(COUNTIF(RegistroPago!$A$1:$A$2000,Consolidado!B597)&gt;0,INDEX(RegistroPago!$E$1:$E$2000,MATCH(Consolidado!B597,RegistroPago!$A$1:$A$2000,0))&lt;&gt;""),"PAGADA",IF(I597&lt;&gt;"","PENDIENTE","SIN EMITIR")),"")</f>
        <v/>
      </c>
      <c r="I597" s="10"/>
      <c r="J597" s="2"/>
      <c r="K597" s="29"/>
      <c r="L597" s="29"/>
    </row>
    <row r="598" spans="1:12" ht="15.75" x14ac:dyDescent="0.25">
      <c r="A598" s="5"/>
      <c r="B598" s="7"/>
      <c r="C598" s="5"/>
      <c r="D598" s="5"/>
      <c r="E598" s="8"/>
      <c r="F598" s="9"/>
      <c r="G598" s="5"/>
      <c r="H598" s="28" t="str">
        <f>IFERROR(IF(AND(COUNTIF(RegistroPago!$A$1:$A$2000,Consolidado!B598)&gt;0,INDEX(RegistroPago!$E$1:$E$2000,MATCH(Consolidado!B598,RegistroPago!$A$1:$A$2000,0))&lt;&gt;""),"PAGADA",IF(I598&lt;&gt;"","PENDIENTE","SIN EMITIR")),"")</f>
        <v/>
      </c>
      <c r="I598" s="10"/>
      <c r="J598" s="2"/>
      <c r="K598" s="29"/>
      <c r="L598" s="29"/>
    </row>
    <row r="599" spans="1:12" ht="15.75" x14ac:dyDescent="0.25">
      <c r="A599" s="5"/>
      <c r="B599" s="7"/>
      <c r="C599" s="5"/>
      <c r="D599" s="5"/>
      <c r="E599" s="8"/>
      <c r="F599" s="9"/>
      <c r="G599" s="5"/>
      <c r="H599" s="28" t="str">
        <f>IFERROR(IF(AND(COUNTIF(RegistroPago!$A$1:$A$2000,Consolidado!B599)&gt;0,INDEX(RegistroPago!$E$1:$E$2000,MATCH(Consolidado!B599,RegistroPago!$A$1:$A$2000,0))&lt;&gt;""),"PAGADA",IF(I599&lt;&gt;"","PENDIENTE","SIN EMITIR")),"")</f>
        <v/>
      </c>
      <c r="I599" s="10"/>
      <c r="J599" s="2"/>
      <c r="K599" s="29"/>
      <c r="L599" s="29"/>
    </row>
    <row r="600" spans="1:12" ht="15.75" x14ac:dyDescent="0.25">
      <c r="A600" s="5"/>
      <c r="B600" s="7"/>
      <c r="C600" s="5"/>
      <c r="D600" s="5"/>
      <c r="E600" s="8"/>
      <c r="F600" s="9"/>
      <c r="G600" s="5"/>
      <c r="H600" s="28" t="str">
        <f>IFERROR(IF(AND(COUNTIF(RegistroPago!$A$1:$A$2000,Consolidado!B600)&gt;0,INDEX(RegistroPago!$E$1:$E$2000,MATCH(Consolidado!B600,RegistroPago!$A$1:$A$2000,0))&lt;&gt;""),"PAGADA",IF(I600&lt;&gt;"","PENDIENTE","SIN EMITIR")),"")</f>
        <v/>
      </c>
      <c r="I600" s="10"/>
      <c r="J600" s="2"/>
      <c r="K600" s="29"/>
      <c r="L600" s="29"/>
    </row>
    <row r="601" spans="1:12" ht="15.75" x14ac:dyDescent="0.25">
      <c r="A601" s="5"/>
      <c r="B601" s="7"/>
      <c r="C601" s="5"/>
      <c r="D601" s="5"/>
      <c r="E601" s="8"/>
      <c r="F601" s="9"/>
      <c r="G601" s="5"/>
      <c r="H601" s="28" t="str">
        <f>IFERROR(IF(AND(COUNTIF(RegistroPago!$A$1:$A$2000,Consolidado!B601)&gt;0,INDEX(RegistroPago!$E$1:$E$2000,MATCH(Consolidado!B601,RegistroPago!$A$1:$A$2000,0))&lt;&gt;""),"PAGADA",IF(I601&lt;&gt;"","PENDIENTE","SIN EMITIR")),"")</f>
        <v/>
      </c>
      <c r="I601" s="10"/>
      <c r="J601" s="2"/>
      <c r="K601" s="29"/>
      <c r="L601" s="29"/>
    </row>
    <row r="602" spans="1:12" ht="15.75" x14ac:dyDescent="0.25">
      <c r="A602" s="5"/>
      <c r="B602" s="7"/>
      <c r="C602" s="5"/>
      <c r="D602" s="5"/>
      <c r="E602" s="8"/>
      <c r="F602" s="9"/>
      <c r="G602" s="5"/>
      <c r="H602" s="28" t="str">
        <f>IFERROR(IF(AND(COUNTIF(RegistroPago!$A$1:$A$2000,Consolidado!B602)&gt;0,INDEX(RegistroPago!$E$1:$E$2000,MATCH(Consolidado!B602,RegistroPago!$A$1:$A$2000,0))&lt;&gt;""),"PAGADA",IF(I602&lt;&gt;"","PENDIENTE","SIN EMITIR")),"")</f>
        <v/>
      </c>
      <c r="I602" s="10"/>
      <c r="J602" s="2"/>
      <c r="K602" s="29"/>
      <c r="L602" s="29"/>
    </row>
    <row r="603" spans="1:12" ht="15.75" x14ac:dyDescent="0.25">
      <c r="A603" s="5"/>
      <c r="B603" s="7"/>
      <c r="C603" s="5"/>
      <c r="D603" s="5"/>
      <c r="E603" s="8"/>
      <c r="F603" s="9"/>
      <c r="G603" s="5"/>
      <c r="H603" s="28" t="str">
        <f>IFERROR(IF(AND(COUNTIF(RegistroPago!$A$1:$A$2000,Consolidado!B603)&gt;0,INDEX(RegistroPago!$E$1:$E$2000,MATCH(Consolidado!B603,RegistroPago!$A$1:$A$2000,0))&lt;&gt;""),"PAGADA",IF(I603&lt;&gt;"","PENDIENTE","SIN EMITIR")),"")</f>
        <v/>
      </c>
      <c r="I603" s="10"/>
      <c r="J603" s="2"/>
      <c r="K603" s="29"/>
      <c r="L603" s="29"/>
    </row>
    <row r="604" spans="1:12" ht="15.75" x14ac:dyDescent="0.25">
      <c r="A604" s="5"/>
      <c r="B604" s="7"/>
      <c r="C604" s="5"/>
      <c r="D604" s="5"/>
      <c r="E604" s="8"/>
      <c r="F604" s="9"/>
      <c r="G604" s="5"/>
      <c r="H604" s="28" t="str">
        <f>IFERROR(IF(AND(COUNTIF(RegistroPago!$A$1:$A$2000,Consolidado!B604)&gt;0,INDEX(RegistroPago!$E$1:$E$2000,MATCH(Consolidado!B604,RegistroPago!$A$1:$A$2000,0))&lt;&gt;""),"PAGADA",IF(I604&lt;&gt;"","PENDIENTE","SIN EMITIR")),"")</f>
        <v/>
      </c>
      <c r="I604" s="10"/>
      <c r="J604" s="2"/>
      <c r="K604" s="29"/>
      <c r="L604" s="29"/>
    </row>
    <row r="605" spans="1:12" ht="15.75" x14ac:dyDescent="0.25">
      <c r="A605" s="5"/>
      <c r="B605" s="7"/>
      <c r="C605" s="5"/>
      <c r="D605" s="5"/>
      <c r="E605" s="8"/>
      <c r="F605" s="9"/>
      <c r="G605" s="5"/>
      <c r="H605" s="28" t="str">
        <f>IFERROR(IF(AND(COUNTIF(RegistroPago!$A$1:$A$2000,Consolidado!B605)&gt;0,INDEX(RegistroPago!$E$1:$E$2000,MATCH(Consolidado!B605,RegistroPago!$A$1:$A$2000,0))&lt;&gt;""),"PAGADA",IF(I605&lt;&gt;"","PENDIENTE","SIN EMITIR")),"")</f>
        <v/>
      </c>
      <c r="I605" s="10"/>
      <c r="J605" s="2"/>
      <c r="K605" s="29"/>
      <c r="L605" s="29"/>
    </row>
    <row r="606" spans="1:12" ht="15.75" x14ac:dyDescent="0.25">
      <c r="A606" s="5"/>
      <c r="B606" s="7"/>
      <c r="C606" s="5"/>
      <c r="D606" s="5"/>
      <c r="E606" s="8"/>
      <c r="F606" s="9"/>
      <c r="G606" s="5"/>
      <c r="H606" s="28" t="str">
        <f>IFERROR(IF(AND(COUNTIF(RegistroPago!$A$1:$A$2000,Consolidado!B606)&gt;0,INDEX(RegistroPago!$E$1:$E$2000,MATCH(Consolidado!B606,RegistroPago!$A$1:$A$2000,0))&lt;&gt;""),"PAGADA",IF(I606&lt;&gt;"","PENDIENTE","SIN EMITIR")),"")</f>
        <v/>
      </c>
      <c r="I606" s="10"/>
      <c r="J606" s="2"/>
      <c r="K606" s="29"/>
      <c r="L606" s="29"/>
    </row>
    <row r="607" spans="1:12" ht="15.75" x14ac:dyDescent="0.25">
      <c r="A607" s="5"/>
      <c r="B607" s="7"/>
      <c r="C607" s="5"/>
      <c r="D607" s="5"/>
      <c r="E607" s="8"/>
      <c r="F607" s="9"/>
      <c r="G607" s="5"/>
      <c r="H607" s="28" t="str">
        <f>IFERROR(IF(AND(COUNTIF(RegistroPago!$A$1:$A$2000,Consolidado!B607)&gt;0,INDEX(RegistroPago!$E$1:$E$2000,MATCH(Consolidado!B607,RegistroPago!$A$1:$A$2000,0))&lt;&gt;""),"PAGADA",IF(I607&lt;&gt;"","PENDIENTE","SIN EMITIR")),"")</f>
        <v/>
      </c>
      <c r="I607" s="10"/>
      <c r="J607" s="2"/>
      <c r="K607" s="29"/>
      <c r="L607" s="29"/>
    </row>
    <row r="608" spans="1:12" ht="15.75" x14ac:dyDescent="0.25">
      <c r="A608" s="5"/>
      <c r="B608" s="7"/>
      <c r="C608" s="5"/>
      <c r="D608" s="5"/>
      <c r="E608" s="8"/>
      <c r="F608" s="9"/>
      <c r="G608" s="5"/>
      <c r="H608" s="28" t="str">
        <f>IFERROR(IF(AND(COUNTIF(RegistroPago!$A$1:$A$2000,Consolidado!B608)&gt;0,INDEX(RegistroPago!$E$1:$E$2000,MATCH(Consolidado!B608,RegistroPago!$A$1:$A$2000,0))&lt;&gt;""),"PAGADA",IF(I608&lt;&gt;"","PENDIENTE","SIN EMITIR")),"")</f>
        <v/>
      </c>
      <c r="I608" s="10"/>
      <c r="J608" s="2"/>
      <c r="K608" s="29"/>
      <c r="L608" s="29"/>
    </row>
    <row r="609" spans="1:12" ht="15.75" x14ac:dyDescent="0.25">
      <c r="A609" s="5"/>
      <c r="B609" s="7"/>
      <c r="C609" s="5"/>
      <c r="D609" s="5"/>
      <c r="E609" s="8"/>
      <c r="F609" s="9"/>
      <c r="G609" s="5"/>
      <c r="H609" s="28" t="str">
        <f>IFERROR(IF(AND(COUNTIF(RegistroPago!$A$1:$A$2000,Consolidado!B609)&gt;0,INDEX(RegistroPago!$E$1:$E$2000,MATCH(Consolidado!B609,RegistroPago!$A$1:$A$2000,0))&lt;&gt;""),"PAGADA",IF(I609&lt;&gt;"","PENDIENTE","SIN EMITIR")),"")</f>
        <v/>
      </c>
      <c r="I609" s="10"/>
      <c r="J609" s="2"/>
      <c r="K609" s="29"/>
      <c r="L609" s="29"/>
    </row>
    <row r="610" spans="1:12" ht="15.75" x14ac:dyDescent="0.25">
      <c r="A610" s="5"/>
      <c r="B610" s="7"/>
      <c r="C610" s="5"/>
      <c r="D610" s="5"/>
      <c r="E610" s="8"/>
      <c r="F610" s="9"/>
      <c r="G610" s="5"/>
      <c r="H610" s="28" t="str">
        <f>IFERROR(IF(AND(COUNTIF(RegistroPago!$A$1:$A$2000,Consolidado!B610)&gt;0,INDEX(RegistroPago!$E$1:$E$2000,MATCH(Consolidado!B610,RegistroPago!$A$1:$A$2000,0))&lt;&gt;""),"PAGADA",IF(I610&lt;&gt;"","PENDIENTE","SIN EMITIR")),"")</f>
        <v/>
      </c>
      <c r="I610" s="10"/>
      <c r="J610" s="2"/>
      <c r="K610" s="29"/>
      <c r="L610" s="29"/>
    </row>
    <row r="611" spans="1:12" ht="15.75" x14ac:dyDescent="0.25">
      <c r="A611" s="5"/>
      <c r="B611" s="7"/>
      <c r="C611" s="5"/>
      <c r="D611" s="5"/>
      <c r="E611" s="8"/>
      <c r="F611" s="9"/>
      <c r="G611" s="5"/>
      <c r="H611" s="28" t="str">
        <f>IFERROR(IF(AND(COUNTIF(RegistroPago!$A$1:$A$2000,Consolidado!B611)&gt;0,INDEX(RegistroPago!$E$1:$E$2000,MATCH(Consolidado!B611,RegistroPago!$A$1:$A$2000,0))&lt;&gt;""),"PAGADA",IF(I611&lt;&gt;"","PENDIENTE","SIN EMITIR")),"")</f>
        <v/>
      </c>
      <c r="I611" s="10"/>
      <c r="J611" s="2"/>
      <c r="K611" s="29"/>
      <c r="L611" s="29"/>
    </row>
    <row r="612" spans="1:12" ht="15.75" x14ac:dyDescent="0.25">
      <c r="A612" s="5"/>
      <c r="B612" s="7"/>
      <c r="C612" s="5"/>
      <c r="D612" s="5"/>
      <c r="E612" s="8"/>
      <c r="F612" s="9"/>
      <c r="G612" s="5"/>
      <c r="H612" s="28" t="str">
        <f>IFERROR(IF(AND(COUNTIF(RegistroPago!$A$1:$A$2000,Consolidado!B612)&gt;0,INDEX(RegistroPago!$E$1:$E$2000,MATCH(Consolidado!B612,RegistroPago!$A$1:$A$2000,0))&lt;&gt;""),"PAGADA",IF(I612&lt;&gt;"","PENDIENTE","SIN EMITIR")),"")</f>
        <v/>
      </c>
      <c r="I612" s="10"/>
      <c r="J612" s="2"/>
      <c r="K612" s="29"/>
      <c r="L612" s="29"/>
    </row>
    <row r="613" spans="1:12" ht="15.75" x14ac:dyDescent="0.25">
      <c r="A613" s="5"/>
      <c r="B613" s="7"/>
      <c r="C613" s="5"/>
      <c r="D613" s="5"/>
      <c r="E613" s="8"/>
      <c r="F613" s="9"/>
      <c r="G613" s="5"/>
      <c r="H613" s="28" t="str">
        <f>IFERROR(IF(AND(COUNTIF(RegistroPago!$A$1:$A$2000,Consolidado!B613)&gt;0,INDEX(RegistroPago!$E$1:$E$2000,MATCH(Consolidado!B613,RegistroPago!$A$1:$A$2000,0))&lt;&gt;""),"PAGADA",IF(I613&lt;&gt;"","PENDIENTE","SIN EMITIR")),"")</f>
        <v/>
      </c>
      <c r="I613" s="10"/>
      <c r="J613" s="2"/>
      <c r="K613" s="29"/>
      <c r="L613" s="29"/>
    </row>
    <row r="614" spans="1:12" ht="15.75" x14ac:dyDescent="0.25">
      <c r="A614" s="5"/>
      <c r="B614" s="7"/>
      <c r="C614" s="5"/>
      <c r="D614" s="5"/>
      <c r="E614" s="8"/>
      <c r="F614" s="9"/>
      <c r="G614" s="5"/>
      <c r="H614" s="28" t="str">
        <f>IFERROR(IF(AND(COUNTIF(RegistroPago!$A$1:$A$2000,Consolidado!B614)&gt;0,INDEX(RegistroPago!$E$1:$E$2000,MATCH(Consolidado!B614,RegistroPago!$A$1:$A$2000,0))&lt;&gt;""),"PAGADA",IF(I614&lt;&gt;"","PENDIENTE","SIN EMITIR")),"")</f>
        <v/>
      </c>
      <c r="I614" s="10"/>
      <c r="J614" s="2"/>
      <c r="K614" s="29"/>
      <c r="L614" s="29"/>
    </row>
    <row r="615" spans="1:12" ht="15.75" x14ac:dyDescent="0.25">
      <c r="A615" s="5"/>
      <c r="B615" s="7"/>
      <c r="C615" s="5"/>
      <c r="D615" s="5"/>
      <c r="E615" s="8"/>
      <c r="F615" s="9"/>
      <c r="G615" s="5"/>
      <c r="H615" s="28" t="str">
        <f>IFERROR(IF(AND(COUNTIF(RegistroPago!$A$1:$A$2000,Consolidado!B615)&gt;0,INDEX(RegistroPago!$E$1:$E$2000,MATCH(Consolidado!B615,RegistroPago!$A$1:$A$2000,0))&lt;&gt;""),"PAGADA",IF(I615&lt;&gt;"","PENDIENTE","SIN EMITIR")),"")</f>
        <v/>
      </c>
      <c r="I615" s="10"/>
      <c r="J615" s="2"/>
      <c r="K615" s="29"/>
      <c r="L615" s="29"/>
    </row>
    <row r="616" spans="1:12" ht="15.75" x14ac:dyDescent="0.25">
      <c r="A616" s="5"/>
      <c r="B616" s="7"/>
      <c r="C616" s="5"/>
      <c r="D616" s="5"/>
      <c r="E616" s="8"/>
      <c r="F616" s="9"/>
      <c r="G616" s="5"/>
      <c r="H616" s="28" t="str">
        <f>IFERROR(IF(AND(COUNTIF(RegistroPago!$A$1:$A$2000,Consolidado!B616)&gt;0,INDEX(RegistroPago!$E$1:$E$2000,MATCH(Consolidado!B616,RegistroPago!$A$1:$A$2000,0))&lt;&gt;""),"PAGADA",IF(I616&lt;&gt;"","PENDIENTE","SIN EMITIR")),"")</f>
        <v/>
      </c>
      <c r="I616" s="10"/>
      <c r="J616" s="2"/>
      <c r="K616" s="29"/>
      <c r="L616" s="29"/>
    </row>
    <row r="617" spans="1:12" ht="15.75" x14ac:dyDescent="0.25">
      <c r="A617" s="5"/>
      <c r="B617" s="7"/>
      <c r="C617" s="5"/>
      <c r="D617" s="5"/>
      <c r="E617" s="8"/>
      <c r="F617" s="9"/>
      <c r="G617" s="5"/>
      <c r="H617" s="28" t="str">
        <f>IFERROR(IF(AND(COUNTIF(RegistroPago!$A$1:$A$2000,Consolidado!B617)&gt;0,INDEX(RegistroPago!$E$1:$E$2000,MATCH(Consolidado!B617,RegistroPago!$A$1:$A$2000,0))&lt;&gt;""),"PAGADA",IF(I617&lt;&gt;"","PENDIENTE","SIN EMITIR")),"")</f>
        <v/>
      </c>
      <c r="I617" s="10"/>
      <c r="J617" s="2"/>
      <c r="K617" s="29"/>
      <c r="L617" s="29"/>
    </row>
    <row r="618" spans="1:12" ht="15.75" x14ac:dyDescent="0.25">
      <c r="A618" s="5"/>
      <c r="B618" s="7"/>
      <c r="C618" s="5"/>
      <c r="D618" s="5"/>
      <c r="E618" s="8"/>
      <c r="F618" s="9"/>
      <c r="G618" s="5"/>
      <c r="H618" s="28" t="str">
        <f>IFERROR(IF(AND(COUNTIF(RegistroPago!$A$1:$A$2000,Consolidado!B618)&gt;0,INDEX(RegistroPago!$E$1:$E$2000,MATCH(Consolidado!B618,RegistroPago!$A$1:$A$2000,0))&lt;&gt;""),"PAGADA",IF(I618&lt;&gt;"","PENDIENTE","SIN EMITIR")),"")</f>
        <v/>
      </c>
      <c r="I618" s="10"/>
      <c r="J618" s="2"/>
      <c r="K618" s="29"/>
      <c r="L618" s="29"/>
    </row>
    <row r="619" spans="1:12" ht="15.75" x14ac:dyDescent="0.25">
      <c r="A619" s="5"/>
      <c r="B619" s="7"/>
      <c r="C619" s="5"/>
      <c r="D619" s="5"/>
      <c r="E619" s="8"/>
      <c r="F619" s="9"/>
      <c r="G619" s="5"/>
      <c r="H619" s="28" t="str">
        <f>IFERROR(IF(AND(COUNTIF(RegistroPago!$A$1:$A$2000,Consolidado!B619)&gt;0,INDEX(RegistroPago!$E$1:$E$2000,MATCH(Consolidado!B619,RegistroPago!$A$1:$A$2000,0))&lt;&gt;""),"PAGADA",IF(I619&lt;&gt;"","PENDIENTE","SIN EMITIR")),"")</f>
        <v/>
      </c>
      <c r="I619" s="10"/>
      <c r="J619" s="2"/>
      <c r="K619" s="29"/>
      <c r="L619" s="29"/>
    </row>
    <row r="620" spans="1:12" ht="15.75" x14ac:dyDescent="0.25">
      <c r="A620" s="5"/>
      <c r="B620" s="7"/>
      <c r="C620" s="5"/>
      <c r="D620" s="5"/>
      <c r="E620" s="8"/>
      <c r="F620" s="9"/>
      <c r="G620" s="5"/>
      <c r="H620" s="28" t="str">
        <f>IFERROR(IF(AND(COUNTIF(RegistroPago!$A$1:$A$2000,Consolidado!B620)&gt;0,INDEX(RegistroPago!$E$1:$E$2000,MATCH(Consolidado!B620,RegistroPago!$A$1:$A$2000,0))&lt;&gt;""),"PAGADA",IF(I620&lt;&gt;"","PENDIENTE","SIN EMITIR")),"")</f>
        <v/>
      </c>
      <c r="I620" s="10"/>
      <c r="J620" s="2"/>
      <c r="K620" s="29"/>
      <c r="L620" s="29"/>
    </row>
    <row r="621" spans="1:12" ht="15.75" x14ac:dyDescent="0.25">
      <c r="A621" s="5"/>
      <c r="B621" s="7"/>
      <c r="C621" s="5"/>
      <c r="D621" s="5"/>
      <c r="E621" s="8"/>
      <c r="F621" s="9"/>
      <c r="G621" s="5"/>
      <c r="H621" s="28" t="str">
        <f>IFERROR(IF(AND(COUNTIF(RegistroPago!$A$1:$A$2000,Consolidado!B621)&gt;0,INDEX(RegistroPago!$E$1:$E$2000,MATCH(Consolidado!B621,RegistroPago!$A$1:$A$2000,0))&lt;&gt;""),"PAGADA",IF(I621&lt;&gt;"","PENDIENTE","SIN EMITIR")),"")</f>
        <v/>
      </c>
      <c r="I621" s="10"/>
      <c r="J621" s="2"/>
      <c r="K621" s="29"/>
      <c r="L621" s="29"/>
    </row>
    <row r="622" spans="1:12" ht="15.75" x14ac:dyDescent="0.25">
      <c r="A622" s="5"/>
      <c r="B622" s="7"/>
      <c r="C622" s="5"/>
      <c r="D622" s="5"/>
      <c r="E622" s="8"/>
      <c r="F622" s="9"/>
      <c r="G622" s="5"/>
      <c r="H622" s="28" t="str">
        <f>IFERROR(IF(AND(COUNTIF(RegistroPago!$A$1:$A$2000,Consolidado!B622)&gt;0,INDEX(RegistroPago!$E$1:$E$2000,MATCH(Consolidado!B622,RegistroPago!$A$1:$A$2000,0))&lt;&gt;""),"PAGADA",IF(I622&lt;&gt;"","PENDIENTE","SIN EMITIR")),"")</f>
        <v/>
      </c>
      <c r="I622" s="10"/>
      <c r="J622" s="2"/>
      <c r="K622" s="29"/>
      <c r="L622" s="29"/>
    </row>
    <row r="623" spans="1:12" ht="15.75" x14ac:dyDescent="0.25">
      <c r="A623" s="5"/>
      <c r="B623" s="7"/>
      <c r="C623" s="5"/>
      <c r="D623" s="5"/>
      <c r="E623" s="8"/>
      <c r="F623" s="9"/>
      <c r="G623" s="5"/>
      <c r="H623" s="28" t="str">
        <f>IFERROR(IF(AND(COUNTIF(RegistroPago!$A$1:$A$2000,Consolidado!B623)&gt;0,INDEX(RegistroPago!$E$1:$E$2000,MATCH(Consolidado!B623,RegistroPago!$A$1:$A$2000,0))&lt;&gt;""),"PAGADA",IF(I623&lt;&gt;"","PENDIENTE","SIN EMITIR")),"")</f>
        <v/>
      </c>
      <c r="I623" s="10"/>
      <c r="J623" s="2"/>
      <c r="K623" s="29"/>
      <c r="L623" s="29"/>
    </row>
    <row r="624" spans="1:12" ht="15.75" x14ac:dyDescent="0.25">
      <c r="A624" s="5"/>
      <c r="B624" s="7"/>
      <c r="C624" s="5"/>
      <c r="D624" s="5"/>
      <c r="E624" s="8"/>
      <c r="F624" s="9"/>
      <c r="G624" s="5"/>
      <c r="H624" s="28" t="str">
        <f>IFERROR(IF(AND(COUNTIF(RegistroPago!$A$1:$A$2000,Consolidado!B624)&gt;0,INDEX(RegistroPago!$E$1:$E$2000,MATCH(Consolidado!B624,RegistroPago!$A$1:$A$2000,0))&lt;&gt;""),"PAGADA",IF(I624&lt;&gt;"","PENDIENTE","SIN EMITIR")),"")</f>
        <v/>
      </c>
      <c r="I624" s="10"/>
      <c r="J624" s="2"/>
      <c r="K624" s="29"/>
      <c r="L624" s="29"/>
    </row>
    <row r="625" spans="1:12" ht="15.75" x14ac:dyDescent="0.25">
      <c r="A625" s="5"/>
      <c r="B625" s="7"/>
      <c r="C625" s="5"/>
      <c r="D625" s="5"/>
      <c r="E625" s="8"/>
      <c r="F625" s="9"/>
      <c r="G625" s="5"/>
      <c r="H625" s="28" t="str">
        <f>IFERROR(IF(AND(COUNTIF(RegistroPago!$A$1:$A$2000,Consolidado!B625)&gt;0,INDEX(RegistroPago!$E$1:$E$2000,MATCH(Consolidado!B625,RegistroPago!$A$1:$A$2000,0))&lt;&gt;""),"PAGADA",IF(I625&lt;&gt;"","PENDIENTE","SIN EMITIR")),"")</f>
        <v/>
      </c>
      <c r="I625" s="10"/>
      <c r="J625" s="2"/>
      <c r="K625" s="29"/>
      <c r="L625" s="29"/>
    </row>
    <row r="626" spans="1:12" ht="15.75" x14ac:dyDescent="0.25">
      <c r="A626" s="5"/>
      <c r="B626" s="7"/>
      <c r="C626" s="5"/>
      <c r="D626" s="5"/>
      <c r="E626" s="8"/>
      <c r="F626" s="9"/>
      <c r="G626" s="5"/>
      <c r="H626" s="28" t="str">
        <f>IFERROR(IF(AND(COUNTIF(RegistroPago!$A$1:$A$2000,Consolidado!B626)&gt;0,INDEX(RegistroPago!$E$1:$E$2000,MATCH(Consolidado!B626,RegistroPago!$A$1:$A$2000,0))&lt;&gt;""),"PAGADA",IF(I626&lt;&gt;"","PENDIENTE","SIN EMITIR")),"")</f>
        <v/>
      </c>
      <c r="I626" s="10"/>
      <c r="J626" s="2"/>
      <c r="K626" s="29"/>
      <c r="L626" s="29"/>
    </row>
    <row r="627" spans="1:12" ht="15.75" x14ac:dyDescent="0.25">
      <c r="A627" s="5"/>
      <c r="B627" s="7"/>
      <c r="C627" s="5"/>
      <c r="D627" s="5"/>
      <c r="E627" s="8"/>
      <c r="F627" s="9"/>
      <c r="G627" s="5"/>
      <c r="H627" s="28" t="str">
        <f>IFERROR(IF(AND(COUNTIF(RegistroPago!$A$1:$A$2000,Consolidado!B627)&gt;0,INDEX(RegistroPago!$E$1:$E$2000,MATCH(Consolidado!B627,RegistroPago!$A$1:$A$2000,0))&lt;&gt;""),"PAGADA",IF(I627&lt;&gt;"","PENDIENTE","SIN EMITIR")),"")</f>
        <v/>
      </c>
      <c r="I627" s="10"/>
      <c r="J627" s="2"/>
      <c r="K627" s="29"/>
      <c r="L627" s="29"/>
    </row>
    <row r="628" spans="1:12" ht="15.75" x14ac:dyDescent="0.25">
      <c r="A628" s="5"/>
      <c r="B628" s="7"/>
      <c r="C628" s="5"/>
      <c r="D628" s="5"/>
      <c r="E628" s="8"/>
      <c r="F628" s="9"/>
      <c r="G628" s="5"/>
      <c r="H628" s="28" t="str">
        <f>IFERROR(IF(AND(COUNTIF(RegistroPago!$A$1:$A$2000,Consolidado!B628)&gt;0,INDEX(RegistroPago!$E$1:$E$2000,MATCH(Consolidado!B628,RegistroPago!$A$1:$A$2000,0))&lt;&gt;""),"PAGADA",IF(I628&lt;&gt;"","PENDIENTE","SIN EMITIR")),"")</f>
        <v/>
      </c>
      <c r="I628" s="10"/>
      <c r="J628" s="2"/>
      <c r="K628" s="29"/>
      <c r="L628" s="29"/>
    </row>
    <row r="629" spans="1:12" ht="15.75" x14ac:dyDescent="0.25">
      <c r="A629" s="5"/>
      <c r="B629" s="7"/>
      <c r="C629" s="5"/>
      <c r="D629" s="5"/>
      <c r="E629" s="8"/>
      <c r="F629" s="9"/>
      <c r="G629" s="5"/>
      <c r="H629" s="28" t="str">
        <f>IFERROR(IF(AND(COUNTIF(RegistroPago!$A$1:$A$2000,Consolidado!B629)&gt;0,INDEX(RegistroPago!$E$1:$E$2000,MATCH(Consolidado!B629,RegistroPago!$A$1:$A$2000,0))&lt;&gt;""),"PAGADA",IF(I629&lt;&gt;"","PENDIENTE","SIN EMITIR")),"")</f>
        <v/>
      </c>
      <c r="I629" s="10"/>
      <c r="J629" s="2"/>
      <c r="K629" s="29"/>
      <c r="L629" s="29"/>
    </row>
    <row r="630" spans="1:12" ht="15.75" x14ac:dyDescent="0.25">
      <c r="A630" s="5"/>
      <c r="B630" s="7"/>
      <c r="C630" s="5"/>
      <c r="D630" s="5"/>
      <c r="E630" s="8"/>
      <c r="F630" s="9"/>
      <c r="G630" s="5"/>
      <c r="H630" s="28" t="str">
        <f>IFERROR(IF(AND(COUNTIF(RegistroPago!$A$1:$A$2000,Consolidado!B630)&gt;0,INDEX(RegistroPago!$E$1:$E$2000,MATCH(Consolidado!B630,RegistroPago!$A$1:$A$2000,0))&lt;&gt;""),"PAGADA",IF(I630&lt;&gt;"","PENDIENTE","SIN EMITIR")),"")</f>
        <v/>
      </c>
      <c r="I630" s="10"/>
      <c r="J630" s="2"/>
      <c r="K630" s="29"/>
      <c r="L630" s="29"/>
    </row>
    <row r="631" spans="1:12" ht="15.75" x14ac:dyDescent="0.25">
      <c r="A631" s="5"/>
      <c r="B631" s="7"/>
      <c r="C631" s="5"/>
      <c r="D631" s="5"/>
      <c r="E631" s="8"/>
      <c r="F631" s="9"/>
      <c r="G631" s="5"/>
      <c r="H631" s="28" t="str">
        <f>IFERROR(IF(AND(COUNTIF(RegistroPago!$A$1:$A$2000,Consolidado!B631)&gt;0,INDEX(RegistroPago!$E$1:$E$2000,MATCH(Consolidado!B631,RegistroPago!$A$1:$A$2000,0))&lt;&gt;""),"PAGADA",IF(I631&lt;&gt;"","PENDIENTE","SIN EMITIR")),"")</f>
        <v/>
      </c>
      <c r="I631" s="10"/>
      <c r="J631" s="2"/>
      <c r="K631" s="29"/>
      <c r="L631" s="29"/>
    </row>
    <row r="632" spans="1:12" ht="15.75" x14ac:dyDescent="0.25">
      <c r="A632" s="5"/>
      <c r="B632" s="7"/>
      <c r="C632" s="5"/>
      <c r="D632" s="5"/>
      <c r="E632" s="8"/>
      <c r="F632" s="9"/>
      <c r="G632" s="5"/>
      <c r="H632" s="28" t="str">
        <f>IFERROR(IF(AND(COUNTIF(RegistroPago!$A$1:$A$2000,Consolidado!B632)&gt;0,INDEX(RegistroPago!$E$1:$E$2000,MATCH(Consolidado!B632,RegistroPago!$A$1:$A$2000,0))&lt;&gt;""),"PAGADA",IF(I632&lt;&gt;"","PENDIENTE","SIN EMITIR")),"")</f>
        <v/>
      </c>
      <c r="I632" s="10"/>
      <c r="J632" s="2"/>
      <c r="K632" s="29"/>
      <c r="L632" s="29"/>
    </row>
    <row r="633" spans="1:12" ht="15.75" x14ac:dyDescent="0.25">
      <c r="A633" s="5"/>
      <c r="B633" s="7"/>
      <c r="C633" s="5"/>
      <c r="D633" s="5"/>
      <c r="E633" s="8"/>
      <c r="F633" s="9"/>
      <c r="G633" s="5"/>
      <c r="H633" s="28" t="str">
        <f>IFERROR(IF(AND(COUNTIF(RegistroPago!$A$1:$A$2000,Consolidado!B633)&gt;0,INDEX(RegistroPago!$E$1:$E$2000,MATCH(Consolidado!B633,RegistroPago!$A$1:$A$2000,0))&lt;&gt;""),"PAGADA",IF(I633&lt;&gt;"","PENDIENTE","SIN EMITIR")),"")</f>
        <v/>
      </c>
      <c r="I633" s="10"/>
      <c r="J633" s="2"/>
      <c r="K633" s="29"/>
      <c r="L633" s="29"/>
    </row>
    <row r="634" spans="1:12" ht="15.75" x14ac:dyDescent="0.25">
      <c r="A634" s="5"/>
      <c r="B634" s="7"/>
      <c r="C634" s="5"/>
      <c r="D634" s="5"/>
      <c r="E634" s="8"/>
      <c r="F634" s="9"/>
      <c r="G634" s="5"/>
      <c r="H634" s="28" t="str">
        <f>IFERROR(IF(AND(COUNTIF(RegistroPago!$A$1:$A$2000,Consolidado!B634)&gt;0,INDEX(RegistroPago!$E$1:$E$2000,MATCH(Consolidado!B634,RegistroPago!$A$1:$A$2000,0))&lt;&gt;""),"PAGADA",IF(I634&lt;&gt;"","PENDIENTE","SIN EMITIR")),"")</f>
        <v/>
      </c>
      <c r="I634" s="10"/>
      <c r="J634" s="2"/>
      <c r="K634" s="29"/>
      <c r="L634" s="29"/>
    </row>
    <row r="635" spans="1:12" ht="15.75" x14ac:dyDescent="0.25">
      <c r="A635" s="5"/>
      <c r="B635" s="7"/>
      <c r="C635" s="5"/>
      <c r="D635" s="5"/>
      <c r="E635" s="8"/>
      <c r="F635" s="9"/>
      <c r="G635" s="5"/>
      <c r="H635" s="28" t="str">
        <f>IFERROR(IF(AND(COUNTIF(RegistroPago!$A$1:$A$2000,Consolidado!B635)&gt;0,INDEX(RegistroPago!$E$1:$E$2000,MATCH(Consolidado!B635,RegistroPago!$A$1:$A$2000,0))&lt;&gt;""),"PAGADA",IF(I635&lt;&gt;"","PENDIENTE","SIN EMITIR")),"")</f>
        <v/>
      </c>
      <c r="I635" s="10"/>
      <c r="J635" s="2"/>
      <c r="K635" s="29"/>
      <c r="L635" s="29"/>
    </row>
    <row r="636" spans="1:12" ht="15.75" x14ac:dyDescent="0.25">
      <c r="A636" s="5"/>
      <c r="B636" s="7"/>
      <c r="C636" s="5"/>
      <c r="D636" s="5"/>
      <c r="E636" s="8"/>
      <c r="F636" s="9"/>
      <c r="G636" s="5"/>
      <c r="H636" s="28" t="str">
        <f>IFERROR(IF(AND(COUNTIF(RegistroPago!$A$1:$A$2000,Consolidado!B636)&gt;0,INDEX(RegistroPago!$E$1:$E$2000,MATCH(Consolidado!B636,RegistroPago!$A$1:$A$2000,0))&lt;&gt;""),"PAGADA",IF(I636&lt;&gt;"","PENDIENTE","SIN EMITIR")),"")</f>
        <v/>
      </c>
      <c r="I636" s="10"/>
      <c r="J636" s="2"/>
      <c r="K636" s="29"/>
      <c r="L636" s="29"/>
    </row>
    <row r="637" spans="1:12" ht="15.75" x14ac:dyDescent="0.25">
      <c r="A637" s="5"/>
      <c r="B637" s="7"/>
      <c r="C637" s="5"/>
      <c r="D637" s="5"/>
      <c r="E637" s="8"/>
      <c r="F637" s="9"/>
      <c r="G637" s="5"/>
      <c r="H637" s="28" t="str">
        <f>IFERROR(IF(AND(COUNTIF(RegistroPago!$A$1:$A$2000,Consolidado!B637)&gt;0,INDEX(RegistroPago!$E$1:$E$2000,MATCH(Consolidado!B637,RegistroPago!$A$1:$A$2000,0))&lt;&gt;""),"PAGADA",IF(I637&lt;&gt;"","PENDIENTE","SIN EMITIR")),"")</f>
        <v/>
      </c>
      <c r="I637" s="10"/>
      <c r="J637" s="2"/>
      <c r="K637" s="29"/>
      <c r="L637" s="29"/>
    </row>
    <row r="638" spans="1:12" ht="15.75" x14ac:dyDescent="0.25">
      <c r="A638" s="5"/>
      <c r="B638" s="7"/>
      <c r="C638" s="5"/>
      <c r="D638" s="5"/>
      <c r="E638" s="8"/>
      <c r="F638" s="9"/>
      <c r="G638" s="5"/>
      <c r="H638" s="28" t="str">
        <f>IFERROR(IF(AND(COUNTIF(RegistroPago!$A$1:$A$2000,Consolidado!B638)&gt;0,INDEX(RegistroPago!$E$1:$E$2000,MATCH(Consolidado!B638,RegistroPago!$A$1:$A$2000,0))&lt;&gt;""),"PAGADA",IF(I638&lt;&gt;"","PENDIENTE","SIN EMITIR")),"")</f>
        <v/>
      </c>
      <c r="I638" s="10"/>
      <c r="J638" s="2"/>
      <c r="K638" s="29"/>
      <c r="L638" s="29"/>
    </row>
    <row r="639" spans="1:12" ht="15.75" x14ac:dyDescent="0.25">
      <c r="A639" s="5"/>
      <c r="B639" s="7"/>
      <c r="C639" s="5"/>
      <c r="D639" s="5"/>
      <c r="E639" s="8"/>
      <c r="F639" s="9"/>
      <c r="G639" s="5"/>
      <c r="H639" s="28" t="str">
        <f>IFERROR(IF(AND(COUNTIF(RegistroPago!$A$1:$A$2000,Consolidado!B639)&gt;0,INDEX(RegistroPago!$E$1:$E$2000,MATCH(Consolidado!B639,RegistroPago!$A$1:$A$2000,0))&lt;&gt;""),"PAGADA",IF(I639&lt;&gt;"","PENDIENTE","SIN EMITIR")),"")</f>
        <v/>
      </c>
      <c r="I639" s="10"/>
      <c r="J639" s="2"/>
      <c r="K639" s="29"/>
      <c r="L639" s="29"/>
    </row>
    <row r="640" spans="1:12" ht="15.75" x14ac:dyDescent="0.25">
      <c r="A640" s="5"/>
      <c r="B640" s="7"/>
      <c r="C640" s="5"/>
      <c r="D640" s="5"/>
      <c r="E640" s="8"/>
      <c r="F640" s="9"/>
      <c r="G640" s="5"/>
      <c r="H640" s="28" t="str">
        <f>IFERROR(IF(AND(COUNTIF(RegistroPago!$A$1:$A$2000,Consolidado!B640)&gt;0,INDEX(RegistroPago!$E$1:$E$2000,MATCH(Consolidado!B640,RegistroPago!$A$1:$A$2000,0))&lt;&gt;""),"PAGADA",IF(I640&lt;&gt;"","PENDIENTE","SIN EMITIR")),"")</f>
        <v/>
      </c>
      <c r="I640" s="10"/>
      <c r="J640" s="2"/>
      <c r="K640" s="29"/>
      <c r="L640" s="29"/>
    </row>
    <row r="641" spans="1:12" ht="15.75" x14ac:dyDescent="0.25">
      <c r="A641" s="5"/>
      <c r="B641" s="7"/>
      <c r="C641" s="5"/>
      <c r="D641" s="5"/>
      <c r="E641" s="8"/>
      <c r="F641" s="9"/>
      <c r="G641" s="5"/>
      <c r="H641" s="28" t="str">
        <f>IFERROR(IF(AND(COUNTIF(RegistroPago!$A$1:$A$2000,Consolidado!B641)&gt;0,INDEX(RegistroPago!$E$1:$E$2000,MATCH(Consolidado!B641,RegistroPago!$A$1:$A$2000,0))&lt;&gt;""),"PAGADA",IF(I641&lt;&gt;"","PENDIENTE","SIN EMITIR")),"")</f>
        <v/>
      </c>
      <c r="I641" s="10"/>
      <c r="J641" s="2"/>
      <c r="K641" s="29"/>
      <c r="L641" s="29"/>
    </row>
    <row r="642" spans="1:12" ht="15.75" x14ac:dyDescent="0.25">
      <c r="A642" s="5"/>
      <c r="B642" s="7"/>
      <c r="C642" s="5"/>
      <c r="D642" s="5"/>
      <c r="E642" s="8"/>
      <c r="F642" s="9"/>
      <c r="G642" s="5"/>
      <c r="H642" s="28" t="str">
        <f>IFERROR(IF(AND(COUNTIF(RegistroPago!$A$1:$A$2000,Consolidado!B642)&gt;0,INDEX(RegistroPago!$E$1:$E$2000,MATCH(Consolidado!B642,RegistroPago!$A$1:$A$2000,0))&lt;&gt;""),"PAGADA",IF(I642&lt;&gt;"","PENDIENTE","SIN EMITIR")),"")</f>
        <v/>
      </c>
      <c r="I642" s="10"/>
      <c r="J642" s="2"/>
      <c r="K642" s="29"/>
      <c r="L642" s="29"/>
    </row>
    <row r="643" spans="1:12" ht="15.75" x14ac:dyDescent="0.25">
      <c r="A643" s="5"/>
      <c r="B643" s="7"/>
      <c r="C643" s="5"/>
      <c r="D643" s="5"/>
      <c r="E643" s="8"/>
      <c r="F643" s="9"/>
      <c r="G643" s="5"/>
      <c r="H643" s="28" t="str">
        <f>IFERROR(IF(AND(COUNTIF(RegistroPago!$A$1:$A$2000,Consolidado!B643)&gt;0,INDEX(RegistroPago!$E$1:$E$2000,MATCH(Consolidado!B643,RegistroPago!$A$1:$A$2000,0))&lt;&gt;""),"PAGADA",IF(I643&lt;&gt;"","PENDIENTE","SIN EMITIR")),"")</f>
        <v/>
      </c>
      <c r="I643" s="10"/>
      <c r="J643" s="2"/>
      <c r="K643" s="29"/>
      <c r="L643" s="29"/>
    </row>
    <row r="644" spans="1:12" ht="15.75" x14ac:dyDescent="0.25">
      <c r="A644" s="5"/>
      <c r="B644" s="7"/>
      <c r="C644" s="5"/>
      <c r="D644" s="5"/>
      <c r="E644" s="8"/>
      <c r="F644" s="9"/>
      <c r="G644" s="5"/>
      <c r="H644" s="28" t="str">
        <f>IFERROR(IF(AND(COUNTIF(RegistroPago!$A$1:$A$2000,Consolidado!B644)&gt;0,INDEX(RegistroPago!$E$1:$E$2000,MATCH(Consolidado!B644,RegistroPago!$A$1:$A$2000,0))&lt;&gt;""),"PAGADA",IF(I644&lt;&gt;"","PENDIENTE","SIN EMITIR")),"")</f>
        <v/>
      </c>
      <c r="I644" s="10"/>
      <c r="J644" s="2"/>
      <c r="K644" s="29"/>
      <c r="L644" s="29"/>
    </row>
    <row r="645" spans="1:12" ht="15.75" x14ac:dyDescent="0.25">
      <c r="A645" s="5"/>
      <c r="B645" s="7"/>
      <c r="C645" s="5"/>
      <c r="D645" s="5"/>
      <c r="E645" s="8"/>
      <c r="F645" s="9"/>
      <c r="G645" s="5"/>
      <c r="H645" s="28" t="str">
        <f>IFERROR(IF(AND(COUNTIF(RegistroPago!$A$1:$A$2000,Consolidado!B645)&gt;0,INDEX(RegistroPago!$E$1:$E$2000,MATCH(Consolidado!B645,RegistroPago!$A$1:$A$2000,0))&lt;&gt;""),"PAGADA",IF(I645&lt;&gt;"","PENDIENTE","SIN EMITIR")),"")</f>
        <v/>
      </c>
      <c r="I645" s="10"/>
      <c r="J645" s="2"/>
      <c r="K645" s="29"/>
      <c r="L645" s="29"/>
    </row>
    <row r="646" spans="1:12" ht="15.75" x14ac:dyDescent="0.25">
      <c r="A646" s="5"/>
      <c r="B646" s="7"/>
      <c r="C646" s="5"/>
      <c r="D646" s="5"/>
      <c r="E646" s="8"/>
      <c r="F646" s="9"/>
      <c r="G646" s="5"/>
      <c r="H646" s="28" t="str">
        <f>IFERROR(IF(AND(COUNTIF(RegistroPago!$A$1:$A$2000,Consolidado!B646)&gt;0,INDEX(RegistroPago!$E$1:$E$2000,MATCH(Consolidado!B646,RegistroPago!$A$1:$A$2000,0))&lt;&gt;""),"PAGADA",IF(I646&lt;&gt;"","PENDIENTE","SIN EMITIR")),"")</f>
        <v/>
      </c>
      <c r="I646" s="10"/>
      <c r="J646" s="2"/>
      <c r="K646" s="29"/>
      <c r="L646" s="29"/>
    </row>
    <row r="647" spans="1:12" ht="15.75" x14ac:dyDescent="0.25">
      <c r="A647" s="5"/>
      <c r="B647" s="7"/>
      <c r="C647" s="5"/>
      <c r="D647" s="5"/>
      <c r="E647" s="8"/>
      <c r="F647" s="9"/>
      <c r="G647" s="5"/>
      <c r="H647" s="28" t="str">
        <f>IFERROR(IF(AND(COUNTIF(RegistroPago!$A$1:$A$2000,Consolidado!B647)&gt;0,INDEX(RegistroPago!$E$1:$E$2000,MATCH(Consolidado!B647,RegistroPago!$A$1:$A$2000,0))&lt;&gt;""),"PAGADA",IF(I647&lt;&gt;"","PENDIENTE","SIN EMITIR")),"")</f>
        <v/>
      </c>
      <c r="I647" s="10"/>
      <c r="J647" s="2"/>
      <c r="K647" s="29"/>
      <c r="L647" s="29"/>
    </row>
    <row r="648" spans="1:12" ht="15.75" x14ac:dyDescent="0.25">
      <c r="A648" s="5"/>
      <c r="B648" s="7"/>
      <c r="C648" s="5"/>
      <c r="D648" s="5"/>
      <c r="E648" s="8"/>
      <c r="F648" s="9"/>
      <c r="G648" s="5"/>
      <c r="H648" s="28" t="str">
        <f>IFERROR(IF(AND(COUNTIF(RegistroPago!$A$1:$A$2000,Consolidado!B648)&gt;0,INDEX(RegistroPago!$E$1:$E$2000,MATCH(Consolidado!B648,RegistroPago!$A$1:$A$2000,0))&lt;&gt;""),"PAGADA",IF(I648&lt;&gt;"","PENDIENTE","SIN EMITIR")),"")</f>
        <v/>
      </c>
      <c r="I648" s="10"/>
      <c r="J648" s="2"/>
      <c r="K648" s="29"/>
      <c r="L648" s="29"/>
    </row>
    <row r="649" spans="1:12" ht="15.75" x14ac:dyDescent="0.25">
      <c r="A649" s="5"/>
      <c r="B649" s="7"/>
      <c r="C649" s="5"/>
      <c r="D649" s="5"/>
      <c r="E649" s="8"/>
      <c r="F649" s="9"/>
      <c r="G649" s="5"/>
      <c r="H649" s="28" t="str">
        <f>IFERROR(IF(AND(COUNTIF(RegistroPago!$A$1:$A$2000,Consolidado!B649)&gt;0,INDEX(RegistroPago!$E$1:$E$2000,MATCH(Consolidado!B649,RegistroPago!$A$1:$A$2000,0))&lt;&gt;""),"PAGADA",IF(I649&lt;&gt;"","PENDIENTE","SIN EMITIR")),"")</f>
        <v/>
      </c>
      <c r="I649" s="10"/>
      <c r="J649" s="2"/>
      <c r="K649" s="29"/>
      <c r="L649" s="29"/>
    </row>
    <row r="650" spans="1:12" ht="15.75" x14ac:dyDescent="0.25">
      <c r="A650" s="5"/>
      <c r="B650" s="7"/>
      <c r="C650" s="5"/>
      <c r="D650" s="5"/>
      <c r="E650" s="8"/>
      <c r="F650" s="9"/>
      <c r="G650" s="5"/>
      <c r="H650" s="28" t="str">
        <f>IFERROR(IF(AND(COUNTIF(RegistroPago!$A$1:$A$2000,Consolidado!B650)&gt;0,INDEX(RegistroPago!$E$1:$E$2000,MATCH(Consolidado!B650,RegistroPago!$A$1:$A$2000,0))&lt;&gt;""),"PAGADA",IF(I650&lt;&gt;"","PENDIENTE","SIN EMITIR")),"")</f>
        <v/>
      </c>
      <c r="I650" s="10"/>
      <c r="J650" s="2"/>
      <c r="K650" s="29"/>
      <c r="L650" s="29"/>
    </row>
    <row r="651" spans="1:12" ht="15.75" x14ac:dyDescent="0.25">
      <c r="A651" s="5"/>
      <c r="B651" s="7"/>
      <c r="C651" s="5"/>
      <c r="D651" s="5"/>
      <c r="E651" s="8"/>
      <c r="F651" s="9"/>
      <c r="G651" s="5"/>
      <c r="H651" s="28" t="str">
        <f>IFERROR(IF(AND(COUNTIF(RegistroPago!$A$1:$A$2000,Consolidado!B651)&gt;0,INDEX(RegistroPago!$E$1:$E$2000,MATCH(Consolidado!B651,RegistroPago!$A$1:$A$2000,0))&lt;&gt;""),"PAGADA",IF(I651&lt;&gt;"","PENDIENTE","SIN EMITIR")),"")</f>
        <v/>
      </c>
      <c r="I651" s="10"/>
      <c r="J651" s="2"/>
      <c r="K651" s="29"/>
      <c r="L651" s="29"/>
    </row>
    <row r="652" spans="1:12" ht="15.75" x14ac:dyDescent="0.25">
      <c r="A652" s="5"/>
      <c r="B652" s="7"/>
      <c r="C652" s="5"/>
      <c r="D652" s="5"/>
      <c r="E652" s="8"/>
      <c r="F652" s="9"/>
      <c r="G652" s="5"/>
      <c r="H652" s="28" t="str">
        <f>IFERROR(IF(AND(COUNTIF(RegistroPago!$A$1:$A$2000,Consolidado!B652)&gt;0,INDEX(RegistroPago!$E$1:$E$2000,MATCH(Consolidado!B652,RegistroPago!$A$1:$A$2000,0))&lt;&gt;""),"PAGADA",IF(I652&lt;&gt;"","PENDIENTE","SIN EMITIR")),"")</f>
        <v/>
      </c>
      <c r="I652" s="10"/>
      <c r="J652" s="2"/>
      <c r="K652" s="29"/>
      <c r="L652" s="29"/>
    </row>
    <row r="653" spans="1:12" ht="15.75" x14ac:dyDescent="0.25">
      <c r="A653" s="5"/>
      <c r="B653" s="7"/>
      <c r="C653" s="5"/>
      <c r="D653" s="5"/>
      <c r="E653" s="8"/>
      <c r="F653" s="9"/>
      <c r="G653" s="5"/>
      <c r="H653" s="28" t="str">
        <f>IFERROR(IF(AND(COUNTIF(RegistroPago!$A$1:$A$2000,Consolidado!B653)&gt;0,INDEX(RegistroPago!$E$1:$E$2000,MATCH(Consolidado!B653,RegistroPago!$A$1:$A$2000,0))&lt;&gt;""),"PAGADA",IF(I653&lt;&gt;"","PENDIENTE","SIN EMITIR")),"")</f>
        <v/>
      </c>
      <c r="I653" s="10"/>
      <c r="J653" s="2"/>
      <c r="K653" s="29"/>
      <c r="L653" s="29"/>
    </row>
    <row r="654" spans="1:12" ht="15.75" x14ac:dyDescent="0.25">
      <c r="A654" s="5"/>
      <c r="B654" s="7"/>
      <c r="C654" s="5"/>
      <c r="D654" s="5"/>
      <c r="E654" s="8"/>
      <c r="F654" s="9"/>
      <c r="G654" s="5"/>
      <c r="H654" s="28" t="str">
        <f>IFERROR(IF(AND(COUNTIF(RegistroPago!$A$1:$A$2000,Consolidado!B654)&gt;0,INDEX(RegistroPago!$E$1:$E$2000,MATCH(Consolidado!B654,RegistroPago!$A$1:$A$2000,0))&lt;&gt;""),"PAGADA",IF(I654&lt;&gt;"","PENDIENTE","SIN EMITIR")),"")</f>
        <v/>
      </c>
      <c r="I654" s="10"/>
      <c r="J654" s="2"/>
      <c r="K654" s="29"/>
      <c r="L654" s="29"/>
    </row>
    <row r="655" spans="1:12" ht="15.75" x14ac:dyDescent="0.25">
      <c r="A655" s="5"/>
      <c r="B655" s="7"/>
      <c r="C655" s="5"/>
      <c r="D655" s="5"/>
      <c r="E655" s="8"/>
      <c r="F655" s="9"/>
      <c r="G655" s="5"/>
      <c r="H655" s="28" t="str">
        <f>IFERROR(IF(AND(COUNTIF(RegistroPago!$A$1:$A$2000,Consolidado!B655)&gt;0,INDEX(RegistroPago!$E$1:$E$2000,MATCH(Consolidado!B655,RegistroPago!$A$1:$A$2000,0))&lt;&gt;""),"PAGADA",IF(I655&lt;&gt;"","PENDIENTE","SIN EMITIR")),"")</f>
        <v/>
      </c>
      <c r="I655" s="10"/>
      <c r="J655" s="2"/>
      <c r="K655" s="29"/>
      <c r="L655" s="29"/>
    </row>
    <row r="656" spans="1:12" ht="15.75" x14ac:dyDescent="0.25">
      <c r="A656" s="5"/>
      <c r="B656" s="7"/>
      <c r="C656" s="5"/>
      <c r="D656" s="5"/>
      <c r="E656" s="8"/>
      <c r="F656" s="9"/>
      <c r="G656" s="5"/>
      <c r="H656" s="28" t="str">
        <f>IFERROR(IF(AND(COUNTIF(RegistroPago!$A$1:$A$2000,Consolidado!B656)&gt;0,INDEX(RegistroPago!$E$1:$E$2000,MATCH(Consolidado!B656,RegistroPago!$A$1:$A$2000,0))&lt;&gt;""),"PAGADA",IF(I656&lt;&gt;"","PENDIENTE","SIN EMITIR")),"")</f>
        <v/>
      </c>
      <c r="I656" s="10"/>
      <c r="J656" s="2"/>
      <c r="K656" s="29"/>
      <c r="L656" s="29"/>
    </row>
    <row r="657" spans="1:12" ht="15.75" x14ac:dyDescent="0.25">
      <c r="A657" s="5"/>
      <c r="B657" s="7"/>
      <c r="C657" s="5"/>
      <c r="D657" s="5"/>
      <c r="E657" s="8"/>
      <c r="F657" s="9"/>
      <c r="G657" s="5"/>
      <c r="H657" s="28" t="str">
        <f>IFERROR(IF(AND(COUNTIF(RegistroPago!$A$1:$A$2000,Consolidado!B657)&gt;0,INDEX(RegistroPago!$E$1:$E$2000,MATCH(Consolidado!B657,RegistroPago!$A$1:$A$2000,0))&lt;&gt;""),"PAGADA",IF(I657&lt;&gt;"","PENDIENTE","SIN EMITIR")),"")</f>
        <v/>
      </c>
      <c r="I657" s="10"/>
      <c r="J657" s="2"/>
      <c r="K657" s="29"/>
      <c r="L657" s="29"/>
    </row>
    <row r="658" spans="1:12" ht="15.75" x14ac:dyDescent="0.25">
      <c r="A658" s="5"/>
      <c r="B658" s="7"/>
      <c r="C658" s="5"/>
      <c r="D658" s="5"/>
      <c r="E658" s="8"/>
      <c r="F658" s="9"/>
      <c r="G658" s="5"/>
      <c r="H658" s="28" t="str">
        <f>IFERROR(IF(AND(COUNTIF(RegistroPago!$A$1:$A$2000,Consolidado!B658)&gt;0,INDEX(RegistroPago!$E$1:$E$2000,MATCH(Consolidado!B658,RegistroPago!$A$1:$A$2000,0))&lt;&gt;""),"PAGADA",IF(I658&lt;&gt;"","PENDIENTE","SIN EMITIR")),"")</f>
        <v/>
      </c>
      <c r="I658" s="10"/>
      <c r="J658" s="2"/>
      <c r="K658" s="29"/>
      <c r="L658" s="29"/>
    </row>
    <row r="659" spans="1:12" ht="15.75" x14ac:dyDescent="0.25">
      <c r="A659" s="5"/>
      <c r="B659" s="7"/>
      <c r="C659" s="5"/>
      <c r="D659" s="5"/>
      <c r="E659" s="8"/>
      <c r="F659" s="9"/>
      <c r="G659" s="5"/>
      <c r="H659" s="28" t="str">
        <f>IFERROR(IF(AND(COUNTIF(RegistroPago!$A$1:$A$2000,Consolidado!B659)&gt;0,INDEX(RegistroPago!$E$1:$E$2000,MATCH(Consolidado!B659,RegistroPago!$A$1:$A$2000,0))&lt;&gt;""),"PAGADA",IF(I659&lt;&gt;"","PENDIENTE","SIN EMITIR")),"")</f>
        <v/>
      </c>
      <c r="I659" s="10"/>
      <c r="J659" s="2"/>
      <c r="K659" s="29"/>
      <c r="L659" s="29"/>
    </row>
    <row r="660" spans="1:12" ht="15.75" x14ac:dyDescent="0.25">
      <c r="A660" s="5"/>
      <c r="B660" s="7"/>
      <c r="C660" s="5"/>
      <c r="D660" s="5"/>
      <c r="E660" s="8"/>
      <c r="F660" s="9"/>
      <c r="G660" s="5"/>
      <c r="H660" s="28" t="str">
        <f>IFERROR(IF(AND(COUNTIF(RegistroPago!$A$1:$A$2000,Consolidado!B660)&gt;0,INDEX(RegistroPago!$E$1:$E$2000,MATCH(Consolidado!B660,RegistroPago!$A$1:$A$2000,0))&lt;&gt;""),"PAGADA",IF(I660&lt;&gt;"","PENDIENTE","SIN EMITIR")),"")</f>
        <v/>
      </c>
      <c r="I660" s="10"/>
      <c r="J660" s="2"/>
      <c r="K660" s="29"/>
      <c r="L660" s="29"/>
    </row>
    <row r="661" spans="1:12" ht="15.75" x14ac:dyDescent="0.25">
      <c r="A661" s="5"/>
      <c r="B661" s="7"/>
      <c r="C661" s="5"/>
      <c r="D661" s="5"/>
      <c r="E661" s="8"/>
      <c r="F661" s="9"/>
      <c r="G661" s="5"/>
      <c r="H661" s="28" t="str">
        <f>IFERROR(IF(AND(COUNTIF(RegistroPago!$A$1:$A$2000,Consolidado!B661)&gt;0,INDEX(RegistroPago!$E$1:$E$2000,MATCH(Consolidado!B661,RegistroPago!$A$1:$A$2000,0))&lt;&gt;""),"PAGADA",IF(I661&lt;&gt;"","PENDIENTE","SIN EMITIR")),"")</f>
        <v/>
      </c>
      <c r="I661" s="10"/>
      <c r="J661" s="2"/>
      <c r="K661" s="29"/>
      <c r="L661" s="29"/>
    </row>
    <row r="662" spans="1:12" ht="15.75" x14ac:dyDescent="0.25">
      <c r="A662" s="5"/>
      <c r="B662" s="7"/>
      <c r="C662" s="5"/>
      <c r="D662" s="5"/>
      <c r="E662" s="8"/>
      <c r="F662" s="9"/>
      <c r="G662" s="5"/>
      <c r="H662" s="28" t="str">
        <f>IFERROR(IF(AND(COUNTIF(RegistroPago!$A$1:$A$2000,Consolidado!B662)&gt;0,INDEX(RegistroPago!$E$1:$E$2000,MATCH(Consolidado!B662,RegistroPago!$A$1:$A$2000,0))&lt;&gt;""),"PAGADA",IF(I662&lt;&gt;"","PENDIENTE","SIN EMITIR")),"")</f>
        <v/>
      </c>
      <c r="I662" s="10"/>
      <c r="J662" s="2"/>
      <c r="K662" s="29"/>
      <c r="L662" s="29"/>
    </row>
    <row r="663" spans="1:12" ht="15.75" x14ac:dyDescent="0.25">
      <c r="A663" s="5"/>
      <c r="B663" s="7"/>
      <c r="C663" s="5"/>
      <c r="D663" s="5"/>
      <c r="E663" s="8"/>
      <c r="F663" s="9"/>
      <c r="G663" s="5"/>
      <c r="H663" s="28" t="str">
        <f>IFERROR(IF(AND(COUNTIF(RegistroPago!$A$1:$A$2000,Consolidado!B663)&gt;0,INDEX(RegistroPago!$E$1:$E$2000,MATCH(Consolidado!B663,RegistroPago!$A$1:$A$2000,0))&lt;&gt;""),"PAGADA",IF(I663&lt;&gt;"","PENDIENTE","SIN EMITIR")),"")</f>
        <v/>
      </c>
      <c r="I663" s="10"/>
      <c r="J663" s="2"/>
      <c r="K663" s="29"/>
      <c r="L663" s="29"/>
    </row>
    <row r="664" spans="1:12" ht="15.75" x14ac:dyDescent="0.25">
      <c r="A664" s="5"/>
      <c r="B664" s="7"/>
      <c r="C664" s="5"/>
      <c r="D664" s="5"/>
      <c r="E664" s="8"/>
      <c r="F664" s="9"/>
      <c r="G664" s="5"/>
      <c r="H664" s="28" t="str">
        <f>IFERROR(IF(AND(COUNTIF(RegistroPago!$A$1:$A$2000,Consolidado!B664)&gt;0,INDEX(RegistroPago!$E$1:$E$2000,MATCH(Consolidado!B664,RegistroPago!$A$1:$A$2000,0))&lt;&gt;""),"PAGADA",IF(I664&lt;&gt;"","PENDIENTE","SIN EMITIR")),"")</f>
        <v/>
      </c>
      <c r="I664" s="10"/>
      <c r="J664" s="2"/>
      <c r="K664" s="29"/>
      <c r="L664" s="29"/>
    </row>
    <row r="665" spans="1:12" ht="15.75" x14ac:dyDescent="0.25">
      <c r="A665" s="5"/>
      <c r="B665" s="7"/>
      <c r="C665" s="5"/>
      <c r="D665" s="5"/>
      <c r="E665" s="8"/>
      <c r="F665" s="9"/>
      <c r="G665" s="5"/>
      <c r="H665" s="28" t="str">
        <f>IFERROR(IF(AND(COUNTIF(RegistroPago!$A$1:$A$2000,Consolidado!B665)&gt;0,INDEX(RegistroPago!$E$1:$E$2000,MATCH(Consolidado!B665,RegistroPago!$A$1:$A$2000,0))&lt;&gt;""),"PAGADA",IF(I665&lt;&gt;"","PENDIENTE","SIN EMITIR")),"")</f>
        <v/>
      </c>
      <c r="I665" s="10"/>
      <c r="J665" s="2"/>
      <c r="K665" s="29"/>
      <c r="L665" s="29"/>
    </row>
    <row r="666" spans="1:12" ht="15.75" x14ac:dyDescent="0.25">
      <c r="A666" s="5"/>
      <c r="B666" s="7"/>
      <c r="C666" s="5"/>
      <c r="D666" s="5"/>
      <c r="E666" s="8"/>
      <c r="F666" s="9"/>
      <c r="G666" s="5"/>
      <c r="H666" s="28" t="str">
        <f>IFERROR(IF(AND(COUNTIF(RegistroPago!$A$1:$A$2000,Consolidado!B666)&gt;0,INDEX(RegistroPago!$E$1:$E$2000,MATCH(Consolidado!B666,RegistroPago!$A$1:$A$2000,0))&lt;&gt;""),"PAGADA",IF(I666&lt;&gt;"","PENDIENTE","SIN EMITIR")),"")</f>
        <v/>
      </c>
      <c r="I666" s="10"/>
      <c r="J666" s="2"/>
      <c r="K666" s="29"/>
      <c r="L666" s="29"/>
    </row>
    <row r="667" spans="1:12" ht="15.75" x14ac:dyDescent="0.25">
      <c r="A667" s="5"/>
      <c r="B667" s="7"/>
      <c r="C667" s="5"/>
      <c r="D667" s="5"/>
      <c r="E667" s="8"/>
      <c r="F667" s="9"/>
      <c r="G667" s="5"/>
      <c r="H667" s="28" t="str">
        <f>IFERROR(IF(AND(COUNTIF(RegistroPago!$A$1:$A$2000,Consolidado!B667)&gt;0,INDEX(RegistroPago!$E$1:$E$2000,MATCH(Consolidado!B667,RegistroPago!$A$1:$A$2000,0))&lt;&gt;""),"PAGADA",IF(I667&lt;&gt;"","PENDIENTE","SIN EMITIR")),"")</f>
        <v/>
      </c>
      <c r="I667" s="10"/>
      <c r="J667" s="2"/>
      <c r="K667" s="29"/>
      <c r="L667" s="29"/>
    </row>
    <row r="668" spans="1:12" ht="15.75" x14ac:dyDescent="0.25">
      <c r="A668" s="5"/>
      <c r="B668" s="7"/>
      <c r="C668" s="5"/>
      <c r="D668" s="5"/>
      <c r="E668" s="8"/>
      <c r="F668" s="9"/>
      <c r="G668" s="5"/>
      <c r="H668" s="28" t="str">
        <f>IFERROR(IF(AND(COUNTIF(RegistroPago!$A$1:$A$2000,Consolidado!B668)&gt;0,INDEX(RegistroPago!$E$1:$E$2000,MATCH(Consolidado!B668,RegistroPago!$A$1:$A$2000,0))&lt;&gt;""),"PAGADA",IF(I668&lt;&gt;"","PENDIENTE","SIN EMITIR")),"")</f>
        <v/>
      </c>
      <c r="I668" s="10"/>
      <c r="J668" s="2"/>
      <c r="K668" s="29"/>
      <c r="L668" s="29"/>
    </row>
    <row r="669" spans="1:12" ht="15.75" x14ac:dyDescent="0.25">
      <c r="A669" s="5"/>
      <c r="B669" s="7"/>
      <c r="C669" s="5"/>
      <c r="D669" s="5"/>
      <c r="E669" s="8"/>
      <c r="F669" s="9"/>
      <c r="G669" s="5"/>
      <c r="H669" s="28" t="str">
        <f>IFERROR(IF(AND(COUNTIF(RegistroPago!$A$1:$A$2000,Consolidado!B669)&gt;0,INDEX(RegistroPago!$E$1:$E$2000,MATCH(Consolidado!B669,RegistroPago!$A$1:$A$2000,0))&lt;&gt;""),"PAGADA",IF(I669&lt;&gt;"","PENDIENTE","SIN EMITIR")),"")</f>
        <v/>
      </c>
      <c r="I669" s="10"/>
      <c r="J669" s="2"/>
      <c r="K669" s="29"/>
      <c r="L669" s="29"/>
    </row>
    <row r="670" spans="1:12" ht="15.75" x14ac:dyDescent="0.25">
      <c r="A670" s="5"/>
      <c r="B670" s="7"/>
      <c r="C670" s="5"/>
      <c r="D670" s="5"/>
      <c r="E670" s="8"/>
      <c r="F670" s="9"/>
      <c r="G670" s="5"/>
      <c r="H670" s="28" t="str">
        <f>IFERROR(IF(AND(COUNTIF(RegistroPago!$A$1:$A$2000,Consolidado!B670)&gt;0,INDEX(RegistroPago!$E$1:$E$2000,MATCH(Consolidado!B670,RegistroPago!$A$1:$A$2000,0))&lt;&gt;""),"PAGADA",IF(I670&lt;&gt;"","PENDIENTE","SIN EMITIR")),"")</f>
        <v/>
      </c>
      <c r="I670" s="10"/>
      <c r="J670" s="2"/>
      <c r="K670" s="29"/>
      <c r="L670" s="29"/>
    </row>
    <row r="671" spans="1:12" ht="15.75" x14ac:dyDescent="0.25">
      <c r="A671" s="5"/>
      <c r="B671" s="7"/>
      <c r="C671" s="5"/>
      <c r="D671" s="5"/>
      <c r="E671" s="8"/>
      <c r="F671" s="9"/>
      <c r="G671" s="5"/>
      <c r="H671" s="28" t="str">
        <f>IFERROR(IF(AND(COUNTIF(RegistroPago!$A$1:$A$2000,Consolidado!B671)&gt;0,INDEX(RegistroPago!$E$1:$E$2000,MATCH(Consolidado!B671,RegistroPago!$A$1:$A$2000,0))&lt;&gt;""),"PAGADA",IF(I671&lt;&gt;"","PENDIENTE","SIN EMITIR")),"")</f>
        <v/>
      </c>
      <c r="I671" s="10"/>
      <c r="J671" s="2"/>
      <c r="K671" s="29"/>
      <c r="L671" s="29"/>
    </row>
    <row r="672" spans="1:12" ht="15.75" x14ac:dyDescent="0.25">
      <c r="A672" s="5"/>
      <c r="B672" s="7"/>
      <c r="C672" s="5"/>
      <c r="D672" s="5"/>
      <c r="E672" s="8"/>
      <c r="F672" s="9"/>
      <c r="G672" s="5"/>
      <c r="H672" s="28" t="str">
        <f>IFERROR(IF(AND(COUNTIF(RegistroPago!$A$1:$A$2000,Consolidado!B672)&gt;0,INDEX(RegistroPago!$E$1:$E$2000,MATCH(Consolidado!B672,RegistroPago!$A$1:$A$2000,0))&lt;&gt;""),"PAGADA",IF(I672&lt;&gt;"","PENDIENTE","SIN EMITIR")),"")</f>
        <v/>
      </c>
      <c r="I672" s="10"/>
      <c r="J672" s="2"/>
      <c r="K672" s="29"/>
      <c r="L672" s="29"/>
    </row>
    <row r="673" spans="1:12" ht="15.75" x14ac:dyDescent="0.25">
      <c r="A673" s="5"/>
      <c r="B673" s="7"/>
      <c r="C673" s="5"/>
      <c r="D673" s="5"/>
      <c r="E673" s="8"/>
      <c r="F673" s="9"/>
      <c r="G673" s="5"/>
      <c r="H673" s="28" t="str">
        <f>IFERROR(IF(AND(COUNTIF(RegistroPago!$A$1:$A$2000,Consolidado!B673)&gt;0,INDEX(RegistroPago!$E$1:$E$2000,MATCH(Consolidado!B673,RegistroPago!$A$1:$A$2000,0))&lt;&gt;""),"PAGADA",IF(I673&lt;&gt;"","PENDIENTE","SIN EMITIR")),"")</f>
        <v/>
      </c>
      <c r="I673" s="10"/>
      <c r="J673" s="2"/>
      <c r="K673" s="29"/>
      <c r="L673" s="29"/>
    </row>
    <row r="674" spans="1:12" ht="15.75" x14ac:dyDescent="0.25">
      <c r="A674" s="5"/>
      <c r="B674" s="7"/>
      <c r="C674" s="5"/>
      <c r="D674" s="5"/>
      <c r="E674" s="8"/>
      <c r="F674" s="9"/>
      <c r="G674" s="5"/>
      <c r="H674" s="28" t="str">
        <f>IFERROR(IF(AND(COUNTIF(RegistroPago!$A$1:$A$2000,Consolidado!B674)&gt;0,INDEX(RegistroPago!$E$1:$E$2000,MATCH(Consolidado!B674,RegistroPago!$A$1:$A$2000,0))&lt;&gt;""),"PAGADA",IF(I674&lt;&gt;"","PENDIENTE","SIN EMITIR")),"")</f>
        <v/>
      </c>
      <c r="I674" s="10"/>
      <c r="J674" s="2"/>
      <c r="K674" s="29"/>
      <c r="L674" s="29"/>
    </row>
    <row r="675" spans="1:12" ht="15.75" x14ac:dyDescent="0.25">
      <c r="A675" s="5"/>
      <c r="B675" s="7"/>
      <c r="C675" s="5"/>
      <c r="D675" s="5"/>
      <c r="E675" s="8"/>
      <c r="F675" s="9"/>
      <c r="G675" s="5"/>
      <c r="H675" s="28" t="str">
        <f>IFERROR(IF(AND(COUNTIF(RegistroPago!$A$1:$A$2000,Consolidado!B675)&gt;0,INDEX(RegistroPago!$E$1:$E$2000,MATCH(Consolidado!B675,RegistroPago!$A$1:$A$2000,0))&lt;&gt;""),"PAGADA",IF(I675&lt;&gt;"","PENDIENTE","SIN EMITIR")),"")</f>
        <v/>
      </c>
      <c r="I675" s="10"/>
      <c r="J675" s="2"/>
      <c r="K675" s="29"/>
      <c r="L675" s="29"/>
    </row>
    <row r="676" spans="1:12" ht="15.75" x14ac:dyDescent="0.25">
      <c r="A676" s="5"/>
      <c r="B676" s="7"/>
      <c r="C676" s="5"/>
      <c r="D676" s="5"/>
      <c r="E676" s="8"/>
      <c r="F676" s="9"/>
      <c r="G676" s="5"/>
      <c r="H676" s="28" t="str">
        <f>IFERROR(IF(AND(COUNTIF(RegistroPago!$A$1:$A$2000,Consolidado!B676)&gt;0,INDEX(RegistroPago!$E$1:$E$2000,MATCH(Consolidado!B676,RegistroPago!$A$1:$A$2000,0))&lt;&gt;""),"PAGADA",IF(I676&lt;&gt;"","PENDIENTE","SIN EMITIR")),"")</f>
        <v/>
      </c>
      <c r="I676" s="10"/>
      <c r="J676" s="2"/>
      <c r="K676" s="29"/>
      <c r="L676" s="29"/>
    </row>
    <row r="677" spans="1:12" ht="15.75" x14ac:dyDescent="0.25">
      <c r="A677" s="5"/>
      <c r="B677" s="7"/>
      <c r="C677" s="5"/>
      <c r="D677" s="5"/>
      <c r="E677" s="8"/>
      <c r="F677" s="9"/>
      <c r="G677" s="5"/>
      <c r="H677" s="28" t="str">
        <f>IFERROR(IF(AND(COUNTIF(RegistroPago!$A$1:$A$2000,Consolidado!B677)&gt;0,INDEX(RegistroPago!$E$1:$E$2000,MATCH(Consolidado!B677,RegistroPago!$A$1:$A$2000,0))&lt;&gt;""),"PAGADA",IF(I677&lt;&gt;"","PENDIENTE","SIN EMITIR")),"")</f>
        <v/>
      </c>
      <c r="I677" s="10"/>
      <c r="J677" s="2"/>
      <c r="K677" s="29"/>
      <c r="L677" s="29"/>
    </row>
    <row r="678" spans="1:12" ht="15.75" x14ac:dyDescent="0.25">
      <c r="A678" s="5"/>
      <c r="B678" s="7"/>
      <c r="C678" s="5"/>
      <c r="D678" s="5"/>
      <c r="E678" s="8"/>
      <c r="F678" s="9"/>
      <c r="G678" s="5"/>
      <c r="H678" s="28" t="str">
        <f>IFERROR(IF(AND(COUNTIF(RegistroPago!$A$1:$A$2000,Consolidado!B678)&gt;0,INDEX(RegistroPago!$E$1:$E$2000,MATCH(Consolidado!B678,RegistroPago!$A$1:$A$2000,0))&lt;&gt;""),"PAGADA",IF(I678&lt;&gt;"","PENDIENTE","SIN EMITIR")),"")</f>
        <v/>
      </c>
      <c r="I678" s="10"/>
      <c r="J678" s="2"/>
      <c r="K678" s="29"/>
      <c r="L678" s="29"/>
    </row>
    <row r="679" spans="1:12" ht="15.75" x14ac:dyDescent="0.25">
      <c r="A679" s="5"/>
      <c r="B679" s="7"/>
      <c r="C679" s="5"/>
      <c r="D679" s="5"/>
      <c r="E679" s="8"/>
      <c r="F679" s="9"/>
      <c r="G679" s="5"/>
      <c r="H679" s="28" t="str">
        <f>IFERROR(IF(AND(COUNTIF(RegistroPago!$A$1:$A$2000,Consolidado!B679)&gt;0,INDEX(RegistroPago!$E$1:$E$2000,MATCH(Consolidado!B679,RegistroPago!$A$1:$A$2000,0))&lt;&gt;""),"PAGADA",IF(I679&lt;&gt;"","PENDIENTE","SIN EMITIR")),"")</f>
        <v/>
      </c>
      <c r="I679" s="10"/>
      <c r="J679" s="2"/>
      <c r="K679" s="29"/>
      <c r="L679" s="29"/>
    </row>
    <row r="680" spans="1:12" ht="15.75" x14ac:dyDescent="0.25">
      <c r="A680" s="5"/>
      <c r="B680" s="7"/>
      <c r="C680" s="5"/>
      <c r="D680" s="5"/>
      <c r="E680" s="8"/>
      <c r="F680" s="9"/>
      <c r="G680" s="5"/>
      <c r="H680" s="28" t="str">
        <f>IFERROR(IF(AND(COUNTIF(RegistroPago!$A$1:$A$2000,Consolidado!B680)&gt;0,INDEX(RegistroPago!$E$1:$E$2000,MATCH(Consolidado!B680,RegistroPago!$A$1:$A$2000,0))&lt;&gt;""),"PAGADA",IF(I680&lt;&gt;"","PENDIENTE","SIN EMITIR")),"")</f>
        <v/>
      </c>
      <c r="I680" s="10"/>
      <c r="J680" s="2"/>
      <c r="K680" s="29"/>
      <c r="L680" s="29"/>
    </row>
    <row r="681" spans="1:12" ht="15.75" x14ac:dyDescent="0.25">
      <c r="A681" s="5"/>
      <c r="B681" s="7"/>
      <c r="C681" s="5"/>
      <c r="D681" s="5"/>
      <c r="E681" s="8"/>
      <c r="F681" s="9"/>
      <c r="G681" s="5"/>
      <c r="H681" s="28" t="str">
        <f>IFERROR(IF(AND(COUNTIF(RegistroPago!$A$1:$A$2000,Consolidado!B681)&gt;0,INDEX(RegistroPago!$E$1:$E$2000,MATCH(Consolidado!B681,RegistroPago!$A$1:$A$2000,0))&lt;&gt;""),"PAGADA",IF(I681&lt;&gt;"","PENDIENTE","SIN EMITIR")),"")</f>
        <v/>
      </c>
      <c r="I681" s="10"/>
      <c r="J681" s="2"/>
      <c r="K681" s="29"/>
      <c r="L681" s="29"/>
    </row>
    <row r="682" spans="1:12" ht="15.75" x14ac:dyDescent="0.25">
      <c r="A682" s="5"/>
      <c r="B682" s="7"/>
      <c r="C682" s="5"/>
      <c r="D682" s="5"/>
      <c r="E682" s="8"/>
      <c r="F682" s="9"/>
      <c r="G682" s="5"/>
      <c r="H682" s="28" t="str">
        <f>IFERROR(IF(AND(COUNTIF(RegistroPago!$A$1:$A$2000,Consolidado!B682)&gt;0,INDEX(RegistroPago!$E$1:$E$2000,MATCH(Consolidado!B682,RegistroPago!$A$1:$A$2000,0))&lt;&gt;""),"PAGADA",IF(I682&lt;&gt;"","PENDIENTE","SIN EMITIR")),"")</f>
        <v/>
      </c>
      <c r="I682" s="10"/>
      <c r="J682" s="2"/>
      <c r="K682" s="29"/>
      <c r="L682" s="29"/>
    </row>
    <row r="683" spans="1:12" ht="15.75" x14ac:dyDescent="0.25">
      <c r="A683" s="5"/>
      <c r="B683" s="7"/>
      <c r="C683" s="5"/>
      <c r="D683" s="5"/>
      <c r="E683" s="8"/>
      <c r="F683" s="9"/>
      <c r="G683" s="5"/>
      <c r="H683" s="28" t="str">
        <f>IFERROR(IF(AND(COUNTIF(RegistroPago!$A$1:$A$2000,Consolidado!B683)&gt;0,INDEX(RegistroPago!$E$1:$E$2000,MATCH(Consolidado!B683,RegistroPago!$A$1:$A$2000,0))&lt;&gt;""),"PAGADA",IF(I683&lt;&gt;"","PENDIENTE","SIN EMITIR")),"")</f>
        <v/>
      </c>
      <c r="I683" s="10"/>
      <c r="J683" s="2"/>
      <c r="K683" s="29"/>
      <c r="L683" s="29"/>
    </row>
    <row r="684" spans="1:12" ht="15.75" x14ac:dyDescent="0.25">
      <c r="A684" s="5"/>
      <c r="B684" s="7"/>
      <c r="C684" s="5"/>
      <c r="D684" s="5"/>
      <c r="E684" s="8"/>
      <c r="F684" s="9"/>
      <c r="G684" s="5"/>
      <c r="H684" s="28" t="str">
        <f>IFERROR(IF(AND(COUNTIF(RegistroPago!$A$1:$A$2000,Consolidado!B684)&gt;0,INDEX(RegistroPago!$E$1:$E$2000,MATCH(Consolidado!B684,RegistroPago!$A$1:$A$2000,0))&lt;&gt;""),"PAGADA",IF(I684&lt;&gt;"","PENDIENTE","SIN EMITIR")),"")</f>
        <v/>
      </c>
      <c r="I684" s="10"/>
      <c r="J684" s="2"/>
      <c r="K684" s="29"/>
      <c r="L684" s="29"/>
    </row>
    <row r="685" spans="1:12" ht="15.75" x14ac:dyDescent="0.25">
      <c r="A685" s="5"/>
      <c r="B685" s="7"/>
      <c r="C685" s="5"/>
      <c r="D685" s="5"/>
      <c r="E685" s="8"/>
      <c r="F685" s="9"/>
      <c r="G685" s="5"/>
      <c r="H685" s="28" t="str">
        <f>IFERROR(IF(AND(COUNTIF(RegistroPago!$A$1:$A$2000,Consolidado!B685)&gt;0,INDEX(RegistroPago!$E$1:$E$2000,MATCH(Consolidado!B685,RegistroPago!$A$1:$A$2000,0))&lt;&gt;""),"PAGADA",IF(I685&lt;&gt;"","PENDIENTE","SIN EMITIR")),"")</f>
        <v/>
      </c>
      <c r="I685" s="10"/>
      <c r="J685" s="2"/>
      <c r="K685" s="29"/>
      <c r="L685" s="29"/>
    </row>
    <row r="686" spans="1:12" ht="15.75" x14ac:dyDescent="0.25">
      <c r="A686" s="5"/>
      <c r="B686" s="7"/>
      <c r="C686" s="5"/>
      <c r="D686" s="5"/>
      <c r="E686" s="8"/>
      <c r="F686" s="9"/>
      <c r="G686" s="5"/>
      <c r="H686" s="28" t="str">
        <f>IFERROR(IF(AND(COUNTIF(RegistroPago!$A$1:$A$2000,Consolidado!B686)&gt;0,INDEX(RegistroPago!$E$1:$E$2000,MATCH(Consolidado!B686,RegistroPago!$A$1:$A$2000,0))&lt;&gt;""),"PAGADA",IF(I686&lt;&gt;"","PENDIENTE","SIN EMITIR")),"")</f>
        <v/>
      </c>
      <c r="I686" s="10"/>
      <c r="J686" s="2"/>
      <c r="K686" s="29"/>
      <c r="L686" s="29"/>
    </row>
    <row r="687" spans="1:12" ht="15.75" x14ac:dyDescent="0.25">
      <c r="A687" s="5"/>
      <c r="B687" s="7"/>
      <c r="C687" s="5"/>
      <c r="D687" s="5"/>
      <c r="E687" s="8"/>
      <c r="F687" s="9"/>
      <c r="G687" s="5"/>
      <c r="H687" s="28" t="str">
        <f>IFERROR(IF(AND(COUNTIF(RegistroPago!$A$1:$A$2000,Consolidado!B687)&gt;0,INDEX(RegistroPago!$E$1:$E$2000,MATCH(Consolidado!B687,RegistroPago!$A$1:$A$2000,0))&lt;&gt;""),"PAGADA",IF(I687&lt;&gt;"","PENDIENTE","SIN EMITIR")),"")</f>
        <v/>
      </c>
      <c r="I687" s="10"/>
      <c r="J687" s="2"/>
      <c r="K687" s="29"/>
      <c r="L687" s="29"/>
    </row>
    <row r="688" spans="1:12" ht="15.75" x14ac:dyDescent="0.25">
      <c r="A688" s="5"/>
      <c r="B688" s="7"/>
      <c r="C688" s="5"/>
      <c r="D688" s="5"/>
      <c r="E688" s="8"/>
      <c r="F688" s="9"/>
      <c r="G688" s="5"/>
      <c r="H688" s="28" t="str">
        <f>IFERROR(IF(AND(COUNTIF(RegistroPago!$A$1:$A$2000,Consolidado!B688)&gt;0,INDEX(RegistroPago!$E$1:$E$2000,MATCH(Consolidado!B688,RegistroPago!$A$1:$A$2000,0))&lt;&gt;""),"PAGADA",IF(I688&lt;&gt;"","PENDIENTE","SIN EMITIR")),"")</f>
        <v/>
      </c>
      <c r="I688" s="10"/>
      <c r="J688" s="2"/>
      <c r="K688" s="29"/>
      <c r="L688" s="29"/>
    </row>
    <row r="689" spans="1:12" ht="15.75" x14ac:dyDescent="0.25">
      <c r="A689" s="5"/>
      <c r="B689" s="7"/>
      <c r="C689" s="5"/>
      <c r="D689" s="5"/>
      <c r="E689" s="8"/>
      <c r="F689" s="9"/>
      <c r="G689" s="5"/>
      <c r="H689" s="28" t="str">
        <f>IFERROR(IF(AND(COUNTIF(RegistroPago!$A$1:$A$2000,Consolidado!B689)&gt;0,INDEX(RegistroPago!$E$1:$E$2000,MATCH(Consolidado!B689,RegistroPago!$A$1:$A$2000,0))&lt;&gt;""),"PAGADA",IF(I689&lt;&gt;"","PENDIENTE","SIN EMITIR")),"")</f>
        <v/>
      </c>
      <c r="I689" s="10"/>
      <c r="J689" s="2"/>
      <c r="K689" s="29"/>
      <c r="L689" s="29"/>
    </row>
    <row r="690" spans="1:12" ht="15.75" x14ac:dyDescent="0.25">
      <c r="A690" s="5"/>
      <c r="B690" s="7"/>
      <c r="C690" s="5"/>
      <c r="D690" s="5"/>
      <c r="E690" s="8"/>
      <c r="F690" s="9"/>
      <c r="G690" s="5"/>
      <c r="H690" s="28" t="str">
        <f>IFERROR(IF(AND(COUNTIF(RegistroPago!$A$1:$A$2000,Consolidado!B690)&gt;0,INDEX(RegistroPago!$E$1:$E$2000,MATCH(Consolidado!B690,RegistroPago!$A$1:$A$2000,0))&lt;&gt;""),"PAGADA",IF(I690&lt;&gt;"","PENDIENTE","SIN EMITIR")),"")</f>
        <v/>
      </c>
      <c r="I690" s="10"/>
      <c r="J690" s="2"/>
      <c r="K690" s="29"/>
      <c r="L690" s="29"/>
    </row>
    <row r="691" spans="1:12" ht="15.75" x14ac:dyDescent="0.25">
      <c r="A691" s="5"/>
      <c r="B691" s="7"/>
      <c r="C691" s="5"/>
      <c r="D691" s="5"/>
      <c r="E691" s="8"/>
      <c r="F691" s="9"/>
      <c r="G691" s="5"/>
      <c r="H691" s="28" t="str">
        <f>IFERROR(IF(AND(COUNTIF(RegistroPago!$A$1:$A$2000,Consolidado!B691)&gt;0,INDEX(RegistroPago!$E$1:$E$2000,MATCH(Consolidado!B691,RegistroPago!$A$1:$A$2000,0))&lt;&gt;""),"PAGADA",IF(I691&lt;&gt;"","PENDIENTE","SIN EMITIR")),"")</f>
        <v/>
      </c>
      <c r="I691" s="10"/>
      <c r="J691" s="2"/>
      <c r="K691" s="29"/>
      <c r="L691" s="29"/>
    </row>
    <row r="692" spans="1:12" ht="15.75" x14ac:dyDescent="0.25">
      <c r="A692" s="5"/>
      <c r="B692" s="7"/>
      <c r="C692" s="5"/>
      <c r="D692" s="5"/>
      <c r="E692" s="8"/>
      <c r="F692" s="9"/>
      <c r="G692" s="5"/>
      <c r="H692" s="28" t="str">
        <f>IFERROR(IF(AND(COUNTIF(RegistroPago!$A$1:$A$2000,Consolidado!B692)&gt;0,INDEX(RegistroPago!$E$1:$E$2000,MATCH(Consolidado!B692,RegistroPago!$A$1:$A$2000,0))&lt;&gt;""),"PAGADA",IF(I692&lt;&gt;"","PENDIENTE","SIN EMITIR")),"")</f>
        <v/>
      </c>
      <c r="I692" s="10"/>
      <c r="J692" s="2"/>
      <c r="K692" s="29"/>
      <c r="L692" s="29"/>
    </row>
    <row r="693" spans="1:12" ht="15.75" x14ac:dyDescent="0.25">
      <c r="A693" s="5"/>
      <c r="B693" s="7"/>
      <c r="C693" s="5"/>
      <c r="D693" s="5"/>
      <c r="E693" s="8"/>
      <c r="F693" s="9"/>
      <c r="G693" s="5"/>
      <c r="H693" s="28" t="str">
        <f>IFERROR(IF(AND(COUNTIF(RegistroPago!$A$1:$A$2000,Consolidado!B693)&gt;0,INDEX(RegistroPago!$E$1:$E$2000,MATCH(Consolidado!B693,RegistroPago!$A$1:$A$2000,0))&lt;&gt;""),"PAGADA",IF(I693&lt;&gt;"","PENDIENTE","SIN EMITIR")),"")</f>
        <v/>
      </c>
      <c r="I693" s="10"/>
      <c r="J693" s="2"/>
      <c r="K693" s="29"/>
      <c r="L693" s="29"/>
    </row>
    <row r="694" spans="1:12" ht="15.75" x14ac:dyDescent="0.25">
      <c r="A694" s="5"/>
      <c r="B694" s="7"/>
      <c r="C694" s="5"/>
      <c r="D694" s="5"/>
      <c r="E694" s="8"/>
      <c r="F694" s="9"/>
      <c r="G694" s="5"/>
      <c r="H694" s="28" t="str">
        <f>IFERROR(IF(AND(COUNTIF(RegistroPago!$A$1:$A$2000,Consolidado!B694)&gt;0,INDEX(RegistroPago!$E$1:$E$2000,MATCH(Consolidado!B694,RegistroPago!$A$1:$A$2000,0))&lt;&gt;""),"PAGADA",IF(I694&lt;&gt;"","PENDIENTE","SIN EMITIR")),"")</f>
        <v/>
      </c>
      <c r="I694" s="10"/>
      <c r="J694" s="2"/>
      <c r="K694" s="29"/>
      <c r="L694" s="29"/>
    </row>
    <row r="695" spans="1:12" ht="15.75" x14ac:dyDescent="0.25">
      <c r="A695" s="5"/>
      <c r="B695" s="7"/>
      <c r="C695" s="5"/>
      <c r="D695" s="5"/>
      <c r="E695" s="8"/>
      <c r="F695" s="9"/>
      <c r="G695" s="5"/>
      <c r="H695" s="28" t="str">
        <f>IFERROR(IF(AND(COUNTIF(RegistroPago!$A$1:$A$2000,Consolidado!B695)&gt;0,INDEX(RegistroPago!$E$1:$E$2000,MATCH(Consolidado!B695,RegistroPago!$A$1:$A$2000,0))&lt;&gt;""),"PAGADA",IF(I695&lt;&gt;"","PENDIENTE","SIN EMITIR")),"")</f>
        <v/>
      </c>
      <c r="I695" s="10"/>
      <c r="J695" s="2"/>
      <c r="K695" s="29"/>
      <c r="L695" s="29"/>
    </row>
    <row r="696" spans="1:12" ht="15.75" x14ac:dyDescent="0.25">
      <c r="A696" s="5"/>
      <c r="B696" s="7"/>
      <c r="C696" s="5"/>
      <c r="D696" s="5"/>
      <c r="E696" s="8"/>
      <c r="F696" s="9"/>
      <c r="G696" s="5"/>
      <c r="H696" s="28" t="str">
        <f>IFERROR(IF(AND(COUNTIF(RegistroPago!$A$1:$A$2000,Consolidado!B696)&gt;0,INDEX(RegistroPago!$E$1:$E$2000,MATCH(Consolidado!B696,RegistroPago!$A$1:$A$2000,0))&lt;&gt;""),"PAGADA",IF(I696&lt;&gt;"","PENDIENTE","SIN EMITIR")),"")</f>
        <v/>
      </c>
      <c r="I696" s="10"/>
      <c r="J696" s="2"/>
      <c r="K696" s="29"/>
      <c r="L696" s="29"/>
    </row>
    <row r="697" spans="1:12" ht="15.75" x14ac:dyDescent="0.25">
      <c r="A697" s="5"/>
      <c r="B697" s="7"/>
      <c r="C697" s="5"/>
      <c r="D697" s="5"/>
      <c r="E697" s="8"/>
      <c r="F697" s="9"/>
      <c r="G697" s="5"/>
      <c r="H697" s="28" t="str">
        <f>IFERROR(IF(AND(COUNTIF(RegistroPago!$A$1:$A$2000,Consolidado!B697)&gt;0,INDEX(RegistroPago!$E$1:$E$2000,MATCH(Consolidado!B697,RegistroPago!$A$1:$A$2000,0))&lt;&gt;""),"PAGADA",IF(I697&lt;&gt;"","PENDIENTE","SIN EMITIR")),"")</f>
        <v/>
      </c>
      <c r="I697" s="10"/>
      <c r="J697" s="2"/>
      <c r="K697" s="29"/>
      <c r="L697" s="29"/>
    </row>
    <row r="698" spans="1:12" ht="15.75" x14ac:dyDescent="0.25">
      <c r="A698" s="5"/>
      <c r="B698" s="7"/>
      <c r="C698" s="5"/>
      <c r="D698" s="5"/>
      <c r="E698" s="8"/>
      <c r="F698" s="9"/>
      <c r="G698" s="5"/>
      <c r="H698" s="28" t="str">
        <f>IFERROR(IF(AND(COUNTIF(RegistroPago!$A$1:$A$2000,Consolidado!B698)&gt;0,INDEX(RegistroPago!$E$1:$E$2000,MATCH(Consolidado!B698,RegistroPago!$A$1:$A$2000,0))&lt;&gt;""),"PAGADA",IF(I698&lt;&gt;"","PENDIENTE","SIN EMITIR")),"")</f>
        <v/>
      </c>
      <c r="I698" s="10"/>
      <c r="J698" s="2"/>
      <c r="K698" s="29"/>
      <c r="L698" s="29"/>
    </row>
    <row r="699" spans="1:12" ht="15.75" x14ac:dyDescent="0.25">
      <c r="A699" s="5"/>
      <c r="B699" s="7"/>
      <c r="C699" s="5"/>
      <c r="D699" s="5"/>
      <c r="E699" s="8"/>
      <c r="F699" s="9"/>
      <c r="G699" s="5"/>
      <c r="H699" s="28" t="str">
        <f>IFERROR(IF(AND(COUNTIF(RegistroPago!$A$1:$A$2000,Consolidado!B699)&gt;0,INDEX(RegistroPago!$E$1:$E$2000,MATCH(Consolidado!B699,RegistroPago!$A$1:$A$2000,0))&lt;&gt;""),"PAGADA",IF(I699&lt;&gt;"","PENDIENTE","SIN EMITIR")),"")</f>
        <v/>
      </c>
      <c r="I699" s="10"/>
      <c r="J699" s="2"/>
      <c r="K699" s="29"/>
      <c r="L699" s="29"/>
    </row>
    <row r="700" spans="1:12" ht="15.75" x14ac:dyDescent="0.25">
      <c r="A700" s="5"/>
      <c r="B700" s="7"/>
      <c r="C700" s="5"/>
      <c r="D700" s="5"/>
      <c r="E700" s="8"/>
      <c r="F700" s="9"/>
      <c r="G700" s="5"/>
      <c r="H700" s="28" t="str">
        <f>IFERROR(IF(AND(COUNTIF(RegistroPago!$A$1:$A$2000,Consolidado!B700)&gt;0,INDEX(RegistroPago!$E$1:$E$2000,MATCH(Consolidado!B700,RegistroPago!$A$1:$A$2000,0))&lt;&gt;""),"PAGADA",IF(I700&lt;&gt;"","PENDIENTE","SIN EMITIR")),"")</f>
        <v/>
      </c>
      <c r="I700" s="10"/>
      <c r="J700" s="2"/>
      <c r="K700" s="29"/>
      <c r="L700" s="29"/>
    </row>
    <row r="701" spans="1:12" ht="15.75" x14ac:dyDescent="0.25">
      <c r="A701" s="5"/>
      <c r="B701" s="7"/>
      <c r="C701" s="5"/>
      <c r="D701" s="5"/>
      <c r="E701" s="8"/>
      <c r="F701" s="9"/>
      <c r="G701" s="5"/>
      <c r="H701" s="28" t="str">
        <f>IFERROR(IF(AND(COUNTIF(RegistroPago!$A$1:$A$2000,Consolidado!B701)&gt;0,INDEX(RegistroPago!$E$1:$E$2000,MATCH(Consolidado!B701,RegistroPago!$A$1:$A$2000,0))&lt;&gt;""),"PAGADA",IF(I701&lt;&gt;"","PENDIENTE","SIN EMITIR")),"")</f>
        <v/>
      </c>
      <c r="I701" s="10"/>
      <c r="J701" s="2"/>
      <c r="K701" s="29"/>
      <c r="L701" s="29"/>
    </row>
    <row r="702" spans="1:12" ht="15.75" x14ac:dyDescent="0.25">
      <c r="A702" s="5"/>
      <c r="B702" s="7"/>
      <c r="C702" s="5"/>
      <c r="D702" s="5"/>
      <c r="E702" s="8"/>
      <c r="F702" s="9"/>
      <c r="G702" s="5"/>
      <c r="H702" s="28" t="str">
        <f>IFERROR(IF(AND(COUNTIF(RegistroPago!$A$1:$A$2000,Consolidado!B702)&gt;0,INDEX(RegistroPago!$E$1:$E$2000,MATCH(Consolidado!B702,RegistroPago!$A$1:$A$2000,0))&lt;&gt;""),"PAGADA",IF(I702&lt;&gt;"","PENDIENTE","SIN EMITIR")),"")</f>
        <v/>
      </c>
      <c r="I702" s="10"/>
      <c r="J702" s="2"/>
      <c r="K702" s="29"/>
      <c r="L702" s="29"/>
    </row>
    <row r="703" spans="1:12" ht="15.75" x14ac:dyDescent="0.25">
      <c r="A703" s="5"/>
      <c r="B703" s="7"/>
      <c r="C703" s="5"/>
      <c r="D703" s="5"/>
      <c r="E703" s="8"/>
      <c r="F703" s="9"/>
      <c r="G703" s="5"/>
      <c r="H703" s="28" t="str">
        <f>IFERROR(IF(AND(COUNTIF(RegistroPago!$A$1:$A$2000,Consolidado!B703)&gt;0,INDEX(RegistroPago!$E$1:$E$2000,MATCH(Consolidado!B703,RegistroPago!$A$1:$A$2000,0))&lt;&gt;""),"PAGADA",IF(I703&lt;&gt;"","PENDIENTE","SIN EMITIR")),"")</f>
        <v/>
      </c>
      <c r="I703" s="10"/>
      <c r="J703" s="2"/>
      <c r="K703" s="29"/>
      <c r="L703" s="29"/>
    </row>
    <row r="704" spans="1:12" ht="15.75" x14ac:dyDescent="0.25">
      <c r="A704" s="5"/>
      <c r="B704" s="7"/>
      <c r="C704" s="5"/>
      <c r="D704" s="5"/>
      <c r="E704" s="8"/>
      <c r="F704" s="9"/>
      <c r="G704" s="5"/>
      <c r="H704" s="28" t="str">
        <f>IFERROR(IF(AND(COUNTIF(RegistroPago!$A$1:$A$2000,Consolidado!B704)&gt;0,INDEX(RegistroPago!$E$1:$E$2000,MATCH(Consolidado!B704,RegistroPago!$A$1:$A$2000,0))&lt;&gt;""),"PAGADA",IF(I704&lt;&gt;"","PENDIENTE","SIN EMITIR")),"")</f>
        <v/>
      </c>
      <c r="I704" s="10"/>
      <c r="J704" s="2"/>
      <c r="K704" s="29"/>
      <c r="L704" s="29"/>
    </row>
    <row r="705" spans="1:12" ht="15.75" x14ac:dyDescent="0.25">
      <c r="A705" s="5"/>
      <c r="B705" s="7"/>
      <c r="C705" s="5"/>
      <c r="D705" s="5"/>
      <c r="E705" s="8"/>
      <c r="F705" s="9"/>
      <c r="G705" s="5"/>
      <c r="H705" s="28" t="str">
        <f>IFERROR(IF(AND(COUNTIF(RegistroPago!$A$1:$A$2000,Consolidado!B705)&gt;0,INDEX(RegistroPago!$E$1:$E$2000,MATCH(Consolidado!B705,RegistroPago!$A$1:$A$2000,0))&lt;&gt;""),"PAGADA",IF(I705&lt;&gt;"","PENDIENTE","SIN EMITIR")),"")</f>
        <v/>
      </c>
      <c r="I705" s="10"/>
      <c r="J705" s="2"/>
      <c r="K705" s="29"/>
      <c r="L705" s="29"/>
    </row>
    <row r="706" spans="1:12" ht="15.75" x14ac:dyDescent="0.25">
      <c r="A706" s="5"/>
      <c r="B706" s="7"/>
      <c r="C706" s="5"/>
      <c r="D706" s="5"/>
      <c r="E706" s="8"/>
      <c r="F706" s="9"/>
      <c r="G706" s="5"/>
      <c r="H706" s="28" t="str">
        <f>IFERROR(IF(AND(COUNTIF(RegistroPago!$A$1:$A$2000,Consolidado!B706)&gt;0,INDEX(RegistroPago!$E$1:$E$2000,MATCH(Consolidado!B706,RegistroPago!$A$1:$A$2000,0))&lt;&gt;""),"PAGADA",IF(I706&lt;&gt;"","PENDIENTE","SIN EMITIR")),"")</f>
        <v/>
      </c>
      <c r="I706" s="10"/>
      <c r="J706" s="2"/>
      <c r="K706" s="29"/>
      <c r="L706" s="29"/>
    </row>
    <row r="707" spans="1:12" ht="15.75" x14ac:dyDescent="0.25">
      <c r="A707" s="5"/>
      <c r="B707" s="7"/>
      <c r="C707" s="5"/>
      <c r="D707" s="5"/>
      <c r="E707" s="8"/>
      <c r="F707" s="9"/>
      <c r="G707" s="5"/>
      <c r="H707" s="28" t="str">
        <f>IFERROR(IF(AND(COUNTIF(RegistroPago!$A$1:$A$2000,Consolidado!B707)&gt;0,INDEX(RegistroPago!$E$1:$E$2000,MATCH(Consolidado!B707,RegistroPago!$A$1:$A$2000,0))&lt;&gt;""),"PAGADA",IF(I707&lt;&gt;"","PENDIENTE","SIN EMITIR")),"")</f>
        <v/>
      </c>
      <c r="I707" s="10"/>
      <c r="J707" s="2"/>
      <c r="K707" s="29"/>
      <c r="L707" s="29"/>
    </row>
    <row r="708" spans="1:12" ht="15.75" x14ac:dyDescent="0.25">
      <c r="A708" s="5"/>
      <c r="B708" s="7"/>
      <c r="C708" s="5"/>
      <c r="D708" s="5"/>
      <c r="E708" s="8"/>
      <c r="F708" s="9"/>
      <c r="G708" s="5"/>
      <c r="H708" s="28" t="str">
        <f>IFERROR(IF(AND(COUNTIF(RegistroPago!$A$1:$A$2000,Consolidado!B708)&gt;0,INDEX(RegistroPago!$E$1:$E$2000,MATCH(Consolidado!B708,RegistroPago!$A$1:$A$2000,0))&lt;&gt;""),"PAGADA",IF(I708&lt;&gt;"","PENDIENTE","SIN EMITIR")),"")</f>
        <v/>
      </c>
      <c r="I708" s="10"/>
      <c r="J708" s="2"/>
      <c r="K708" s="29"/>
      <c r="L708" s="29"/>
    </row>
    <row r="709" spans="1:12" ht="15.75" x14ac:dyDescent="0.25">
      <c r="A709" s="5"/>
      <c r="B709" s="7"/>
      <c r="C709" s="5"/>
      <c r="D709" s="5"/>
      <c r="E709" s="8"/>
      <c r="F709" s="9"/>
      <c r="G709" s="5"/>
      <c r="H709" s="28" t="str">
        <f>IFERROR(IF(AND(COUNTIF(RegistroPago!$A$1:$A$2000,Consolidado!B709)&gt;0,INDEX(RegistroPago!$E$1:$E$2000,MATCH(Consolidado!B709,RegistroPago!$A$1:$A$2000,0))&lt;&gt;""),"PAGADA",IF(I709&lt;&gt;"","PENDIENTE","SIN EMITIR")),"")</f>
        <v/>
      </c>
      <c r="I709" s="10"/>
      <c r="J709" s="2"/>
      <c r="K709" s="29"/>
      <c r="L709" s="29"/>
    </row>
    <row r="710" spans="1:12" ht="15.75" x14ac:dyDescent="0.25">
      <c r="A710" s="5"/>
      <c r="B710" s="7"/>
      <c r="C710" s="5"/>
      <c r="D710" s="5"/>
      <c r="E710" s="8"/>
      <c r="F710" s="9"/>
      <c r="G710" s="5"/>
      <c r="H710" s="28" t="str">
        <f>IFERROR(IF(AND(COUNTIF(RegistroPago!$A$1:$A$2000,Consolidado!B710)&gt;0,INDEX(RegistroPago!$E$1:$E$2000,MATCH(Consolidado!B710,RegistroPago!$A$1:$A$2000,0))&lt;&gt;""),"PAGADA",IF(I710&lt;&gt;"","PENDIENTE","SIN EMITIR")),"")</f>
        <v/>
      </c>
      <c r="I710" s="10"/>
      <c r="J710" s="2"/>
      <c r="K710" s="29"/>
      <c r="L710" s="29"/>
    </row>
    <row r="711" spans="1:12" ht="15.75" x14ac:dyDescent="0.25">
      <c r="A711" s="5"/>
      <c r="B711" s="7"/>
      <c r="C711" s="5"/>
      <c r="D711" s="5"/>
      <c r="E711" s="8"/>
      <c r="F711" s="9"/>
      <c r="G711" s="5"/>
      <c r="H711" s="28" t="str">
        <f>IFERROR(IF(AND(COUNTIF(RegistroPago!$A$1:$A$2000,Consolidado!B711)&gt;0,INDEX(RegistroPago!$E$1:$E$2000,MATCH(Consolidado!B711,RegistroPago!$A$1:$A$2000,0))&lt;&gt;""),"PAGADA",IF(I711&lt;&gt;"","PENDIENTE","SIN EMITIR")),"")</f>
        <v/>
      </c>
      <c r="I711" s="10"/>
      <c r="J711" s="2"/>
      <c r="K711" s="29"/>
      <c r="L711" s="29"/>
    </row>
    <row r="712" spans="1:12" ht="15.75" x14ac:dyDescent="0.25">
      <c r="A712" s="5"/>
      <c r="B712" s="7"/>
      <c r="C712" s="5"/>
      <c r="D712" s="5"/>
      <c r="E712" s="8"/>
      <c r="F712" s="9"/>
      <c r="G712" s="5"/>
      <c r="H712" s="28" t="str">
        <f>IFERROR(IF(AND(COUNTIF(RegistroPago!$A$1:$A$2000,Consolidado!B712)&gt;0,INDEX(RegistroPago!$E$1:$E$2000,MATCH(Consolidado!B712,RegistroPago!$A$1:$A$2000,0))&lt;&gt;""),"PAGADA",IF(I712&lt;&gt;"","PENDIENTE","SIN EMITIR")),"")</f>
        <v/>
      </c>
      <c r="I712" s="10"/>
      <c r="J712" s="2"/>
      <c r="K712" s="29"/>
      <c r="L712" s="29"/>
    </row>
    <row r="713" spans="1:12" ht="15.75" x14ac:dyDescent="0.25">
      <c r="A713" s="5"/>
      <c r="B713" s="7"/>
      <c r="C713" s="5"/>
      <c r="D713" s="5"/>
      <c r="E713" s="8"/>
      <c r="F713" s="9"/>
      <c r="G713" s="5"/>
      <c r="H713" s="28" t="str">
        <f>IFERROR(IF(AND(COUNTIF(RegistroPago!$A$1:$A$2000,Consolidado!B713)&gt;0,INDEX(RegistroPago!$E$1:$E$2000,MATCH(Consolidado!B713,RegistroPago!$A$1:$A$2000,0))&lt;&gt;""),"PAGADA",IF(I713&lt;&gt;"","PENDIENTE","SIN EMITIR")),"")</f>
        <v/>
      </c>
      <c r="I713" s="10"/>
      <c r="J713" s="2"/>
      <c r="K713" s="29"/>
      <c r="L713" s="29"/>
    </row>
    <row r="714" spans="1:12" ht="15.75" x14ac:dyDescent="0.25">
      <c r="A714" s="5"/>
      <c r="B714" s="7"/>
      <c r="C714" s="5"/>
      <c r="D714" s="5"/>
      <c r="E714" s="8"/>
      <c r="F714" s="9"/>
      <c r="G714" s="5"/>
      <c r="H714" s="28" t="str">
        <f>IFERROR(IF(AND(COUNTIF(RegistroPago!$A$1:$A$2000,Consolidado!B714)&gt;0,INDEX(RegistroPago!$E$1:$E$2000,MATCH(Consolidado!B714,RegistroPago!$A$1:$A$2000,0))&lt;&gt;""),"PAGADA",IF(I714&lt;&gt;"","PENDIENTE","SIN EMITIR")),"")</f>
        <v/>
      </c>
      <c r="I714" s="10"/>
      <c r="J714" s="2"/>
      <c r="K714" s="29"/>
      <c r="L714" s="29"/>
    </row>
    <row r="715" spans="1:12" ht="15.75" x14ac:dyDescent="0.25">
      <c r="A715" s="5"/>
      <c r="B715" s="7"/>
      <c r="C715" s="5"/>
      <c r="D715" s="5"/>
      <c r="E715" s="8"/>
      <c r="F715" s="9"/>
      <c r="G715" s="5"/>
      <c r="H715" s="28" t="str">
        <f>IFERROR(IF(AND(COUNTIF(RegistroPago!$A$1:$A$2000,Consolidado!B715)&gt;0,INDEX(RegistroPago!$E$1:$E$2000,MATCH(Consolidado!B715,RegistroPago!$A$1:$A$2000,0))&lt;&gt;""),"PAGADA",IF(I715&lt;&gt;"","PENDIENTE","SIN EMITIR")),"")</f>
        <v/>
      </c>
      <c r="I715" s="10"/>
      <c r="J715" s="2"/>
      <c r="K715" s="29"/>
      <c r="L715" s="29"/>
    </row>
    <row r="716" spans="1:12" ht="15.75" x14ac:dyDescent="0.25">
      <c r="A716" s="5"/>
      <c r="B716" s="7"/>
      <c r="C716" s="5"/>
      <c r="D716" s="5"/>
      <c r="E716" s="8"/>
      <c r="F716" s="9"/>
      <c r="G716" s="5"/>
      <c r="H716" s="28" t="str">
        <f>IFERROR(IF(AND(COUNTIF(RegistroPago!$A$1:$A$2000,Consolidado!B716)&gt;0,INDEX(RegistroPago!$E$1:$E$2000,MATCH(Consolidado!B716,RegistroPago!$A$1:$A$2000,0))&lt;&gt;""),"PAGADA",IF(I716&lt;&gt;"","PENDIENTE","SIN EMITIR")),"")</f>
        <v/>
      </c>
      <c r="I716" s="10"/>
      <c r="J716" s="2"/>
      <c r="K716" s="29"/>
      <c r="L716" s="29"/>
    </row>
    <row r="717" spans="1:12" ht="15.75" x14ac:dyDescent="0.25">
      <c r="A717" s="5"/>
      <c r="B717" s="7"/>
      <c r="C717" s="5"/>
      <c r="D717" s="5"/>
      <c r="E717" s="8"/>
      <c r="F717" s="9"/>
      <c r="G717" s="5"/>
      <c r="H717" s="28" t="str">
        <f>IFERROR(IF(AND(COUNTIF(RegistroPago!$A$1:$A$2000,Consolidado!B717)&gt;0,INDEX(RegistroPago!$E$1:$E$2000,MATCH(Consolidado!B717,RegistroPago!$A$1:$A$2000,0))&lt;&gt;""),"PAGADA",IF(I717&lt;&gt;"","PENDIENTE","SIN EMITIR")),"")</f>
        <v/>
      </c>
      <c r="I717" s="10"/>
      <c r="J717" s="2"/>
      <c r="K717" s="29"/>
      <c r="L717" s="29"/>
    </row>
    <row r="718" spans="1:12" ht="15.75" x14ac:dyDescent="0.25">
      <c r="A718" s="5"/>
      <c r="B718" s="7"/>
      <c r="C718" s="5"/>
      <c r="D718" s="5"/>
      <c r="E718" s="8"/>
      <c r="F718" s="9"/>
      <c r="G718" s="5"/>
      <c r="H718" s="28" t="str">
        <f>IFERROR(IF(AND(COUNTIF(RegistroPago!$A$1:$A$2000,Consolidado!B718)&gt;0,INDEX(RegistroPago!$E$1:$E$2000,MATCH(Consolidado!B718,RegistroPago!$A$1:$A$2000,0))&lt;&gt;""),"PAGADA",IF(I718&lt;&gt;"","PENDIENTE","SIN EMITIR")),"")</f>
        <v/>
      </c>
      <c r="I718" s="10"/>
      <c r="J718" s="2"/>
      <c r="K718" s="29"/>
      <c r="L718" s="29"/>
    </row>
    <row r="719" spans="1:12" ht="15.75" x14ac:dyDescent="0.25">
      <c r="A719" s="5"/>
      <c r="B719" s="7"/>
      <c r="C719" s="5"/>
      <c r="D719" s="5"/>
      <c r="E719" s="8"/>
      <c r="F719" s="9"/>
      <c r="G719" s="5"/>
      <c r="H719" s="28" t="str">
        <f>IFERROR(IF(AND(COUNTIF(RegistroPago!$A$1:$A$2000,Consolidado!B719)&gt;0,INDEX(RegistroPago!$E$1:$E$2000,MATCH(Consolidado!B719,RegistroPago!$A$1:$A$2000,0))&lt;&gt;""),"PAGADA",IF(I719&lt;&gt;"","PENDIENTE","SIN EMITIR")),"")</f>
        <v/>
      </c>
      <c r="I719" s="10"/>
      <c r="J719" s="2"/>
      <c r="K719" s="29"/>
      <c r="L719" s="29"/>
    </row>
    <row r="720" spans="1:12" ht="15.75" x14ac:dyDescent="0.25">
      <c r="A720" s="5"/>
      <c r="B720" s="7"/>
      <c r="C720" s="5"/>
      <c r="D720" s="5"/>
      <c r="E720" s="8"/>
      <c r="F720" s="9"/>
      <c r="G720" s="5"/>
      <c r="H720" s="28" t="str">
        <f>IFERROR(IF(AND(COUNTIF(RegistroPago!$A$1:$A$2000,Consolidado!B720)&gt;0,INDEX(RegistroPago!$E$1:$E$2000,MATCH(Consolidado!B720,RegistroPago!$A$1:$A$2000,0))&lt;&gt;""),"PAGADA",IF(I720&lt;&gt;"","PENDIENTE","SIN EMITIR")),"")</f>
        <v/>
      </c>
      <c r="I720" s="10"/>
      <c r="J720" s="2"/>
      <c r="K720" s="29"/>
      <c r="L720" s="29"/>
    </row>
    <row r="721" spans="1:12" ht="15.75" x14ac:dyDescent="0.25">
      <c r="A721" s="5"/>
      <c r="B721" s="7"/>
      <c r="C721" s="5"/>
      <c r="D721" s="5"/>
      <c r="E721" s="8"/>
      <c r="F721" s="9"/>
      <c r="G721" s="5"/>
      <c r="H721" s="28" t="str">
        <f>IFERROR(IF(AND(COUNTIF(RegistroPago!$A$1:$A$2000,Consolidado!B721)&gt;0,INDEX(RegistroPago!$E$1:$E$2000,MATCH(Consolidado!B721,RegistroPago!$A$1:$A$2000,0))&lt;&gt;""),"PAGADA",IF(I721&lt;&gt;"","PENDIENTE","SIN EMITIR")),"")</f>
        <v/>
      </c>
      <c r="I721" s="10"/>
      <c r="J721" s="2"/>
      <c r="K721" s="29"/>
      <c r="L721" s="29"/>
    </row>
    <row r="722" spans="1:12" ht="15.75" x14ac:dyDescent="0.25">
      <c r="A722" s="5"/>
      <c r="B722" s="7"/>
      <c r="C722" s="5"/>
      <c r="D722" s="5"/>
      <c r="E722" s="8"/>
      <c r="F722" s="9"/>
      <c r="G722" s="5"/>
      <c r="H722" s="28" t="str">
        <f>IFERROR(IF(AND(COUNTIF(RegistroPago!$A$1:$A$2000,Consolidado!B722)&gt;0,INDEX(RegistroPago!$E$1:$E$2000,MATCH(Consolidado!B722,RegistroPago!$A$1:$A$2000,0))&lt;&gt;""),"PAGADA",IF(I722&lt;&gt;"","PENDIENTE","SIN EMITIR")),"")</f>
        <v/>
      </c>
      <c r="I722" s="10"/>
      <c r="J722" s="2"/>
      <c r="K722" s="29"/>
      <c r="L722" s="29"/>
    </row>
    <row r="723" spans="1:12" ht="15.75" x14ac:dyDescent="0.25">
      <c r="A723" s="5"/>
      <c r="B723" s="7"/>
      <c r="C723" s="5"/>
      <c r="D723" s="5"/>
      <c r="E723" s="8"/>
      <c r="F723" s="9"/>
      <c r="G723" s="5"/>
      <c r="H723" s="28" t="str">
        <f>IFERROR(IF(AND(COUNTIF(RegistroPago!$A$1:$A$2000,Consolidado!B723)&gt;0,INDEX(RegistroPago!$E$1:$E$2000,MATCH(Consolidado!B723,RegistroPago!$A$1:$A$2000,0))&lt;&gt;""),"PAGADA",IF(I723&lt;&gt;"","PENDIENTE","SIN EMITIR")),"")</f>
        <v/>
      </c>
      <c r="I723" s="10"/>
      <c r="J723" s="2"/>
      <c r="K723" s="29"/>
      <c r="L723" s="29"/>
    </row>
    <row r="724" spans="1:12" ht="15.75" x14ac:dyDescent="0.25">
      <c r="A724" s="5"/>
      <c r="B724" s="7"/>
      <c r="C724" s="5"/>
      <c r="D724" s="5"/>
      <c r="E724" s="8"/>
      <c r="F724" s="9"/>
      <c r="G724" s="5"/>
      <c r="H724" s="28" t="str">
        <f>IFERROR(IF(AND(COUNTIF(RegistroPago!$A$1:$A$2000,Consolidado!B724)&gt;0,INDEX(RegistroPago!$E$1:$E$2000,MATCH(Consolidado!B724,RegistroPago!$A$1:$A$2000,0))&lt;&gt;""),"PAGADA",IF(I724&lt;&gt;"","PENDIENTE","SIN EMITIR")),"")</f>
        <v/>
      </c>
      <c r="I724" s="10"/>
      <c r="J724" s="2"/>
      <c r="K724" s="29"/>
      <c r="L724" s="29"/>
    </row>
    <row r="725" spans="1:12" ht="15.75" x14ac:dyDescent="0.25">
      <c r="A725" s="5"/>
      <c r="B725" s="7"/>
      <c r="C725" s="5"/>
      <c r="D725" s="5"/>
      <c r="E725" s="8"/>
      <c r="F725" s="9"/>
      <c r="G725" s="5"/>
      <c r="H725" s="28" t="str">
        <f>IFERROR(IF(AND(COUNTIF(RegistroPago!$A$1:$A$2000,Consolidado!B725)&gt;0,INDEX(RegistroPago!$E$1:$E$2000,MATCH(Consolidado!B725,RegistroPago!$A$1:$A$2000,0))&lt;&gt;""),"PAGADA",IF(I725&lt;&gt;"","PENDIENTE","SIN EMITIR")),"")</f>
        <v/>
      </c>
      <c r="I725" s="10"/>
      <c r="J725" s="2"/>
      <c r="K725" s="29"/>
      <c r="L725" s="29"/>
    </row>
    <row r="726" spans="1:12" ht="15.75" x14ac:dyDescent="0.25">
      <c r="A726" s="5"/>
      <c r="B726" s="7"/>
      <c r="C726" s="5"/>
      <c r="D726" s="5"/>
      <c r="E726" s="8"/>
      <c r="F726" s="9"/>
      <c r="G726" s="5"/>
      <c r="H726" s="28" t="str">
        <f>IFERROR(IF(AND(COUNTIF(RegistroPago!$A$1:$A$2000,Consolidado!B726)&gt;0,INDEX(RegistroPago!$E$1:$E$2000,MATCH(Consolidado!B726,RegistroPago!$A$1:$A$2000,0))&lt;&gt;""),"PAGADA",IF(I726&lt;&gt;"","PENDIENTE","SIN EMITIR")),"")</f>
        <v/>
      </c>
      <c r="I726" s="10"/>
      <c r="J726" s="2"/>
      <c r="K726" s="29"/>
      <c r="L726" s="29"/>
    </row>
    <row r="727" spans="1:12" ht="15.75" x14ac:dyDescent="0.25">
      <c r="A727" s="5"/>
      <c r="B727" s="7"/>
      <c r="C727" s="5"/>
      <c r="D727" s="5"/>
      <c r="E727" s="8"/>
      <c r="F727" s="9"/>
      <c r="G727" s="5"/>
      <c r="H727" s="28" t="str">
        <f>IFERROR(IF(AND(COUNTIF(RegistroPago!$A$1:$A$2000,Consolidado!B727)&gt;0,INDEX(RegistroPago!$E$1:$E$2000,MATCH(Consolidado!B727,RegistroPago!$A$1:$A$2000,0))&lt;&gt;""),"PAGADA",IF(I727&lt;&gt;"","PENDIENTE","SIN EMITIR")),"")</f>
        <v/>
      </c>
      <c r="I727" s="10"/>
      <c r="J727" s="2"/>
      <c r="K727" s="29"/>
      <c r="L727" s="29"/>
    </row>
    <row r="728" spans="1:12" ht="15.75" x14ac:dyDescent="0.25">
      <c r="A728" s="5"/>
      <c r="B728" s="7"/>
      <c r="C728" s="5"/>
      <c r="D728" s="5"/>
      <c r="E728" s="8"/>
      <c r="F728" s="9"/>
      <c r="G728" s="5"/>
      <c r="H728" s="28" t="str">
        <f>IFERROR(IF(AND(COUNTIF(RegistroPago!$A$1:$A$2000,Consolidado!B728)&gt;0,INDEX(RegistroPago!$E$1:$E$2000,MATCH(Consolidado!B728,RegistroPago!$A$1:$A$2000,0))&lt;&gt;""),"PAGADA",IF(I728&lt;&gt;"","PENDIENTE","SIN EMITIR")),"")</f>
        <v/>
      </c>
      <c r="I728" s="10"/>
      <c r="J728" s="2"/>
      <c r="K728" s="29"/>
      <c r="L728" s="29"/>
    </row>
    <row r="729" spans="1:12" ht="15.75" x14ac:dyDescent="0.25">
      <c r="A729" s="5"/>
      <c r="B729" s="7"/>
      <c r="C729" s="5"/>
      <c r="D729" s="5"/>
      <c r="E729" s="8"/>
      <c r="F729" s="9"/>
      <c r="G729" s="5"/>
      <c r="H729" s="28" t="str">
        <f>IFERROR(IF(AND(COUNTIF(RegistroPago!$A$1:$A$2000,Consolidado!B729)&gt;0,INDEX(RegistroPago!$E$1:$E$2000,MATCH(Consolidado!B729,RegistroPago!$A$1:$A$2000,0))&lt;&gt;""),"PAGADA",IF(I729&lt;&gt;"","PENDIENTE","SIN EMITIR")),"")</f>
        <v/>
      </c>
      <c r="I729" s="10"/>
      <c r="J729" s="2"/>
      <c r="K729" s="29"/>
      <c r="L729" s="29"/>
    </row>
    <row r="730" spans="1:12" ht="15.75" x14ac:dyDescent="0.25">
      <c r="A730" s="5"/>
      <c r="B730" s="7"/>
      <c r="C730" s="5"/>
      <c r="D730" s="5"/>
      <c r="E730" s="8"/>
      <c r="F730" s="9"/>
      <c r="G730" s="5"/>
      <c r="H730" s="28" t="str">
        <f>IFERROR(IF(AND(COUNTIF(RegistroPago!$A$1:$A$2000,Consolidado!B730)&gt;0,INDEX(RegistroPago!$E$1:$E$2000,MATCH(Consolidado!B730,RegistroPago!$A$1:$A$2000,0))&lt;&gt;""),"PAGADA",IF(I730&lt;&gt;"","PENDIENTE","SIN EMITIR")),"")</f>
        <v/>
      </c>
      <c r="I730" s="10"/>
      <c r="J730" s="2"/>
      <c r="K730" s="29"/>
      <c r="L730" s="29"/>
    </row>
    <row r="731" spans="1:12" ht="15.75" x14ac:dyDescent="0.25">
      <c r="A731" s="5"/>
      <c r="B731" s="7"/>
      <c r="C731" s="5"/>
      <c r="D731" s="5"/>
      <c r="E731" s="8"/>
      <c r="F731" s="9"/>
      <c r="G731" s="5"/>
      <c r="H731" s="28" t="str">
        <f>IFERROR(IF(AND(COUNTIF(RegistroPago!$A$1:$A$2000,Consolidado!B731)&gt;0,INDEX(RegistroPago!$E$1:$E$2000,MATCH(Consolidado!B731,RegistroPago!$A$1:$A$2000,0))&lt;&gt;""),"PAGADA",IF(I731&lt;&gt;"","PENDIENTE","SIN EMITIR")),"")</f>
        <v/>
      </c>
      <c r="I731" s="10"/>
      <c r="J731" s="2"/>
      <c r="K731" s="29"/>
      <c r="L731" s="29"/>
    </row>
    <row r="732" spans="1:12" ht="15.75" x14ac:dyDescent="0.25">
      <c r="A732" s="5"/>
      <c r="B732" s="7"/>
      <c r="C732" s="5"/>
      <c r="D732" s="5"/>
      <c r="E732" s="8"/>
      <c r="F732" s="9"/>
      <c r="G732" s="5"/>
      <c r="H732" s="28" t="str">
        <f>IFERROR(IF(AND(COUNTIF(RegistroPago!$A$1:$A$2000,Consolidado!B732)&gt;0,INDEX(RegistroPago!$E$1:$E$2000,MATCH(Consolidado!B732,RegistroPago!$A$1:$A$2000,0))&lt;&gt;""),"PAGADA",IF(I732&lt;&gt;"","PENDIENTE","SIN EMITIR")),"")</f>
        <v/>
      </c>
      <c r="I732" s="10"/>
      <c r="J732" s="2"/>
      <c r="K732" s="29"/>
      <c r="L732" s="29"/>
    </row>
    <row r="733" spans="1:12" ht="15.75" x14ac:dyDescent="0.25">
      <c r="A733" s="5"/>
      <c r="B733" s="7"/>
      <c r="C733" s="5"/>
      <c r="D733" s="5"/>
      <c r="E733" s="8"/>
      <c r="F733" s="9"/>
      <c r="G733" s="5"/>
      <c r="H733" s="28" t="str">
        <f>IFERROR(IF(AND(COUNTIF(RegistroPago!$A$1:$A$2000,Consolidado!B733)&gt;0,INDEX(RegistroPago!$E$1:$E$2000,MATCH(Consolidado!B733,RegistroPago!$A$1:$A$2000,0))&lt;&gt;""),"PAGADA",IF(I733&lt;&gt;"","PENDIENTE","SIN EMITIR")),"")</f>
        <v/>
      </c>
      <c r="I733" s="10"/>
      <c r="J733" s="2"/>
      <c r="K733" s="29"/>
      <c r="L733" s="29"/>
    </row>
    <row r="734" spans="1:12" ht="15.75" x14ac:dyDescent="0.25">
      <c r="A734" s="5"/>
      <c r="B734" s="7"/>
      <c r="C734" s="5"/>
      <c r="D734" s="5"/>
      <c r="E734" s="8"/>
      <c r="F734" s="9"/>
      <c r="G734" s="5"/>
      <c r="H734" s="28" t="str">
        <f>IFERROR(IF(AND(COUNTIF(RegistroPago!$A$1:$A$2000,Consolidado!B734)&gt;0,INDEX(RegistroPago!$E$1:$E$2000,MATCH(Consolidado!B734,RegistroPago!$A$1:$A$2000,0))&lt;&gt;""),"PAGADA",IF(I734&lt;&gt;"","PENDIENTE","SIN EMITIR")),"")</f>
        <v/>
      </c>
      <c r="I734" s="10"/>
      <c r="J734" s="2"/>
      <c r="K734" s="29"/>
      <c r="L734" s="29"/>
    </row>
    <row r="735" spans="1:12" ht="15.75" x14ac:dyDescent="0.25">
      <c r="A735" s="5"/>
      <c r="B735" s="7"/>
      <c r="C735" s="5"/>
      <c r="D735" s="5"/>
      <c r="E735" s="8"/>
      <c r="F735" s="9"/>
      <c r="G735" s="5"/>
      <c r="H735" s="28" t="str">
        <f>IFERROR(IF(AND(COUNTIF(RegistroPago!$A$1:$A$2000,Consolidado!B735)&gt;0,INDEX(RegistroPago!$E$1:$E$2000,MATCH(Consolidado!B735,RegistroPago!$A$1:$A$2000,0))&lt;&gt;""),"PAGADA",IF(I735&lt;&gt;"","PENDIENTE","SIN EMITIR")),"")</f>
        <v/>
      </c>
      <c r="I735" s="10"/>
      <c r="J735" s="2"/>
      <c r="K735" s="29"/>
      <c r="L735" s="29"/>
    </row>
    <row r="736" spans="1:12" ht="15.75" x14ac:dyDescent="0.25">
      <c r="A736" s="5"/>
      <c r="B736" s="7"/>
      <c r="C736" s="5"/>
      <c r="D736" s="5"/>
      <c r="E736" s="8"/>
      <c r="F736" s="9"/>
      <c r="G736" s="5"/>
      <c r="H736" s="28" t="str">
        <f>IFERROR(IF(AND(COUNTIF(RegistroPago!$A$1:$A$2000,Consolidado!B736)&gt;0,INDEX(RegistroPago!$E$1:$E$2000,MATCH(Consolidado!B736,RegistroPago!$A$1:$A$2000,0))&lt;&gt;""),"PAGADA",IF(I736&lt;&gt;"","PENDIENTE","SIN EMITIR")),"")</f>
        <v/>
      </c>
      <c r="I736" s="10"/>
      <c r="J736" s="2"/>
      <c r="K736" s="29"/>
      <c r="L736" s="29"/>
    </row>
    <row r="737" spans="1:12" ht="15.75" x14ac:dyDescent="0.25">
      <c r="A737" s="5"/>
      <c r="B737" s="7"/>
      <c r="C737" s="5"/>
      <c r="D737" s="5"/>
      <c r="E737" s="8"/>
      <c r="F737" s="9"/>
      <c r="G737" s="5"/>
      <c r="H737" s="28" t="str">
        <f>IFERROR(IF(AND(COUNTIF(RegistroPago!$A$1:$A$2000,Consolidado!B737)&gt;0,INDEX(RegistroPago!$E$1:$E$2000,MATCH(Consolidado!B737,RegistroPago!$A$1:$A$2000,0))&lt;&gt;""),"PAGADA",IF(I737&lt;&gt;"","PENDIENTE","SIN EMITIR")),"")</f>
        <v/>
      </c>
      <c r="I737" s="10"/>
      <c r="J737" s="2"/>
      <c r="K737" s="29"/>
      <c r="L737" s="29"/>
    </row>
    <row r="738" spans="1:12" ht="15.75" x14ac:dyDescent="0.25">
      <c r="A738" s="5"/>
      <c r="B738" s="7"/>
      <c r="C738" s="5"/>
      <c r="D738" s="5"/>
      <c r="E738" s="8"/>
      <c r="F738" s="9"/>
      <c r="G738" s="5"/>
      <c r="H738" s="28" t="str">
        <f>IFERROR(IF(AND(COUNTIF(RegistroPago!$A$1:$A$2000,Consolidado!B738)&gt;0,INDEX(RegistroPago!$E$1:$E$2000,MATCH(Consolidado!B738,RegistroPago!$A$1:$A$2000,0))&lt;&gt;""),"PAGADA",IF(I738&lt;&gt;"","PENDIENTE","SIN EMITIR")),"")</f>
        <v/>
      </c>
      <c r="I738" s="10"/>
      <c r="J738" s="2"/>
      <c r="K738" s="29"/>
      <c r="L738" s="29"/>
    </row>
    <row r="739" spans="1:12" ht="15.75" x14ac:dyDescent="0.25">
      <c r="A739" s="5"/>
      <c r="B739" s="7"/>
      <c r="C739" s="5"/>
      <c r="D739" s="5"/>
      <c r="E739" s="8"/>
      <c r="F739" s="9"/>
      <c r="G739" s="5"/>
      <c r="H739" s="28" t="str">
        <f>IFERROR(IF(AND(COUNTIF(RegistroPago!$A$1:$A$2000,Consolidado!B739)&gt;0,INDEX(RegistroPago!$E$1:$E$2000,MATCH(Consolidado!B739,RegistroPago!$A$1:$A$2000,0))&lt;&gt;""),"PAGADA",IF(I739&lt;&gt;"","PENDIENTE","SIN EMITIR")),"")</f>
        <v/>
      </c>
      <c r="I739" s="10"/>
      <c r="J739" s="2"/>
      <c r="K739" s="29"/>
      <c r="L739" s="29"/>
    </row>
    <row r="740" spans="1:12" ht="15.75" x14ac:dyDescent="0.25">
      <c r="A740" s="5"/>
      <c r="B740" s="7"/>
      <c r="C740" s="5"/>
      <c r="D740" s="5"/>
      <c r="E740" s="8"/>
      <c r="F740" s="9"/>
      <c r="G740" s="5"/>
      <c r="H740" s="28" t="str">
        <f>IFERROR(IF(AND(COUNTIF(RegistroPago!$A$1:$A$2000,Consolidado!B740)&gt;0,INDEX(RegistroPago!$E$1:$E$2000,MATCH(Consolidado!B740,RegistroPago!$A$1:$A$2000,0))&lt;&gt;""),"PAGADA",IF(I740&lt;&gt;"","PENDIENTE","SIN EMITIR")),"")</f>
        <v/>
      </c>
      <c r="I740" s="10"/>
      <c r="J740" s="2"/>
      <c r="K740" s="29"/>
      <c r="L740" s="29"/>
    </row>
    <row r="741" spans="1:12" ht="15.75" x14ac:dyDescent="0.25">
      <c r="A741" s="5"/>
      <c r="B741" s="7"/>
      <c r="C741" s="5"/>
      <c r="D741" s="5"/>
      <c r="E741" s="8"/>
      <c r="F741" s="9"/>
      <c r="G741" s="5"/>
      <c r="H741" s="28" t="str">
        <f>IFERROR(IF(AND(COUNTIF(RegistroPago!$A$1:$A$2000,Consolidado!B741)&gt;0,INDEX(RegistroPago!$E$1:$E$2000,MATCH(Consolidado!B741,RegistroPago!$A$1:$A$2000,0))&lt;&gt;""),"PAGADA",IF(I741&lt;&gt;"","PENDIENTE","SIN EMITIR")),"")</f>
        <v/>
      </c>
      <c r="I741" s="10"/>
      <c r="J741" s="2"/>
      <c r="K741" s="29"/>
      <c r="L741" s="29"/>
    </row>
    <row r="742" spans="1:12" ht="15.75" x14ac:dyDescent="0.25">
      <c r="A742" s="5"/>
      <c r="B742" s="7"/>
      <c r="C742" s="5"/>
      <c r="D742" s="5"/>
      <c r="E742" s="8"/>
      <c r="F742" s="9"/>
      <c r="G742" s="5"/>
      <c r="H742" s="28" t="str">
        <f>IFERROR(IF(AND(COUNTIF(RegistroPago!$A$1:$A$2000,Consolidado!B742)&gt;0,INDEX(RegistroPago!$E$1:$E$2000,MATCH(Consolidado!B742,RegistroPago!$A$1:$A$2000,0))&lt;&gt;""),"PAGADA",IF(I742&lt;&gt;"","PENDIENTE","SIN EMITIR")),"")</f>
        <v/>
      </c>
      <c r="I742" s="10"/>
      <c r="J742" s="2"/>
      <c r="K742" s="29"/>
      <c r="L742" s="29"/>
    </row>
    <row r="743" spans="1:12" ht="15.75" x14ac:dyDescent="0.25">
      <c r="A743" s="5"/>
      <c r="B743" s="7"/>
      <c r="C743" s="5"/>
      <c r="D743" s="5"/>
      <c r="E743" s="8"/>
      <c r="F743" s="9"/>
      <c r="G743" s="5"/>
      <c r="H743" s="28" t="str">
        <f>IFERROR(IF(AND(COUNTIF(RegistroPago!$A$1:$A$2000,Consolidado!B743)&gt;0,INDEX(RegistroPago!$E$1:$E$2000,MATCH(Consolidado!B743,RegistroPago!$A$1:$A$2000,0))&lt;&gt;""),"PAGADA",IF(I743&lt;&gt;"","PENDIENTE","SIN EMITIR")),"")</f>
        <v/>
      </c>
      <c r="I743" s="10"/>
      <c r="J743" s="2"/>
      <c r="K743" s="29"/>
      <c r="L743" s="29"/>
    </row>
    <row r="744" spans="1:12" ht="15.75" x14ac:dyDescent="0.25">
      <c r="A744" s="5"/>
      <c r="B744" s="7"/>
      <c r="C744" s="5"/>
      <c r="D744" s="5"/>
      <c r="E744" s="8"/>
      <c r="F744" s="9"/>
      <c r="G744" s="5"/>
      <c r="H744" s="28" t="str">
        <f>IFERROR(IF(AND(COUNTIF(RegistroPago!$A$1:$A$2000,Consolidado!B744)&gt;0,INDEX(RegistroPago!$E$1:$E$2000,MATCH(Consolidado!B744,RegistroPago!$A$1:$A$2000,0))&lt;&gt;""),"PAGADA",IF(I744&lt;&gt;"","PENDIENTE","SIN EMITIR")),"")</f>
        <v/>
      </c>
      <c r="I744" s="10"/>
      <c r="J744" s="2"/>
      <c r="K744" s="29"/>
      <c r="L744" s="29"/>
    </row>
    <row r="745" spans="1:12" ht="15.75" x14ac:dyDescent="0.25">
      <c r="A745" s="5"/>
      <c r="B745" s="7"/>
      <c r="C745" s="5"/>
      <c r="D745" s="5"/>
      <c r="E745" s="8"/>
      <c r="F745" s="9"/>
      <c r="G745" s="5"/>
      <c r="H745" s="28" t="str">
        <f>IFERROR(IF(AND(COUNTIF(RegistroPago!$A$1:$A$2000,Consolidado!B745)&gt;0,INDEX(RegistroPago!$E$1:$E$2000,MATCH(Consolidado!B745,RegistroPago!$A$1:$A$2000,0))&lt;&gt;""),"PAGADA",IF(I745&lt;&gt;"","PENDIENTE","SIN EMITIR")),"")</f>
        <v/>
      </c>
      <c r="I745" s="10"/>
      <c r="J745" s="2"/>
      <c r="K745" s="29"/>
      <c r="L745" s="29"/>
    </row>
    <row r="746" spans="1:12" ht="15.75" x14ac:dyDescent="0.25">
      <c r="A746" s="5"/>
      <c r="B746" s="7"/>
      <c r="C746" s="5"/>
      <c r="D746" s="5"/>
      <c r="E746" s="8"/>
      <c r="F746" s="9"/>
      <c r="G746" s="5"/>
      <c r="H746" s="28" t="str">
        <f>IFERROR(IF(AND(COUNTIF(RegistroPago!$A$1:$A$2000,Consolidado!B746)&gt;0,INDEX(RegistroPago!$E$1:$E$2000,MATCH(Consolidado!B746,RegistroPago!$A$1:$A$2000,0))&lt;&gt;""),"PAGADA",IF(I746&lt;&gt;"","PENDIENTE","SIN EMITIR")),"")</f>
        <v/>
      </c>
      <c r="I746" s="10"/>
      <c r="J746" s="2"/>
      <c r="K746" s="29"/>
      <c r="L746" s="29"/>
    </row>
    <row r="747" spans="1:12" ht="15.75" x14ac:dyDescent="0.25">
      <c r="A747" s="5"/>
      <c r="B747" s="7"/>
      <c r="C747" s="5"/>
      <c r="D747" s="5"/>
      <c r="E747" s="8"/>
      <c r="F747" s="9"/>
      <c r="G747" s="5"/>
      <c r="H747" s="28" t="str">
        <f>IFERROR(IF(AND(COUNTIF(RegistroPago!$A$1:$A$2000,Consolidado!B747)&gt;0,INDEX(RegistroPago!$E$1:$E$2000,MATCH(Consolidado!B747,RegistroPago!$A$1:$A$2000,0))&lt;&gt;""),"PAGADA",IF(I747&lt;&gt;"","PENDIENTE","SIN EMITIR")),"")</f>
        <v/>
      </c>
      <c r="I747" s="10"/>
      <c r="J747" s="2"/>
      <c r="K747" s="29"/>
      <c r="L747" s="29"/>
    </row>
    <row r="748" spans="1:12" ht="15.75" x14ac:dyDescent="0.25">
      <c r="A748" s="5"/>
      <c r="B748" s="7"/>
      <c r="C748" s="5"/>
      <c r="D748" s="5"/>
      <c r="E748" s="8"/>
      <c r="F748" s="9"/>
      <c r="G748" s="5"/>
      <c r="H748" s="28" t="str">
        <f>IFERROR(IF(AND(COUNTIF(RegistroPago!$A$1:$A$2000,Consolidado!B748)&gt;0,INDEX(RegistroPago!$E$1:$E$2000,MATCH(Consolidado!B748,RegistroPago!$A$1:$A$2000,0))&lt;&gt;""),"PAGADA",IF(I748&lt;&gt;"","PENDIENTE","SIN EMITIR")),"")</f>
        <v/>
      </c>
      <c r="I748" s="10"/>
      <c r="J748" s="2"/>
      <c r="K748" s="29"/>
      <c r="L748" s="29"/>
    </row>
    <row r="749" spans="1:12" ht="15.75" x14ac:dyDescent="0.25">
      <c r="A749" s="5"/>
      <c r="B749" s="7"/>
      <c r="C749" s="5"/>
      <c r="D749" s="5"/>
      <c r="E749" s="8"/>
      <c r="F749" s="9"/>
      <c r="G749" s="5"/>
      <c r="H749" s="28" t="str">
        <f>IFERROR(IF(AND(COUNTIF(RegistroPago!$A$1:$A$2000,Consolidado!B749)&gt;0,INDEX(RegistroPago!$E$1:$E$2000,MATCH(Consolidado!B749,RegistroPago!$A$1:$A$2000,0))&lt;&gt;""),"PAGADA",IF(I749&lt;&gt;"","PENDIENTE","SIN EMITIR")),"")</f>
        <v/>
      </c>
      <c r="I749" s="10"/>
      <c r="J749" s="2"/>
      <c r="K749" s="29"/>
      <c r="L749" s="29"/>
    </row>
    <row r="750" spans="1:12" ht="15.75" x14ac:dyDescent="0.25">
      <c r="A750" s="5"/>
      <c r="B750" s="7"/>
      <c r="C750" s="5"/>
      <c r="D750" s="5"/>
      <c r="E750" s="8"/>
      <c r="F750" s="9"/>
      <c r="G750" s="5"/>
      <c r="H750" s="28" t="str">
        <f>IFERROR(IF(AND(COUNTIF(RegistroPago!$A$1:$A$2000,Consolidado!B750)&gt;0,INDEX(RegistroPago!$E$1:$E$2000,MATCH(Consolidado!B750,RegistroPago!$A$1:$A$2000,0))&lt;&gt;""),"PAGADA",IF(I750&lt;&gt;"","PENDIENTE","SIN EMITIR")),"")</f>
        <v/>
      </c>
      <c r="I750" s="10"/>
      <c r="J750" s="2"/>
      <c r="K750" s="29"/>
      <c r="L750" s="29"/>
    </row>
    <row r="751" spans="1:12" ht="15.75" x14ac:dyDescent="0.25">
      <c r="A751" s="5"/>
      <c r="B751" s="7"/>
      <c r="C751" s="5"/>
      <c r="D751" s="5"/>
      <c r="E751" s="8"/>
      <c r="F751" s="9"/>
      <c r="G751" s="5"/>
      <c r="H751" s="28" t="str">
        <f>IFERROR(IF(AND(COUNTIF(RegistroPago!$A$1:$A$2000,Consolidado!B751)&gt;0,INDEX(RegistroPago!$E$1:$E$2000,MATCH(Consolidado!B751,RegistroPago!$A$1:$A$2000,0))&lt;&gt;""),"PAGADA",IF(I751&lt;&gt;"","PENDIENTE","SIN EMITIR")),"")</f>
        <v/>
      </c>
      <c r="I751" s="10"/>
      <c r="J751" s="2"/>
      <c r="K751" s="29"/>
      <c r="L751" s="29"/>
    </row>
    <row r="752" spans="1:12" ht="15.75" x14ac:dyDescent="0.25">
      <c r="A752" s="5"/>
      <c r="B752" s="7"/>
      <c r="C752" s="5"/>
      <c r="D752" s="5"/>
      <c r="E752" s="8"/>
      <c r="F752" s="9"/>
      <c r="G752" s="5"/>
      <c r="H752" s="28" t="str">
        <f>IFERROR(IF(AND(COUNTIF(RegistroPago!$A$1:$A$2000,Consolidado!B752)&gt;0,INDEX(RegistroPago!$E$1:$E$2000,MATCH(Consolidado!B752,RegistroPago!$A$1:$A$2000,0))&lt;&gt;""),"PAGADA",IF(I752&lt;&gt;"","PENDIENTE","SIN EMITIR")),"")</f>
        <v/>
      </c>
      <c r="I752" s="10"/>
      <c r="J752" s="2"/>
      <c r="K752" s="29"/>
      <c r="L752" s="29"/>
    </row>
    <row r="753" spans="1:12" ht="15.75" x14ac:dyDescent="0.25">
      <c r="A753" s="5"/>
      <c r="B753" s="7"/>
      <c r="C753" s="5"/>
      <c r="D753" s="5"/>
      <c r="E753" s="8"/>
      <c r="F753" s="9"/>
      <c r="G753" s="5"/>
      <c r="H753" s="28" t="str">
        <f>IFERROR(IF(AND(COUNTIF(RegistroPago!$A$1:$A$2000,Consolidado!B753)&gt;0,INDEX(RegistroPago!$E$1:$E$2000,MATCH(Consolidado!B753,RegistroPago!$A$1:$A$2000,0))&lt;&gt;""),"PAGADA",IF(I753&lt;&gt;"","PENDIENTE","SIN EMITIR")),"")</f>
        <v/>
      </c>
      <c r="I753" s="10"/>
      <c r="J753" s="2"/>
      <c r="K753" s="29"/>
      <c r="L753" s="29"/>
    </row>
    <row r="754" spans="1:12" ht="15.75" x14ac:dyDescent="0.25">
      <c r="A754" s="5"/>
      <c r="B754" s="7"/>
      <c r="C754" s="5"/>
      <c r="D754" s="5"/>
      <c r="E754" s="8"/>
      <c r="F754" s="9"/>
      <c r="G754" s="5"/>
      <c r="H754" s="28" t="str">
        <f>IFERROR(IF(AND(COUNTIF(RegistroPago!$A$1:$A$2000,Consolidado!B754)&gt;0,INDEX(RegistroPago!$E$1:$E$2000,MATCH(Consolidado!B754,RegistroPago!$A$1:$A$2000,0))&lt;&gt;""),"PAGADA",IF(I754&lt;&gt;"","PENDIENTE","SIN EMITIR")),"")</f>
        <v/>
      </c>
      <c r="I754" s="10"/>
      <c r="J754" s="2"/>
      <c r="K754" s="29"/>
      <c r="L754" s="29"/>
    </row>
    <row r="755" spans="1:12" ht="15.75" x14ac:dyDescent="0.25">
      <c r="A755" s="5"/>
      <c r="B755" s="7"/>
      <c r="C755" s="5"/>
      <c r="D755" s="5"/>
      <c r="E755" s="8"/>
      <c r="F755" s="9"/>
      <c r="G755" s="5"/>
      <c r="H755" s="28" t="str">
        <f>IFERROR(IF(AND(COUNTIF(RegistroPago!$A$1:$A$2000,Consolidado!B755)&gt;0,INDEX(RegistroPago!$E$1:$E$2000,MATCH(Consolidado!B755,RegistroPago!$A$1:$A$2000,0))&lt;&gt;""),"PAGADA",IF(I755&lt;&gt;"","PENDIENTE","SIN EMITIR")),"")</f>
        <v/>
      </c>
      <c r="I755" s="10"/>
      <c r="J755" s="2"/>
      <c r="K755" s="29"/>
      <c r="L755" s="29"/>
    </row>
    <row r="756" spans="1:12" ht="15.75" x14ac:dyDescent="0.25">
      <c r="A756" s="5"/>
      <c r="B756" s="7"/>
      <c r="C756" s="5"/>
      <c r="D756" s="5"/>
      <c r="E756" s="8"/>
      <c r="F756" s="9"/>
      <c r="G756" s="5"/>
      <c r="H756" s="28" t="str">
        <f>IFERROR(IF(AND(COUNTIF(RegistroPago!$A$1:$A$2000,Consolidado!B756)&gt;0,INDEX(RegistroPago!$E$1:$E$2000,MATCH(Consolidado!B756,RegistroPago!$A$1:$A$2000,0))&lt;&gt;""),"PAGADA",IF(I756&lt;&gt;"","PENDIENTE","SIN EMITIR")),"")</f>
        <v/>
      </c>
      <c r="I756" s="10"/>
      <c r="J756" s="2"/>
      <c r="K756" s="29"/>
      <c r="L756" s="29"/>
    </row>
    <row r="757" spans="1:12" ht="15.75" x14ac:dyDescent="0.25">
      <c r="A757" s="5"/>
      <c r="B757" s="7"/>
      <c r="C757" s="5"/>
      <c r="D757" s="5"/>
      <c r="E757" s="8"/>
      <c r="F757" s="9"/>
      <c r="G757" s="5"/>
      <c r="H757" s="28" t="str">
        <f>IFERROR(IF(AND(COUNTIF(RegistroPago!$A$1:$A$2000,Consolidado!B757)&gt;0,INDEX(RegistroPago!$E$1:$E$2000,MATCH(Consolidado!B757,RegistroPago!$A$1:$A$2000,0))&lt;&gt;""),"PAGADA",IF(I757&lt;&gt;"","PENDIENTE","SIN EMITIR")),"")</f>
        <v/>
      </c>
      <c r="I757" s="10"/>
      <c r="J757" s="2"/>
      <c r="K757" s="29"/>
      <c r="L757" s="29"/>
    </row>
    <row r="758" spans="1:12" ht="15.75" x14ac:dyDescent="0.25">
      <c r="A758" s="5"/>
      <c r="B758" s="7"/>
      <c r="C758" s="5"/>
      <c r="D758" s="5"/>
      <c r="E758" s="8"/>
      <c r="F758" s="9"/>
      <c r="G758" s="5"/>
      <c r="H758" s="28" t="str">
        <f>IFERROR(IF(AND(COUNTIF(RegistroPago!$A$1:$A$2000,Consolidado!B758)&gt;0,INDEX(RegistroPago!$E$1:$E$2000,MATCH(Consolidado!B758,RegistroPago!$A$1:$A$2000,0))&lt;&gt;""),"PAGADA",IF(I758&lt;&gt;"","PENDIENTE","SIN EMITIR")),"")</f>
        <v/>
      </c>
      <c r="I758" s="10"/>
      <c r="J758" s="2"/>
      <c r="K758" s="29"/>
      <c r="L758" s="29"/>
    </row>
    <row r="759" spans="1:12" ht="15.75" x14ac:dyDescent="0.25">
      <c r="A759" s="5"/>
      <c r="B759" s="7"/>
      <c r="C759" s="5"/>
      <c r="D759" s="5"/>
      <c r="E759" s="8"/>
      <c r="F759" s="9"/>
      <c r="G759" s="5"/>
      <c r="H759" s="28" t="str">
        <f>IFERROR(IF(AND(COUNTIF(RegistroPago!$A$1:$A$2000,Consolidado!B759)&gt;0,INDEX(RegistroPago!$E$1:$E$2000,MATCH(Consolidado!B759,RegistroPago!$A$1:$A$2000,0))&lt;&gt;""),"PAGADA",IF(I759&lt;&gt;"","PENDIENTE","SIN EMITIR")),"")</f>
        <v/>
      </c>
      <c r="I759" s="10"/>
      <c r="J759" s="2"/>
      <c r="K759" s="29"/>
      <c r="L759" s="29"/>
    </row>
    <row r="760" spans="1:12" ht="15.75" x14ac:dyDescent="0.25">
      <c r="A760" s="5"/>
      <c r="B760" s="7"/>
      <c r="C760" s="5"/>
      <c r="D760" s="5"/>
      <c r="E760" s="8"/>
      <c r="F760" s="9"/>
      <c r="G760" s="5"/>
      <c r="H760" s="28" t="str">
        <f>IFERROR(IF(AND(COUNTIF(RegistroPago!$A$1:$A$2000,Consolidado!B760)&gt;0,INDEX(RegistroPago!$E$1:$E$2000,MATCH(Consolidado!B760,RegistroPago!$A$1:$A$2000,0))&lt;&gt;""),"PAGADA",IF(I760&lt;&gt;"","PENDIENTE","SIN EMITIR")),"")</f>
        <v/>
      </c>
      <c r="I760" s="10"/>
      <c r="J760" s="2"/>
      <c r="K760" s="29"/>
      <c r="L760" s="29"/>
    </row>
    <row r="761" spans="1:12" ht="15.75" x14ac:dyDescent="0.25">
      <c r="A761" s="5"/>
      <c r="B761" s="7"/>
      <c r="C761" s="5"/>
      <c r="D761" s="5"/>
      <c r="E761" s="8"/>
      <c r="F761" s="9"/>
      <c r="G761" s="5"/>
      <c r="H761" s="28" t="str">
        <f>IFERROR(IF(AND(COUNTIF(RegistroPago!$A$1:$A$2000,Consolidado!B761)&gt;0,INDEX(RegistroPago!$E$1:$E$2000,MATCH(Consolidado!B761,RegistroPago!$A$1:$A$2000,0))&lt;&gt;""),"PAGADA",IF(I761&lt;&gt;"","PENDIENTE","SIN EMITIR")),"")</f>
        <v/>
      </c>
      <c r="I761" s="10"/>
      <c r="J761" s="2"/>
      <c r="K761" s="29"/>
      <c r="L761" s="29"/>
    </row>
    <row r="762" spans="1:12" ht="15.75" x14ac:dyDescent="0.25">
      <c r="A762" s="5"/>
      <c r="B762" s="7"/>
      <c r="C762" s="5"/>
      <c r="D762" s="5"/>
      <c r="E762" s="8"/>
      <c r="F762" s="9"/>
      <c r="G762" s="5"/>
      <c r="H762" s="28" t="str">
        <f>IFERROR(IF(AND(COUNTIF(RegistroPago!$A$1:$A$2000,Consolidado!B762)&gt;0,INDEX(RegistroPago!$E$1:$E$2000,MATCH(Consolidado!B762,RegistroPago!$A$1:$A$2000,0))&lt;&gt;""),"PAGADA",IF(I762&lt;&gt;"","PENDIENTE","SIN EMITIR")),"")</f>
        <v/>
      </c>
      <c r="I762" s="10"/>
      <c r="J762" s="2"/>
      <c r="K762" s="29"/>
      <c r="L762" s="29"/>
    </row>
    <row r="763" spans="1:12" ht="15.75" x14ac:dyDescent="0.25">
      <c r="A763" s="5"/>
      <c r="B763" s="7"/>
      <c r="C763" s="5"/>
      <c r="D763" s="5"/>
      <c r="E763" s="8"/>
      <c r="F763" s="9"/>
      <c r="G763" s="5"/>
      <c r="H763" s="28" t="str">
        <f>IFERROR(IF(AND(COUNTIF(RegistroPago!$A$1:$A$2000,Consolidado!B763)&gt;0,INDEX(RegistroPago!$E$1:$E$2000,MATCH(Consolidado!B763,RegistroPago!$A$1:$A$2000,0))&lt;&gt;""),"PAGADA",IF(I763&lt;&gt;"","PENDIENTE","SIN EMITIR")),"")</f>
        <v/>
      </c>
      <c r="I763" s="10"/>
      <c r="J763" s="2"/>
      <c r="K763" s="29"/>
      <c r="L763" s="29"/>
    </row>
    <row r="764" spans="1:12" ht="15.75" x14ac:dyDescent="0.25">
      <c r="A764" s="5"/>
      <c r="B764" s="7"/>
      <c r="C764" s="5"/>
      <c r="D764" s="5"/>
      <c r="E764" s="8"/>
      <c r="F764" s="9"/>
      <c r="G764" s="5"/>
      <c r="H764" s="28" t="str">
        <f>IFERROR(IF(AND(COUNTIF(RegistroPago!$A$1:$A$2000,Consolidado!B764)&gt;0,INDEX(RegistroPago!$E$1:$E$2000,MATCH(Consolidado!B764,RegistroPago!$A$1:$A$2000,0))&lt;&gt;""),"PAGADA",IF(I764&lt;&gt;"","PENDIENTE","SIN EMITIR")),"")</f>
        <v/>
      </c>
      <c r="I764" s="10"/>
      <c r="J764" s="2"/>
      <c r="K764" s="29"/>
      <c r="L764" s="29"/>
    </row>
    <row r="765" spans="1:12" ht="15.75" x14ac:dyDescent="0.25">
      <c r="A765" s="5"/>
      <c r="B765" s="7"/>
      <c r="C765" s="5"/>
      <c r="D765" s="5"/>
      <c r="E765" s="8"/>
      <c r="F765" s="9"/>
      <c r="G765" s="5"/>
      <c r="H765" s="28" t="str">
        <f>IFERROR(IF(AND(COUNTIF(RegistroPago!$A$1:$A$2000,Consolidado!B765)&gt;0,INDEX(RegistroPago!$E$1:$E$2000,MATCH(Consolidado!B765,RegistroPago!$A$1:$A$2000,0))&lt;&gt;""),"PAGADA",IF(I765&lt;&gt;"","PENDIENTE","SIN EMITIR")),"")</f>
        <v/>
      </c>
      <c r="I765" s="10"/>
      <c r="J765" s="2"/>
      <c r="K765" s="29"/>
      <c r="L765" s="29"/>
    </row>
    <row r="766" spans="1:12" ht="15.75" x14ac:dyDescent="0.25">
      <c r="A766" s="5"/>
      <c r="B766" s="7"/>
      <c r="C766" s="5"/>
      <c r="D766" s="5"/>
      <c r="E766" s="8"/>
      <c r="F766" s="9"/>
      <c r="G766" s="5"/>
      <c r="H766" s="28" t="str">
        <f>IFERROR(IF(AND(COUNTIF(RegistroPago!$A$1:$A$2000,Consolidado!B766)&gt;0,INDEX(RegistroPago!$E$1:$E$2000,MATCH(Consolidado!B766,RegistroPago!$A$1:$A$2000,0))&lt;&gt;""),"PAGADA",IF(I766&lt;&gt;"","PENDIENTE","SIN EMITIR")),"")</f>
        <v/>
      </c>
      <c r="I766" s="10"/>
      <c r="J766" s="2"/>
      <c r="K766" s="29"/>
      <c r="L766" s="29"/>
    </row>
    <row r="767" spans="1:12" ht="15.75" x14ac:dyDescent="0.25">
      <c r="A767" s="5"/>
      <c r="B767" s="7"/>
      <c r="C767" s="5"/>
      <c r="D767" s="5"/>
      <c r="E767" s="8"/>
      <c r="F767" s="9"/>
      <c r="G767" s="5"/>
      <c r="H767" s="28" t="str">
        <f>IFERROR(IF(AND(COUNTIF(RegistroPago!$A$1:$A$2000,Consolidado!B767)&gt;0,INDEX(RegistroPago!$E$1:$E$2000,MATCH(Consolidado!B767,RegistroPago!$A$1:$A$2000,0))&lt;&gt;""),"PAGADA",IF(I767&lt;&gt;"","PENDIENTE","SIN EMITIR")),"")</f>
        <v/>
      </c>
      <c r="I767" s="10"/>
      <c r="J767" s="2"/>
      <c r="K767" s="29"/>
      <c r="L767" s="29"/>
    </row>
    <row r="768" spans="1:12" ht="15.75" x14ac:dyDescent="0.25">
      <c r="A768" s="5"/>
      <c r="B768" s="7"/>
      <c r="C768" s="5"/>
      <c r="D768" s="5"/>
      <c r="E768" s="8"/>
      <c r="F768" s="9"/>
      <c r="G768" s="5"/>
      <c r="H768" s="28" t="str">
        <f>IFERROR(IF(AND(COUNTIF(RegistroPago!$A$1:$A$2000,Consolidado!B768)&gt;0,INDEX(RegistroPago!$E$1:$E$2000,MATCH(Consolidado!B768,RegistroPago!$A$1:$A$2000,0))&lt;&gt;""),"PAGADA",IF(I768&lt;&gt;"","PENDIENTE","SIN EMITIR")),"")</f>
        <v/>
      </c>
      <c r="I768" s="10"/>
      <c r="J768" s="2"/>
      <c r="K768" s="29"/>
      <c r="L768" s="29"/>
    </row>
    <row r="769" spans="1:12" ht="15.75" x14ac:dyDescent="0.25">
      <c r="A769" s="5"/>
      <c r="B769" s="7"/>
      <c r="C769" s="5"/>
      <c r="D769" s="5"/>
      <c r="E769" s="8"/>
      <c r="F769" s="9"/>
      <c r="G769" s="5"/>
      <c r="H769" s="28" t="str">
        <f>IFERROR(IF(AND(COUNTIF(RegistroPago!$A$1:$A$2000,Consolidado!B769)&gt;0,INDEX(RegistroPago!$E$1:$E$2000,MATCH(Consolidado!B769,RegistroPago!$A$1:$A$2000,0))&lt;&gt;""),"PAGADA",IF(I769&lt;&gt;"","PENDIENTE","SIN EMITIR")),"")</f>
        <v/>
      </c>
      <c r="I769" s="10"/>
      <c r="J769" s="2"/>
      <c r="K769" s="29"/>
      <c r="L769" s="29"/>
    </row>
    <row r="770" spans="1:12" ht="15.75" x14ac:dyDescent="0.25">
      <c r="A770" s="5"/>
      <c r="B770" s="7"/>
      <c r="C770" s="5"/>
      <c r="D770" s="5"/>
      <c r="E770" s="8"/>
      <c r="F770" s="9"/>
      <c r="G770" s="5"/>
      <c r="H770" s="28" t="str">
        <f>IFERROR(IF(AND(COUNTIF(RegistroPago!$A$1:$A$2000,Consolidado!B770)&gt;0,INDEX(RegistroPago!$E$1:$E$2000,MATCH(Consolidado!B770,RegistroPago!$A$1:$A$2000,0))&lt;&gt;""),"PAGADA",IF(I770&lt;&gt;"","PENDIENTE","SIN EMITIR")),"")</f>
        <v/>
      </c>
      <c r="I770" s="10"/>
      <c r="J770" s="2"/>
      <c r="K770" s="29"/>
      <c r="L770" s="29"/>
    </row>
    <row r="771" spans="1:12" ht="15.75" x14ac:dyDescent="0.25">
      <c r="A771" s="5"/>
      <c r="B771" s="7"/>
      <c r="C771" s="5"/>
      <c r="D771" s="5"/>
      <c r="E771" s="8"/>
      <c r="F771" s="9"/>
      <c r="G771" s="5"/>
      <c r="H771" s="28" t="str">
        <f>IFERROR(IF(AND(COUNTIF(RegistroPago!$A$1:$A$2000,Consolidado!B771)&gt;0,INDEX(RegistroPago!$E$1:$E$2000,MATCH(Consolidado!B771,RegistroPago!$A$1:$A$2000,0))&lt;&gt;""),"PAGADA",IF(I771&lt;&gt;"","PENDIENTE","SIN EMITIR")),"")</f>
        <v/>
      </c>
      <c r="I771" s="10"/>
      <c r="J771" s="2"/>
      <c r="K771" s="29"/>
      <c r="L771" s="29"/>
    </row>
    <row r="772" spans="1:12" ht="15.75" x14ac:dyDescent="0.25">
      <c r="A772" s="5"/>
      <c r="B772" s="7"/>
      <c r="C772" s="5"/>
      <c r="D772" s="5"/>
      <c r="E772" s="8"/>
      <c r="F772" s="9"/>
      <c r="G772" s="5"/>
      <c r="H772" s="28" t="str">
        <f>IFERROR(IF(AND(COUNTIF(RegistroPago!$A$1:$A$2000,Consolidado!B772)&gt;0,INDEX(RegistroPago!$E$1:$E$2000,MATCH(Consolidado!B772,RegistroPago!$A$1:$A$2000,0))&lt;&gt;""),"PAGADA",IF(I772&lt;&gt;"","PENDIENTE","SIN EMITIR")),"")</f>
        <v/>
      </c>
      <c r="I772" s="10"/>
      <c r="J772" s="2"/>
      <c r="K772" s="29"/>
      <c r="L772" s="29"/>
    </row>
    <row r="773" spans="1:12" ht="15.75" x14ac:dyDescent="0.25">
      <c r="A773" s="5"/>
      <c r="B773" s="7"/>
      <c r="C773" s="5"/>
      <c r="D773" s="5"/>
      <c r="E773" s="8"/>
      <c r="F773" s="9"/>
      <c r="G773" s="5"/>
      <c r="H773" s="28" t="str">
        <f>IFERROR(IF(AND(COUNTIF(RegistroPago!$A$1:$A$2000,Consolidado!B773)&gt;0,INDEX(RegistroPago!$E$1:$E$2000,MATCH(Consolidado!B773,RegistroPago!$A$1:$A$2000,0))&lt;&gt;""),"PAGADA",IF(I773&lt;&gt;"","PENDIENTE","SIN EMITIR")),"")</f>
        <v/>
      </c>
      <c r="I773" s="10"/>
      <c r="J773" s="2"/>
      <c r="K773" s="29"/>
      <c r="L773" s="29"/>
    </row>
    <row r="774" spans="1:12" ht="15.75" x14ac:dyDescent="0.25">
      <c r="A774" s="5"/>
      <c r="B774" s="7"/>
      <c r="C774" s="5"/>
      <c r="D774" s="5"/>
      <c r="E774" s="8"/>
      <c r="F774" s="9"/>
      <c r="G774" s="5"/>
      <c r="H774" s="28" t="str">
        <f>IFERROR(IF(AND(COUNTIF(RegistroPago!$A$1:$A$2000,Consolidado!B774)&gt;0,INDEX(RegistroPago!$E$1:$E$2000,MATCH(Consolidado!B774,RegistroPago!$A$1:$A$2000,0))&lt;&gt;""),"PAGADA",IF(I774&lt;&gt;"","PENDIENTE","SIN EMITIR")),"")</f>
        <v/>
      </c>
      <c r="I774" s="10"/>
      <c r="J774" s="2"/>
      <c r="K774" s="29"/>
      <c r="L774" s="29"/>
    </row>
    <row r="775" spans="1:12" ht="15.75" x14ac:dyDescent="0.25">
      <c r="A775" s="5"/>
      <c r="B775" s="7"/>
      <c r="C775" s="5"/>
      <c r="D775" s="5"/>
      <c r="E775" s="8"/>
      <c r="F775" s="9"/>
      <c r="G775" s="5"/>
      <c r="H775" s="28" t="str">
        <f>IFERROR(IF(AND(COUNTIF(RegistroPago!$A$1:$A$2000,Consolidado!B775)&gt;0,INDEX(RegistroPago!$E$1:$E$2000,MATCH(Consolidado!B775,RegistroPago!$A$1:$A$2000,0))&lt;&gt;""),"PAGADA",IF(I775&lt;&gt;"","PENDIENTE","SIN EMITIR")),"")</f>
        <v/>
      </c>
      <c r="I775" s="10"/>
      <c r="J775" s="2"/>
      <c r="K775" s="29"/>
      <c r="L775" s="29"/>
    </row>
    <row r="776" spans="1:12" ht="15.75" x14ac:dyDescent="0.25">
      <c r="A776" s="5"/>
      <c r="B776" s="7"/>
      <c r="C776" s="5"/>
      <c r="D776" s="5"/>
      <c r="E776" s="8"/>
      <c r="F776" s="9"/>
      <c r="G776" s="5"/>
      <c r="H776" s="28" t="str">
        <f>IFERROR(IF(AND(COUNTIF(RegistroPago!$A$1:$A$2000,Consolidado!B776)&gt;0,INDEX(RegistroPago!$E$1:$E$2000,MATCH(Consolidado!B776,RegistroPago!$A$1:$A$2000,0))&lt;&gt;""),"PAGADA",IF(I776&lt;&gt;"","PENDIENTE","SIN EMITIR")),"")</f>
        <v/>
      </c>
      <c r="I776" s="10"/>
      <c r="J776" s="2"/>
      <c r="K776" s="29"/>
      <c r="L776" s="29"/>
    </row>
    <row r="777" spans="1:12" ht="15.75" x14ac:dyDescent="0.25">
      <c r="A777" s="5"/>
      <c r="B777" s="7"/>
      <c r="C777" s="5"/>
      <c r="D777" s="5"/>
      <c r="E777" s="8"/>
      <c r="F777" s="9"/>
      <c r="G777" s="5"/>
      <c r="H777" s="28" t="str">
        <f>IFERROR(IF(AND(COUNTIF(RegistroPago!$A$1:$A$2000,Consolidado!B777)&gt;0,INDEX(RegistroPago!$E$1:$E$2000,MATCH(Consolidado!B777,RegistroPago!$A$1:$A$2000,0))&lt;&gt;""),"PAGADA",IF(I777&lt;&gt;"","PENDIENTE","SIN EMITIR")),"")</f>
        <v/>
      </c>
      <c r="I777" s="10"/>
      <c r="J777" s="2"/>
      <c r="K777" s="29"/>
      <c r="L777" s="29"/>
    </row>
    <row r="778" spans="1:12" ht="15.75" x14ac:dyDescent="0.25">
      <c r="A778" s="5"/>
      <c r="B778" s="7"/>
      <c r="C778" s="5"/>
      <c r="D778" s="5"/>
      <c r="E778" s="8"/>
      <c r="F778" s="9"/>
      <c r="G778" s="5"/>
      <c r="H778" s="28" t="str">
        <f>IFERROR(IF(AND(COUNTIF(RegistroPago!$A$1:$A$2000,Consolidado!B778)&gt;0,INDEX(RegistroPago!$E$1:$E$2000,MATCH(Consolidado!B778,RegistroPago!$A$1:$A$2000,0))&lt;&gt;""),"PAGADA",IF(I778&lt;&gt;"","PENDIENTE","SIN EMITIR")),"")</f>
        <v/>
      </c>
      <c r="I778" s="10"/>
      <c r="J778" s="2"/>
      <c r="K778" s="29"/>
      <c r="L778" s="29"/>
    </row>
    <row r="779" spans="1:12" ht="15.75" x14ac:dyDescent="0.25">
      <c r="A779" s="5"/>
      <c r="B779" s="7"/>
      <c r="C779" s="5"/>
      <c r="D779" s="5"/>
      <c r="E779" s="8"/>
      <c r="F779" s="9"/>
      <c r="G779" s="5"/>
      <c r="H779" s="28" t="str">
        <f>IFERROR(IF(AND(COUNTIF(RegistroPago!$A$1:$A$2000,Consolidado!B779)&gt;0,INDEX(RegistroPago!$E$1:$E$2000,MATCH(Consolidado!B779,RegistroPago!$A$1:$A$2000,0))&lt;&gt;""),"PAGADA",IF(I779&lt;&gt;"","PENDIENTE","SIN EMITIR")),"")</f>
        <v/>
      </c>
      <c r="I779" s="10"/>
      <c r="J779" s="2"/>
      <c r="K779" s="29"/>
      <c r="L779" s="29"/>
    </row>
    <row r="780" spans="1:12" ht="15.75" x14ac:dyDescent="0.25">
      <c r="A780" s="5"/>
      <c r="B780" s="7"/>
      <c r="C780" s="5"/>
      <c r="D780" s="5"/>
      <c r="E780" s="8"/>
      <c r="F780" s="9"/>
      <c r="G780" s="5"/>
      <c r="H780" s="28" t="str">
        <f>IFERROR(IF(AND(COUNTIF(RegistroPago!$A$1:$A$2000,Consolidado!B780)&gt;0,INDEX(RegistroPago!$E$1:$E$2000,MATCH(Consolidado!B780,RegistroPago!$A$1:$A$2000,0))&lt;&gt;""),"PAGADA",IF(I780&lt;&gt;"","PENDIENTE","SIN EMITIR")),"")</f>
        <v/>
      </c>
      <c r="I780" s="10"/>
      <c r="J780" s="2"/>
      <c r="K780" s="29"/>
      <c r="L780" s="29"/>
    </row>
    <row r="781" spans="1:12" ht="15.75" x14ac:dyDescent="0.25">
      <c r="A781" s="5"/>
      <c r="B781" s="7"/>
      <c r="C781" s="5"/>
      <c r="D781" s="5"/>
      <c r="E781" s="8"/>
      <c r="F781" s="9"/>
      <c r="G781" s="5"/>
      <c r="H781" s="28" t="str">
        <f>IFERROR(IF(AND(COUNTIF(RegistroPago!$A$1:$A$2000,Consolidado!B781)&gt;0,INDEX(RegistroPago!$E$1:$E$2000,MATCH(Consolidado!B781,RegistroPago!$A$1:$A$2000,0))&lt;&gt;""),"PAGADA",IF(I781&lt;&gt;"","PENDIENTE","SIN EMITIR")),"")</f>
        <v/>
      </c>
      <c r="I781" s="10"/>
      <c r="J781" s="2"/>
      <c r="K781" s="29"/>
      <c r="L781" s="29"/>
    </row>
    <row r="782" spans="1:12" ht="15.75" x14ac:dyDescent="0.25">
      <c r="A782" s="5"/>
      <c r="B782" s="7"/>
      <c r="C782" s="5"/>
      <c r="D782" s="5"/>
      <c r="E782" s="8"/>
      <c r="F782" s="9"/>
      <c r="G782" s="5"/>
      <c r="H782" s="28" t="str">
        <f>IFERROR(IF(AND(COUNTIF(RegistroPago!$A$1:$A$2000,Consolidado!B782)&gt;0,INDEX(RegistroPago!$E$1:$E$2000,MATCH(Consolidado!B782,RegistroPago!$A$1:$A$2000,0))&lt;&gt;""),"PAGADA",IF(I782&lt;&gt;"","PENDIENTE","SIN EMITIR")),"")</f>
        <v/>
      </c>
      <c r="I782" s="10"/>
      <c r="J782" s="2"/>
      <c r="K782" s="29"/>
      <c r="L782" s="29"/>
    </row>
    <row r="783" spans="1:12" ht="15.75" x14ac:dyDescent="0.25">
      <c r="A783" s="5"/>
      <c r="B783" s="7"/>
      <c r="C783" s="5"/>
      <c r="D783" s="5"/>
      <c r="E783" s="8"/>
      <c r="F783" s="9"/>
      <c r="G783" s="5"/>
      <c r="H783" s="28" t="str">
        <f>IFERROR(IF(AND(COUNTIF(RegistroPago!$A$1:$A$2000,Consolidado!B783)&gt;0,INDEX(RegistroPago!$E$1:$E$2000,MATCH(Consolidado!B783,RegistroPago!$A$1:$A$2000,0))&lt;&gt;""),"PAGADA",IF(I783&lt;&gt;"","PENDIENTE","SIN EMITIR")),"")</f>
        <v/>
      </c>
      <c r="I783" s="10"/>
      <c r="J783" s="2"/>
      <c r="K783" s="29"/>
      <c r="L783" s="29"/>
    </row>
    <row r="784" spans="1:12" ht="15.75" x14ac:dyDescent="0.25">
      <c r="A784" s="5"/>
      <c r="B784" s="7"/>
      <c r="C784" s="5"/>
      <c r="D784" s="5"/>
      <c r="E784" s="8"/>
      <c r="F784" s="9"/>
      <c r="G784" s="5"/>
      <c r="H784" s="28" t="str">
        <f>IFERROR(IF(AND(COUNTIF(RegistroPago!$A$1:$A$2000,Consolidado!B784)&gt;0,INDEX(RegistroPago!$E$1:$E$2000,MATCH(Consolidado!B784,RegistroPago!$A$1:$A$2000,0))&lt;&gt;""),"PAGADA",IF(I784&lt;&gt;"","PENDIENTE","SIN EMITIR")),"")</f>
        <v/>
      </c>
      <c r="I784" s="10"/>
      <c r="J784" s="2"/>
      <c r="K784" s="29"/>
      <c r="L784" s="29"/>
    </row>
    <row r="785" spans="1:12" ht="15.75" x14ac:dyDescent="0.25">
      <c r="A785" s="5"/>
      <c r="B785" s="7"/>
      <c r="C785" s="5"/>
      <c r="D785" s="5"/>
      <c r="E785" s="8"/>
      <c r="F785" s="9"/>
      <c r="G785" s="5"/>
      <c r="H785" s="28" t="str">
        <f>IFERROR(IF(AND(COUNTIF(RegistroPago!$A$1:$A$2000,Consolidado!B785)&gt;0,INDEX(RegistroPago!$E$1:$E$2000,MATCH(Consolidado!B785,RegistroPago!$A$1:$A$2000,0))&lt;&gt;""),"PAGADA",IF(I785&lt;&gt;"","PENDIENTE","SIN EMITIR")),"")</f>
        <v/>
      </c>
      <c r="I785" s="10"/>
      <c r="J785" s="2"/>
      <c r="K785" s="29"/>
      <c r="L785" s="29"/>
    </row>
    <row r="786" spans="1:12" ht="15.75" x14ac:dyDescent="0.25">
      <c r="A786" s="5"/>
      <c r="B786" s="7"/>
      <c r="C786" s="5"/>
      <c r="D786" s="5"/>
      <c r="E786" s="8"/>
      <c r="F786" s="9"/>
      <c r="G786" s="5"/>
      <c r="H786" s="28" t="str">
        <f>IFERROR(IF(AND(COUNTIF(RegistroPago!$A$1:$A$2000,Consolidado!B786)&gt;0,INDEX(RegistroPago!$E$1:$E$2000,MATCH(Consolidado!B786,RegistroPago!$A$1:$A$2000,0))&lt;&gt;""),"PAGADA",IF(I786&lt;&gt;"","PENDIENTE","SIN EMITIR")),"")</f>
        <v/>
      </c>
      <c r="I786" s="10"/>
      <c r="J786" s="2"/>
      <c r="K786" s="29"/>
      <c r="L786" s="29"/>
    </row>
    <row r="787" spans="1:12" ht="15.75" x14ac:dyDescent="0.25">
      <c r="A787" s="5"/>
      <c r="B787" s="7"/>
      <c r="C787" s="5"/>
      <c r="D787" s="5"/>
      <c r="E787" s="8"/>
      <c r="F787" s="9"/>
      <c r="G787" s="5"/>
      <c r="H787" s="28" t="str">
        <f>IFERROR(IF(AND(COUNTIF(RegistroPago!$A$1:$A$2000,Consolidado!B787)&gt;0,INDEX(RegistroPago!$E$1:$E$2000,MATCH(Consolidado!B787,RegistroPago!$A$1:$A$2000,0))&lt;&gt;""),"PAGADA",IF(I787&lt;&gt;"","PENDIENTE","SIN EMITIR")),"")</f>
        <v/>
      </c>
      <c r="I787" s="10"/>
      <c r="J787" s="2"/>
      <c r="K787" s="29"/>
      <c r="L787" s="29"/>
    </row>
    <row r="788" spans="1:12" ht="15.75" x14ac:dyDescent="0.25">
      <c r="A788" s="5"/>
      <c r="B788" s="7"/>
      <c r="C788" s="5"/>
      <c r="D788" s="5"/>
      <c r="E788" s="8"/>
      <c r="F788" s="9"/>
      <c r="G788" s="5"/>
      <c r="H788" s="28" t="str">
        <f>IFERROR(IF(AND(COUNTIF(RegistroPago!$A$1:$A$2000,Consolidado!B788)&gt;0,INDEX(RegistroPago!$E$1:$E$2000,MATCH(Consolidado!B788,RegistroPago!$A$1:$A$2000,0))&lt;&gt;""),"PAGADA",IF(I788&lt;&gt;"","PENDIENTE","SIN EMITIR")),"")</f>
        <v/>
      </c>
      <c r="I788" s="10"/>
      <c r="J788" s="2"/>
      <c r="K788" s="29"/>
      <c r="L788" s="29"/>
    </row>
    <row r="789" spans="1:12" ht="15.75" x14ac:dyDescent="0.25">
      <c r="A789" s="5"/>
      <c r="B789" s="7"/>
      <c r="C789" s="5"/>
      <c r="D789" s="5"/>
      <c r="E789" s="8"/>
      <c r="F789" s="9"/>
      <c r="G789" s="5"/>
      <c r="H789" s="28" t="str">
        <f>IFERROR(IF(AND(COUNTIF(RegistroPago!$A$1:$A$2000,Consolidado!B789)&gt;0,INDEX(RegistroPago!$E$1:$E$2000,MATCH(Consolidado!B789,RegistroPago!$A$1:$A$2000,0))&lt;&gt;""),"PAGADA",IF(I789&lt;&gt;"","PENDIENTE","SIN EMITIR")),"")</f>
        <v/>
      </c>
      <c r="I789" s="10"/>
      <c r="J789" s="2"/>
      <c r="K789" s="29"/>
      <c r="L789" s="29"/>
    </row>
    <row r="790" spans="1:12" ht="15.75" x14ac:dyDescent="0.25">
      <c r="A790" s="5"/>
      <c r="B790" s="7"/>
      <c r="C790" s="5"/>
      <c r="D790" s="5"/>
      <c r="E790" s="8"/>
      <c r="F790" s="9"/>
      <c r="G790" s="5"/>
      <c r="H790" s="28" t="str">
        <f>IFERROR(IF(AND(COUNTIF(RegistroPago!$A$1:$A$2000,Consolidado!B790)&gt;0,INDEX(RegistroPago!$E$1:$E$2000,MATCH(Consolidado!B790,RegistroPago!$A$1:$A$2000,0))&lt;&gt;""),"PAGADA",IF(I790&lt;&gt;"","PENDIENTE","SIN EMITIR")),"")</f>
        <v/>
      </c>
      <c r="I790" s="10"/>
      <c r="J790" s="2"/>
      <c r="K790" s="29"/>
      <c r="L790" s="29"/>
    </row>
    <row r="791" spans="1:12" ht="15.75" x14ac:dyDescent="0.25">
      <c r="A791" s="5"/>
      <c r="B791" s="7"/>
      <c r="C791" s="5"/>
      <c r="D791" s="5"/>
      <c r="E791" s="8"/>
      <c r="F791" s="9"/>
      <c r="G791" s="5"/>
      <c r="H791" s="28" t="str">
        <f>IFERROR(IF(AND(COUNTIF(RegistroPago!$A$1:$A$2000,Consolidado!B791)&gt;0,INDEX(RegistroPago!$E$1:$E$2000,MATCH(Consolidado!B791,RegistroPago!$A$1:$A$2000,0))&lt;&gt;""),"PAGADA",IF(I791&lt;&gt;"","PENDIENTE","SIN EMITIR")),"")</f>
        <v/>
      </c>
      <c r="I791" s="10"/>
      <c r="J791" s="2"/>
      <c r="K791" s="29"/>
      <c r="L791" s="29"/>
    </row>
    <row r="792" spans="1:12" ht="15.75" x14ac:dyDescent="0.25">
      <c r="A792" s="5"/>
      <c r="B792" s="7"/>
      <c r="C792" s="5"/>
      <c r="D792" s="5"/>
      <c r="E792" s="8"/>
      <c r="F792" s="9"/>
      <c r="G792" s="5"/>
      <c r="H792" s="28" t="str">
        <f>IFERROR(IF(AND(COUNTIF(RegistroPago!$A$1:$A$2000,Consolidado!B792)&gt;0,INDEX(RegistroPago!$E$1:$E$2000,MATCH(Consolidado!B792,RegistroPago!$A$1:$A$2000,0))&lt;&gt;""),"PAGADA",IF(I792&lt;&gt;"","PENDIENTE","SIN EMITIR")),"")</f>
        <v/>
      </c>
      <c r="I792" s="10"/>
      <c r="J792" s="2"/>
      <c r="K792" s="29"/>
      <c r="L792" s="29"/>
    </row>
    <row r="793" spans="1:12" ht="15.75" x14ac:dyDescent="0.25">
      <c r="A793" s="5"/>
      <c r="B793" s="7"/>
      <c r="C793" s="5"/>
      <c r="D793" s="5"/>
      <c r="E793" s="8"/>
      <c r="F793" s="9"/>
      <c r="G793" s="5"/>
      <c r="H793" s="28" t="str">
        <f>IFERROR(IF(AND(COUNTIF(RegistroPago!$A$1:$A$2000,Consolidado!B793)&gt;0,INDEX(RegistroPago!$E$1:$E$2000,MATCH(Consolidado!B793,RegistroPago!$A$1:$A$2000,0))&lt;&gt;""),"PAGADA",IF(I793&lt;&gt;"","PENDIENTE","SIN EMITIR")),"")</f>
        <v/>
      </c>
      <c r="I793" s="10"/>
      <c r="J793" s="2"/>
      <c r="K793" s="29"/>
      <c r="L793" s="29"/>
    </row>
    <row r="794" spans="1:12" ht="15.75" x14ac:dyDescent="0.25">
      <c r="A794" s="5"/>
      <c r="B794" s="7"/>
      <c r="C794" s="5"/>
      <c r="D794" s="5"/>
      <c r="E794" s="8"/>
      <c r="F794" s="9"/>
      <c r="G794" s="5"/>
      <c r="H794" s="28" t="str">
        <f>IFERROR(IF(AND(COUNTIF(RegistroPago!$A$1:$A$2000,Consolidado!B794)&gt;0,INDEX(RegistroPago!$E$1:$E$2000,MATCH(Consolidado!B794,RegistroPago!$A$1:$A$2000,0))&lt;&gt;""),"PAGADA",IF(I794&lt;&gt;"","PENDIENTE","SIN EMITIR")),"")</f>
        <v/>
      </c>
      <c r="I794" s="10"/>
      <c r="J794" s="2"/>
      <c r="K794" s="29"/>
      <c r="L794" s="29"/>
    </row>
    <row r="795" spans="1:12" ht="15.75" x14ac:dyDescent="0.25">
      <c r="A795" s="5"/>
      <c r="B795" s="7"/>
      <c r="C795" s="5"/>
      <c r="D795" s="5"/>
      <c r="E795" s="8"/>
      <c r="F795" s="9"/>
      <c r="G795" s="5"/>
      <c r="H795" s="28" t="str">
        <f>IFERROR(IF(AND(COUNTIF(RegistroPago!$A$1:$A$2000,Consolidado!B795)&gt;0,INDEX(RegistroPago!$E$1:$E$2000,MATCH(Consolidado!B795,RegistroPago!$A$1:$A$2000,0))&lt;&gt;""),"PAGADA",IF(I795&lt;&gt;"","PENDIENTE","SIN EMITIR")),"")</f>
        <v/>
      </c>
      <c r="I795" s="10"/>
      <c r="J795" s="2"/>
      <c r="K795" s="29"/>
      <c r="L795" s="29"/>
    </row>
    <row r="796" spans="1:12" ht="15.75" x14ac:dyDescent="0.25">
      <c r="A796" s="5"/>
      <c r="B796" s="7"/>
      <c r="C796" s="5"/>
      <c r="D796" s="5"/>
      <c r="E796" s="8"/>
      <c r="F796" s="9"/>
      <c r="G796" s="5"/>
      <c r="H796" s="28" t="str">
        <f>IFERROR(IF(AND(COUNTIF(RegistroPago!$A$1:$A$2000,Consolidado!B796)&gt;0,INDEX(RegistroPago!$E$1:$E$2000,MATCH(Consolidado!B796,RegistroPago!$A$1:$A$2000,0))&lt;&gt;""),"PAGADA",IF(I796&lt;&gt;"","PENDIENTE","SIN EMITIR")),"")</f>
        <v/>
      </c>
      <c r="I796" s="10"/>
      <c r="J796" s="2"/>
      <c r="K796" s="29"/>
      <c r="L796" s="29"/>
    </row>
    <row r="797" spans="1:12" ht="15.75" x14ac:dyDescent="0.25">
      <c r="A797" s="5"/>
      <c r="B797" s="7"/>
      <c r="C797" s="5"/>
      <c r="D797" s="5"/>
      <c r="E797" s="8"/>
      <c r="F797" s="9"/>
      <c r="G797" s="5"/>
      <c r="H797" s="28" t="str">
        <f>IFERROR(IF(AND(COUNTIF(RegistroPago!$A$1:$A$2000,Consolidado!B797)&gt;0,INDEX(RegistroPago!$E$1:$E$2000,MATCH(Consolidado!B797,RegistroPago!$A$1:$A$2000,0))&lt;&gt;""),"PAGADA",IF(I797&lt;&gt;"","PENDIENTE","SIN EMITIR")),"")</f>
        <v/>
      </c>
      <c r="I797" s="10"/>
      <c r="J797" s="2"/>
      <c r="K797" s="29"/>
      <c r="L797" s="29"/>
    </row>
    <row r="798" spans="1:12" ht="15.75" x14ac:dyDescent="0.25">
      <c r="A798" s="5"/>
      <c r="B798" s="7"/>
      <c r="C798" s="5"/>
      <c r="D798" s="5"/>
      <c r="E798" s="8"/>
      <c r="F798" s="9"/>
      <c r="G798" s="5"/>
      <c r="H798" s="28" t="str">
        <f>IFERROR(IF(AND(COUNTIF(RegistroPago!$A$1:$A$2000,Consolidado!B798)&gt;0,INDEX(RegistroPago!$E$1:$E$2000,MATCH(Consolidado!B798,RegistroPago!$A$1:$A$2000,0))&lt;&gt;""),"PAGADA",IF(I798&lt;&gt;"","PENDIENTE","SIN EMITIR")),"")</f>
        <v/>
      </c>
      <c r="I798" s="10"/>
      <c r="J798" s="2"/>
      <c r="K798" s="29"/>
      <c r="L798" s="29"/>
    </row>
    <row r="799" spans="1:12" ht="15.75" x14ac:dyDescent="0.25">
      <c r="A799" s="5"/>
      <c r="B799" s="7"/>
      <c r="C799" s="5"/>
      <c r="D799" s="5"/>
      <c r="E799" s="8"/>
      <c r="F799" s="9"/>
      <c r="G799" s="5"/>
      <c r="H799" s="28" t="str">
        <f>IFERROR(IF(AND(COUNTIF(RegistroPago!$A$1:$A$2000,Consolidado!B799)&gt;0,INDEX(RegistroPago!$E$1:$E$2000,MATCH(Consolidado!B799,RegistroPago!$A$1:$A$2000,0))&lt;&gt;""),"PAGADA",IF(I799&lt;&gt;"","PENDIENTE","SIN EMITIR")),"")</f>
        <v/>
      </c>
      <c r="I799" s="10"/>
      <c r="J799" s="2"/>
      <c r="K799" s="29"/>
      <c r="L799" s="29"/>
    </row>
    <row r="800" spans="1:12" ht="15.75" x14ac:dyDescent="0.25">
      <c r="A800" s="5"/>
      <c r="B800" s="7"/>
      <c r="C800" s="5"/>
      <c r="D800" s="5"/>
      <c r="E800" s="8"/>
      <c r="F800" s="9"/>
      <c r="G800" s="5"/>
      <c r="H800" s="28" t="str">
        <f>IFERROR(IF(AND(COUNTIF(RegistroPago!$A$1:$A$2000,Consolidado!B800)&gt;0,INDEX(RegistroPago!$E$1:$E$2000,MATCH(Consolidado!B800,RegistroPago!$A$1:$A$2000,0))&lt;&gt;""),"PAGADA",IF(I800&lt;&gt;"","PENDIENTE","SIN EMITIR")),"")</f>
        <v/>
      </c>
      <c r="I800" s="10"/>
      <c r="J800" s="2"/>
      <c r="K800" s="29"/>
      <c r="L800" s="29"/>
    </row>
    <row r="801" spans="1:12" ht="15.75" x14ac:dyDescent="0.25">
      <c r="A801" s="5"/>
      <c r="B801" s="7"/>
      <c r="C801" s="5"/>
      <c r="D801" s="5"/>
      <c r="E801" s="8"/>
      <c r="F801" s="9"/>
      <c r="G801" s="5"/>
      <c r="H801" s="28" t="str">
        <f>IFERROR(IF(AND(COUNTIF(RegistroPago!$A$1:$A$2000,Consolidado!B801)&gt;0,INDEX(RegistroPago!$E$1:$E$2000,MATCH(Consolidado!B801,RegistroPago!$A$1:$A$2000,0))&lt;&gt;""),"PAGADA",IF(I801&lt;&gt;"","PENDIENTE","SIN EMITIR")),"")</f>
        <v/>
      </c>
      <c r="I801" s="10"/>
      <c r="J801" s="2"/>
      <c r="K801" s="29"/>
      <c r="L801" s="29"/>
    </row>
    <row r="802" spans="1:12" ht="15.75" x14ac:dyDescent="0.25">
      <c r="A802" s="5"/>
      <c r="B802" s="7"/>
      <c r="C802" s="5"/>
      <c r="D802" s="5"/>
      <c r="E802" s="8"/>
      <c r="F802" s="9"/>
      <c r="G802" s="5"/>
      <c r="H802" s="28" t="str">
        <f>IFERROR(IF(AND(COUNTIF(RegistroPago!$A$1:$A$2000,Consolidado!B802)&gt;0,INDEX(RegistroPago!$E$1:$E$2000,MATCH(Consolidado!B802,RegistroPago!$A$1:$A$2000,0))&lt;&gt;""),"PAGADA",IF(I802&lt;&gt;"","PENDIENTE","SIN EMITIR")),"")</f>
        <v/>
      </c>
      <c r="I802" s="10"/>
      <c r="J802" s="2"/>
      <c r="K802" s="29"/>
      <c r="L802" s="29"/>
    </row>
    <row r="803" spans="1:12" ht="15.75" x14ac:dyDescent="0.25">
      <c r="A803" s="5"/>
      <c r="B803" s="7"/>
      <c r="C803" s="5"/>
      <c r="D803" s="5"/>
      <c r="E803" s="8"/>
      <c r="F803" s="9"/>
      <c r="G803" s="5"/>
      <c r="H803" s="28" t="str">
        <f>IFERROR(IF(AND(COUNTIF(RegistroPago!$A$1:$A$2000,Consolidado!B803)&gt;0,INDEX(RegistroPago!$E$1:$E$2000,MATCH(Consolidado!B803,RegistroPago!$A$1:$A$2000,0))&lt;&gt;""),"PAGADA",IF(I803&lt;&gt;"","PENDIENTE","SIN EMITIR")),"")</f>
        <v/>
      </c>
      <c r="I803" s="10"/>
      <c r="J803" s="2"/>
      <c r="K803" s="29"/>
      <c r="L803" s="29"/>
    </row>
    <row r="804" spans="1:12" ht="15.75" x14ac:dyDescent="0.25">
      <c r="A804" s="5"/>
      <c r="B804" s="7"/>
      <c r="C804" s="5"/>
      <c r="D804" s="5"/>
      <c r="E804" s="8"/>
      <c r="F804" s="9"/>
      <c r="G804" s="5"/>
      <c r="H804" s="28" t="str">
        <f>IFERROR(IF(AND(COUNTIF(RegistroPago!$A$1:$A$2000,Consolidado!B804)&gt;0,INDEX(RegistroPago!$E$1:$E$2000,MATCH(Consolidado!B804,RegistroPago!$A$1:$A$2000,0))&lt;&gt;""),"PAGADA",IF(I804&lt;&gt;"","PENDIENTE","SIN EMITIR")),"")</f>
        <v/>
      </c>
      <c r="I804" s="10"/>
      <c r="J804" s="2"/>
      <c r="K804" s="29"/>
      <c r="L804" s="29"/>
    </row>
    <row r="805" spans="1:12" ht="15.75" x14ac:dyDescent="0.25">
      <c r="A805" s="5"/>
      <c r="B805" s="7"/>
      <c r="C805" s="5"/>
      <c r="D805" s="5"/>
      <c r="E805" s="8"/>
      <c r="F805" s="9"/>
      <c r="G805" s="5"/>
      <c r="H805" s="28" t="str">
        <f>IFERROR(IF(AND(COUNTIF(RegistroPago!$A$1:$A$2000,Consolidado!B805)&gt;0,INDEX(RegistroPago!$E$1:$E$2000,MATCH(Consolidado!B805,RegistroPago!$A$1:$A$2000,0))&lt;&gt;""),"PAGADA",IF(I805&lt;&gt;"","PENDIENTE","SIN EMITIR")),"")</f>
        <v/>
      </c>
      <c r="I805" s="10"/>
      <c r="J805" s="2"/>
      <c r="K805" s="29"/>
      <c r="L805" s="29"/>
    </row>
    <row r="806" spans="1:12" ht="15.75" x14ac:dyDescent="0.25">
      <c r="A806" s="5"/>
      <c r="B806" s="7"/>
      <c r="C806" s="5"/>
      <c r="D806" s="5"/>
      <c r="E806" s="8"/>
      <c r="F806" s="9"/>
      <c r="G806" s="5"/>
      <c r="H806" s="28" t="str">
        <f>IFERROR(IF(AND(COUNTIF(RegistroPago!$A$1:$A$2000,Consolidado!B806)&gt;0,INDEX(RegistroPago!$E$1:$E$2000,MATCH(Consolidado!B806,RegistroPago!$A$1:$A$2000,0))&lt;&gt;""),"PAGADA",IF(I806&lt;&gt;"","PENDIENTE","SIN EMITIR")),"")</f>
        <v/>
      </c>
      <c r="I806" s="10"/>
      <c r="J806" s="2"/>
      <c r="K806" s="29"/>
      <c r="L806" s="29"/>
    </row>
    <row r="807" spans="1:12" ht="15.75" x14ac:dyDescent="0.25">
      <c r="A807" s="5"/>
      <c r="B807" s="7"/>
      <c r="C807" s="5"/>
      <c r="D807" s="5"/>
      <c r="E807" s="8"/>
      <c r="F807" s="9"/>
      <c r="G807" s="5"/>
      <c r="H807" s="28" t="str">
        <f>IFERROR(IF(AND(COUNTIF(RegistroPago!$A$1:$A$2000,Consolidado!B807)&gt;0,INDEX(RegistroPago!$E$1:$E$2000,MATCH(Consolidado!B807,RegistroPago!$A$1:$A$2000,0))&lt;&gt;""),"PAGADA",IF(I807&lt;&gt;"","PENDIENTE","SIN EMITIR")),"")</f>
        <v/>
      </c>
      <c r="I807" s="10"/>
      <c r="J807" s="2"/>
      <c r="K807" s="29"/>
      <c r="L807" s="29"/>
    </row>
    <row r="808" spans="1:12" ht="15.75" x14ac:dyDescent="0.25">
      <c r="A808" s="5"/>
      <c r="B808" s="7"/>
      <c r="C808" s="5"/>
      <c r="D808" s="5"/>
      <c r="E808" s="8"/>
      <c r="F808" s="9"/>
      <c r="G808" s="5"/>
      <c r="H808" s="28" t="str">
        <f>IFERROR(IF(AND(COUNTIF(RegistroPago!$A$1:$A$2000,Consolidado!B808)&gt;0,INDEX(RegistroPago!$E$1:$E$2000,MATCH(Consolidado!B808,RegistroPago!$A$1:$A$2000,0))&lt;&gt;""),"PAGADA",IF(I808&lt;&gt;"","PENDIENTE","SIN EMITIR")),"")</f>
        <v/>
      </c>
      <c r="I808" s="10"/>
      <c r="J808" s="2"/>
      <c r="K808" s="29"/>
      <c r="L808" s="29"/>
    </row>
    <row r="809" spans="1:12" ht="15.75" x14ac:dyDescent="0.25">
      <c r="A809" s="5"/>
      <c r="B809" s="7"/>
      <c r="C809" s="5"/>
      <c r="D809" s="5"/>
      <c r="E809" s="8"/>
      <c r="F809" s="9"/>
      <c r="G809" s="5"/>
      <c r="H809" s="28" t="str">
        <f>IFERROR(IF(AND(COUNTIF(RegistroPago!$A$1:$A$2000,Consolidado!B809)&gt;0,INDEX(RegistroPago!$E$1:$E$2000,MATCH(Consolidado!B809,RegistroPago!$A$1:$A$2000,0))&lt;&gt;""),"PAGADA",IF(I809&lt;&gt;"","PENDIENTE","SIN EMITIR")),"")</f>
        <v/>
      </c>
      <c r="I809" s="10"/>
      <c r="J809" s="2"/>
      <c r="K809" s="29"/>
      <c r="L809" s="29"/>
    </row>
    <row r="810" spans="1:12" ht="15.75" x14ac:dyDescent="0.25">
      <c r="A810" s="5"/>
      <c r="B810" s="7"/>
      <c r="C810" s="5"/>
      <c r="D810" s="5"/>
      <c r="E810" s="8"/>
      <c r="F810" s="9"/>
      <c r="G810" s="5"/>
      <c r="H810" s="28" t="str">
        <f>IFERROR(IF(AND(COUNTIF(RegistroPago!$A$1:$A$2000,Consolidado!B810)&gt;0,INDEX(RegistroPago!$E$1:$E$2000,MATCH(Consolidado!B810,RegistroPago!$A$1:$A$2000,0))&lt;&gt;""),"PAGADA",IF(I810&lt;&gt;"","PENDIENTE","SIN EMITIR")),"")</f>
        <v/>
      </c>
      <c r="I810" s="10"/>
      <c r="J810" s="2"/>
      <c r="K810" s="29"/>
      <c r="L810" s="29"/>
    </row>
    <row r="811" spans="1:12" ht="15.75" x14ac:dyDescent="0.25">
      <c r="A811" s="5"/>
      <c r="B811" s="7"/>
      <c r="C811" s="5"/>
      <c r="D811" s="5"/>
      <c r="E811" s="8"/>
      <c r="F811" s="9"/>
      <c r="G811" s="5"/>
      <c r="H811" s="28" t="str">
        <f>IFERROR(IF(AND(COUNTIF(RegistroPago!$A$1:$A$2000,Consolidado!B811)&gt;0,INDEX(RegistroPago!$E$1:$E$2000,MATCH(Consolidado!B811,RegistroPago!$A$1:$A$2000,0))&lt;&gt;""),"PAGADA",IF(I811&lt;&gt;"","PENDIENTE","SIN EMITIR")),"")</f>
        <v/>
      </c>
      <c r="I811" s="10"/>
      <c r="J811" s="2"/>
      <c r="K811" s="29"/>
      <c r="L811" s="29"/>
    </row>
    <row r="812" spans="1:12" ht="15.75" x14ac:dyDescent="0.25">
      <c r="A812" s="5"/>
      <c r="B812" s="7"/>
      <c r="C812" s="5"/>
      <c r="D812" s="5"/>
      <c r="E812" s="8"/>
      <c r="F812" s="9"/>
      <c r="G812" s="5"/>
      <c r="H812" s="28" t="str">
        <f>IFERROR(IF(AND(COUNTIF(RegistroPago!$A$1:$A$2000,Consolidado!B812)&gt;0,INDEX(RegistroPago!$E$1:$E$2000,MATCH(Consolidado!B812,RegistroPago!$A$1:$A$2000,0))&lt;&gt;""),"PAGADA",IF(I812&lt;&gt;"","PENDIENTE","SIN EMITIR")),"")</f>
        <v/>
      </c>
      <c r="I812" s="10"/>
      <c r="J812" s="2"/>
      <c r="K812" s="29"/>
      <c r="L812" s="29"/>
    </row>
    <row r="813" spans="1:12" ht="15.75" x14ac:dyDescent="0.25">
      <c r="A813" s="5"/>
      <c r="B813" s="7"/>
      <c r="C813" s="5"/>
      <c r="D813" s="5"/>
      <c r="E813" s="8"/>
      <c r="F813" s="9"/>
      <c r="G813" s="5"/>
      <c r="H813" s="28" t="str">
        <f>IFERROR(IF(AND(COUNTIF(RegistroPago!$A$1:$A$2000,Consolidado!B813)&gt;0,INDEX(RegistroPago!$E$1:$E$2000,MATCH(Consolidado!B813,RegistroPago!$A$1:$A$2000,0))&lt;&gt;""),"PAGADA",IF(I813&lt;&gt;"","PENDIENTE","SIN EMITIR")),"")</f>
        <v/>
      </c>
      <c r="I813" s="10"/>
      <c r="J813" s="2"/>
      <c r="K813" s="29"/>
      <c r="L813" s="29"/>
    </row>
    <row r="814" spans="1:12" ht="15.75" x14ac:dyDescent="0.25">
      <c r="A814" s="5"/>
      <c r="B814" s="7"/>
      <c r="C814" s="5"/>
      <c r="D814" s="5"/>
      <c r="E814" s="8"/>
      <c r="F814" s="9"/>
      <c r="G814" s="5"/>
      <c r="H814" s="28" t="str">
        <f>IFERROR(IF(AND(COUNTIF(RegistroPago!$A$1:$A$2000,Consolidado!B814)&gt;0,INDEX(RegistroPago!$E$1:$E$2000,MATCH(Consolidado!B814,RegistroPago!$A$1:$A$2000,0))&lt;&gt;""),"PAGADA",IF(I814&lt;&gt;"","PENDIENTE","SIN EMITIR")),"")</f>
        <v/>
      </c>
      <c r="I814" s="10"/>
      <c r="J814" s="2"/>
      <c r="K814" s="29"/>
      <c r="L814" s="29"/>
    </row>
    <row r="815" spans="1:12" ht="15.75" x14ac:dyDescent="0.25">
      <c r="A815" s="5"/>
      <c r="B815" s="7"/>
      <c r="C815" s="5"/>
      <c r="D815" s="5"/>
      <c r="E815" s="8"/>
      <c r="F815" s="9"/>
      <c r="G815" s="5"/>
      <c r="H815" s="28" t="str">
        <f>IFERROR(IF(AND(COUNTIF(RegistroPago!$A$1:$A$2000,Consolidado!B815)&gt;0,INDEX(RegistroPago!$E$1:$E$2000,MATCH(Consolidado!B815,RegistroPago!$A$1:$A$2000,0))&lt;&gt;""),"PAGADA",IF(I815&lt;&gt;"","PENDIENTE","SIN EMITIR")),"")</f>
        <v/>
      </c>
      <c r="I815" s="10"/>
      <c r="J815" s="2"/>
      <c r="K815" s="29"/>
      <c r="L815" s="29"/>
    </row>
    <row r="816" spans="1:12" ht="15.75" x14ac:dyDescent="0.25">
      <c r="A816" s="5"/>
      <c r="B816" s="7"/>
      <c r="C816" s="5"/>
      <c r="D816" s="5"/>
      <c r="E816" s="8"/>
      <c r="F816" s="9"/>
      <c r="G816" s="5"/>
      <c r="H816" s="28" t="str">
        <f>IFERROR(IF(AND(COUNTIF(RegistroPago!$A$1:$A$2000,Consolidado!B816)&gt;0,INDEX(RegistroPago!$E$1:$E$2000,MATCH(Consolidado!B816,RegistroPago!$A$1:$A$2000,0))&lt;&gt;""),"PAGADA",IF(I816&lt;&gt;"","PENDIENTE","SIN EMITIR")),"")</f>
        <v/>
      </c>
      <c r="I816" s="10"/>
      <c r="J816" s="2"/>
      <c r="K816" s="29"/>
      <c r="L816" s="29"/>
    </row>
    <row r="817" spans="1:12" ht="15.75" x14ac:dyDescent="0.25">
      <c r="A817" s="5"/>
      <c r="B817" s="7"/>
      <c r="C817" s="5"/>
      <c r="D817" s="5"/>
      <c r="E817" s="8"/>
      <c r="F817" s="9"/>
      <c r="G817" s="5"/>
      <c r="H817" s="28" t="str">
        <f>IFERROR(IF(AND(COUNTIF(RegistroPago!$A$1:$A$2000,Consolidado!B817)&gt;0,INDEX(RegistroPago!$E$1:$E$2000,MATCH(Consolidado!B817,RegistroPago!$A$1:$A$2000,0))&lt;&gt;""),"PAGADA",IF(I817&lt;&gt;"","PENDIENTE","SIN EMITIR")),"")</f>
        <v/>
      </c>
      <c r="I817" s="10"/>
      <c r="J817" s="2"/>
      <c r="K817" s="29"/>
      <c r="L817" s="29"/>
    </row>
    <row r="818" spans="1:12" ht="15.75" x14ac:dyDescent="0.25">
      <c r="A818" s="5"/>
      <c r="B818" s="7"/>
      <c r="C818" s="5"/>
      <c r="D818" s="5"/>
      <c r="E818" s="8"/>
      <c r="F818" s="9"/>
      <c r="G818" s="5"/>
      <c r="H818" s="28" t="str">
        <f>IFERROR(IF(AND(COUNTIF(RegistroPago!$A$1:$A$2000,Consolidado!B818)&gt;0,INDEX(RegistroPago!$E$1:$E$2000,MATCH(Consolidado!B818,RegistroPago!$A$1:$A$2000,0))&lt;&gt;""),"PAGADA",IF(I818&lt;&gt;"","PENDIENTE","SIN EMITIR")),"")</f>
        <v/>
      </c>
      <c r="I818" s="10"/>
      <c r="J818" s="2"/>
      <c r="K818" s="29"/>
      <c r="L818" s="29"/>
    </row>
    <row r="819" spans="1:12" ht="15.75" x14ac:dyDescent="0.25">
      <c r="A819" s="5"/>
      <c r="B819" s="7"/>
      <c r="C819" s="5"/>
      <c r="D819" s="5"/>
      <c r="E819" s="8"/>
      <c r="F819" s="9"/>
      <c r="G819" s="5"/>
      <c r="H819" s="28" t="str">
        <f>IFERROR(IF(AND(COUNTIF(RegistroPago!$A$1:$A$2000,Consolidado!B819)&gt;0,INDEX(RegistroPago!$E$1:$E$2000,MATCH(Consolidado!B819,RegistroPago!$A$1:$A$2000,0))&lt;&gt;""),"PAGADA",IF(I819&lt;&gt;"","PENDIENTE","SIN EMITIR")),"")</f>
        <v/>
      </c>
      <c r="I819" s="10"/>
      <c r="J819" s="2"/>
      <c r="K819" s="29"/>
      <c r="L819" s="29"/>
    </row>
    <row r="820" spans="1:12" ht="15.75" x14ac:dyDescent="0.25">
      <c r="A820" s="5"/>
      <c r="B820" s="7"/>
      <c r="C820" s="5"/>
      <c r="D820" s="5"/>
      <c r="E820" s="8"/>
      <c r="F820" s="9"/>
      <c r="G820" s="5"/>
      <c r="H820" s="28" t="str">
        <f>IFERROR(IF(AND(COUNTIF(RegistroPago!$A$1:$A$2000,Consolidado!B820)&gt;0,INDEX(RegistroPago!$E$1:$E$2000,MATCH(Consolidado!B820,RegistroPago!$A$1:$A$2000,0))&lt;&gt;""),"PAGADA",IF(I820&lt;&gt;"","PENDIENTE","SIN EMITIR")),"")</f>
        <v/>
      </c>
      <c r="I820" s="10"/>
      <c r="J820" s="2"/>
      <c r="K820" s="29"/>
      <c r="L820" s="29"/>
    </row>
    <row r="821" spans="1:12" ht="15.75" x14ac:dyDescent="0.25">
      <c r="A821" s="5"/>
      <c r="B821" s="7"/>
      <c r="C821" s="5"/>
      <c r="D821" s="5"/>
      <c r="E821" s="8"/>
      <c r="F821" s="9"/>
      <c r="G821" s="5"/>
      <c r="H821" s="28" t="str">
        <f>IFERROR(IF(AND(COUNTIF(RegistroPago!$A$1:$A$2000,Consolidado!B821)&gt;0,INDEX(RegistroPago!$E$1:$E$2000,MATCH(Consolidado!B821,RegistroPago!$A$1:$A$2000,0))&lt;&gt;""),"PAGADA",IF(I821&lt;&gt;"","PENDIENTE","SIN EMITIR")),"")</f>
        <v/>
      </c>
      <c r="I821" s="10"/>
      <c r="J821" s="2"/>
      <c r="K821" s="29"/>
      <c r="L821" s="29"/>
    </row>
    <row r="822" spans="1:12" ht="15.75" x14ac:dyDescent="0.25">
      <c r="A822" s="5"/>
      <c r="B822" s="7"/>
      <c r="C822" s="5"/>
      <c r="D822" s="5"/>
      <c r="E822" s="8"/>
      <c r="F822" s="9"/>
      <c r="G822" s="5"/>
      <c r="H822" s="28" t="str">
        <f>IFERROR(IF(AND(COUNTIF(RegistroPago!$A$1:$A$2000,Consolidado!B822)&gt;0,INDEX(RegistroPago!$E$1:$E$2000,MATCH(Consolidado!B822,RegistroPago!$A$1:$A$2000,0))&lt;&gt;""),"PAGADA",IF(I822&lt;&gt;"","PENDIENTE","SIN EMITIR")),"")</f>
        <v/>
      </c>
      <c r="I822" s="10"/>
      <c r="J822" s="2"/>
      <c r="K822" s="29"/>
      <c r="L822" s="29"/>
    </row>
    <row r="823" spans="1:12" ht="15.75" x14ac:dyDescent="0.25">
      <c r="A823" s="5"/>
      <c r="B823" s="7"/>
      <c r="C823" s="5"/>
      <c r="D823" s="5"/>
      <c r="E823" s="8"/>
      <c r="F823" s="9"/>
      <c r="G823" s="5"/>
      <c r="H823" s="28" t="str">
        <f>IFERROR(IF(AND(COUNTIF(RegistroPago!$A$1:$A$2000,Consolidado!B823)&gt;0,INDEX(RegistroPago!$E$1:$E$2000,MATCH(Consolidado!B823,RegistroPago!$A$1:$A$2000,0))&lt;&gt;""),"PAGADA",IF(I823&lt;&gt;"","PENDIENTE","SIN EMITIR")),"")</f>
        <v/>
      </c>
      <c r="I823" s="10"/>
      <c r="J823" s="2"/>
      <c r="K823" s="29"/>
      <c r="L823" s="29"/>
    </row>
    <row r="824" spans="1:12" ht="15.75" x14ac:dyDescent="0.25">
      <c r="A824" s="5"/>
      <c r="B824" s="7"/>
      <c r="C824" s="5"/>
      <c r="D824" s="5"/>
      <c r="E824" s="8"/>
      <c r="F824" s="9"/>
      <c r="G824" s="5"/>
      <c r="H824" s="28" t="str">
        <f>IFERROR(IF(AND(COUNTIF(RegistroPago!$A$1:$A$2000,Consolidado!B824)&gt;0,INDEX(RegistroPago!$E$1:$E$2000,MATCH(Consolidado!B824,RegistroPago!$A$1:$A$2000,0))&lt;&gt;""),"PAGADA",IF(I824&lt;&gt;"","PENDIENTE","SIN EMITIR")),"")</f>
        <v/>
      </c>
      <c r="I824" s="10"/>
      <c r="J824" s="2"/>
      <c r="K824" s="29"/>
      <c r="L824" s="29"/>
    </row>
    <row r="825" spans="1:12" ht="15.75" x14ac:dyDescent="0.25">
      <c r="A825" s="5"/>
      <c r="B825" s="7"/>
      <c r="C825" s="5"/>
      <c r="D825" s="5"/>
      <c r="E825" s="8"/>
      <c r="F825" s="9"/>
      <c r="G825" s="5"/>
      <c r="H825" s="28" t="str">
        <f>IFERROR(IF(AND(COUNTIF(RegistroPago!$A$1:$A$2000,Consolidado!B825)&gt;0,INDEX(RegistroPago!$E$1:$E$2000,MATCH(Consolidado!B825,RegistroPago!$A$1:$A$2000,0))&lt;&gt;""),"PAGADA",IF(I825&lt;&gt;"","PENDIENTE","SIN EMITIR")),"")</f>
        <v/>
      </c>
      <c r="I825" s="10"/>
      <c r="J825" s="2"/>
      <c r="K825" s="29"/>
      <c r="L825" s="29"/>
    </row>
    <row r="826" spans="1:12" ht="15.75" x14ac:dyDescent="0.25">
      <c r="A826" s="5"/>
      <c r="B826" s="7"/>
      <c r="C826" s="5"/>
      <c r="D826" s="5"/>
      <c r="E826" s="8"/>
      <c r="F826" s="9"/>
      <c r="G826" s="5"/>
      <c r="H826" s="28" t="str">
        <f>IFERROR(IF(AND(COUNTIF(RegistroPago!$A$1:$A$2000,Consolidado!B826)&gt;0,INDEX(RegistroPago!$E$1:$E$2000,MATCH(Consolidado!B826,RegistroPago!$A$1:$A$2000,0))&lt;&gt;""),"PAGADA",IF(I826&lt;&gt;"","PENDIENTE","SIN EMITIR")),"")</f>
        <v/>
      </c>
      <c r="I826" s="10"/>
      <c r="J826" s="2"/>
      <c r="K826" s="29"/>
      <c r="L826" s="29"/>
    </row>
    <row r="827" spans="1:12" ht="15.75" x14ac:dyDescent="0.25">
      <c r="A827" s="5"/>
      <c r="B827" s="7"/>
      <c r="C827" s="5"/>
      <c r="D827" s="5"/>
      <c r="E827" s="8"/>
      <c r="F827" s="9"/>
      <c r="G827" s="5"/>
      <c r="H827" s="28" t="str">
        <f>IFERROR(IF(AND(COUNTIF(RegistroPago!$A$1:$A$2000,Consolidado!B827)&gt;0,INDEX(RegistroPago!$E$1:$E$2000,MATCH(Consolidado!B827,RegistroPago!$A$1:$A$2000,0))&lt;&gt;""),"PAGADA",IF(I827&lt;&gt;"","PENDIENTE","SIN EMITIR")),"")</f>
        <v/>
      </c>
      <c r="I827" s="10"/>
      <c r="J827" s="2"/>
      <c r="K827" s="29"/>
      <c r="L827" s="29"/>
    </row>
    <row r="828" spans="1:12" ht="15.75" x14ac:dyDescent="0.25">
      <c r="A828" s="5"/>
      <c r="B828" s="7"/>
      <c r="C828" s="5"/>
      <c r="D828" s="5"/>
      <c r="E828" s="8"/>
      <c r="F828" s="9"/>
      <c r="G828" s="5"/>
      <c r="H828" s="28" t="str">
        <f>IFERROR(IF(AND(COUNTIF(RegistroPago!$A$1:$A$2000,Consolidado!B828)&gt;0,INDEX(RegistroPago!$E$1:$E$2000,MATCH(Consolidado!B828,RegistroPago!$A$1:$A$2000,0))&lt;&gt;""),"PAGADA",IF(I828&lt;&gt;"","PENDIENTE","SIN EMITIR")),"")</f>
        <v/>
      </c>
      <c r="I828" s="10"/>
      <c r="J828" s="2"/>
      <c r="K828" s="29"/>
      <c r="L828" s="29"/>
    </row>
    <row r="829" spans="1:12" ht="15.75" x14ac:dyDescent="0.25">
      <c r="A829" s="5"/>
      <c r="B829" s="7"/>
      <c r="C829" s="5"/>
      <c r="D829" s="5"/>
      <c r="E829" s="8"/>
      <c r="F829" s="9"/>
      <c r="G829" s="5"/>
      <c r="H829" s="28" t="str">
        <f>IFERROR(IF(AND(COUNTIF(RegistroPago!$A$1:$A$2000,Consolidado!B829)&gt;0,INDEX(RegistroPago!$E$1:$E$2000,MATCH(Consolidado!B829,RegistroPago!$A$1:$A$2000,0))&lt;&gt;""),"PAGADA",IF(I829&lt;&gt;"","PENDIENTE","SIN EMITIR")),"")</f>
        <v/>
      </c>
      <c r="I829" s="10"/>
      <c r="J829" s="2"/>
      <c r="K829" s="29"/>
      <c r="L829" s="29"/>
    </row>
    <row r="830" spans="1:12" ht="15.75" x14ac:dyDescent="0.25">
      <c r="A830" s="5"/>
      <c r="B830" s="7"/>
      <c r="C830" s="5"/>
      <c r="D830" s="5"/>
      <c r="E830" s="8"/>
      <c r="F830" s="9"/>
      <c r="G830" s="5"/>
      <c r="H830" s="28" t="str">
        <f>IFERROR(IF(AND(COUNTIF(RegistroPago!$A$1:$A$2000,Consolidado!B830)&gt;0,INDEX(RegistroPago!$E$1:$E$2000,MATCH(Consolidado!B830,RegistroPago!$A$1:$A$2000,0))&lt;&gt;""),"PAGADA",IF(I830&lt;&gt;"","PENDIENTE","SIN EMITIR")),"")</f>
        <v/>
      </c>
      <c r="I830" s="10"/>
      <c r="J830" s="2"/>
      <c r="K830" s="29"/>
      <c r="L830" s="29"/>
    </row>
    <row r="831" spans="1:12" ht="15.75" x14ac:dyDescent="0.25">
      <c r="A831" s="5"/>
      <c r="B831" s="7"/>
      <c r="C831" s="5"/>
      <c r="D831" s="5"/>
      <c r="E831" s="8"/>
      <c r="F831" s="9"/>
      <c r="G831" s="5"/>
      <c r="H831" s="28" t="str">
        <f>IFERROR(IF(AND(COUNTIF(RegistroPago!$A$1:$A$2000,Consolidado!B831)&gt;0,INDEX(RegistroPago!$E$1:$E$2000,MATCH(Consolidado!B831,RegistroPago!$A$1:$A$2000,0))&lt;&gt;""),"PAGADA",IF(I831&lt;&gt;"","PENDIENTE","SIN EMITIR")),"")</f>
        <v/>
      </c>
      <c r="I831" s="10"/>
      <c r="J831" s="2"/>
      <c r="K831" s="29"/>
      <c r="L831" s="29"/>
    </row>
    <row r="832" spans="1:12" ht="15.75" x14ac:dyDescent="0.25">
      <c r="A832" s="5"/>
      <c r="B832" s="7"/>
      <c r="C832" s="5"/>
      <c r="D832" s="5"/>
      <c r="E832" s="8"/>
      <c r="F832" s="9"/>
      <c r="G832" s="5"/>
      <c r="H832" s="28" t="str">
        <f>IFERROR(IF(AND(COUNTIF(RegistroPago!$A$1:$A$2000,Consolidado!B832)&gt;0,INDEX(RegistroPago!$E$1:$E$2000,MATCH(Consolidado!B832,RegistroPago!$A$1:$A$2000,0))&lt;&gt;""),"PAGADA",IF(I832&lt;&gt;"","PENDIENTE","SIN EMITIR")),"")</f>
        <v/>
      </c>
      <c r="I832" s="10"/>
      <c r="J832" s="2"/>
      <c r="K832" s="29"/>
      <c r="L832" s="29"/>
    </row>
    <row r="833" spans="1:12" ht="15.75" x14ac:dyDescent="0.25">
      <c r="A833" s="5"/>
      <c r="B833" s="7"/>
      <c r="C833" s="5"/>
      <c r="D833" s="5"/>
      <c r="E833" s="8"/>
      <c r="F833" s="9"/>
      <c r="G833" s="5"/>
      <c r="H833" s="28" t="str">
        <f>IFERROR(IF(AND(COUNTIF(RegistroPago!$A$1:$A$2000,Consolidado!B833)&gt;0,INDEX(RegistroPago!$E$1:$E$2000,MATCH(Consolidado!B833,RegistroPago!$A$1:$A$2000,0))&lt;&gt;""),"PAGADA",IF(I833&lt;&gt;"","PENDIENTE","SIN EMITIR")),"")</f>
        <v/>
      </c>
      <c r="I833" s="10"/>
      <c r="J833" s="2"/>
      <c r="K833" s="29"/>
      <c r="L833" s="29"/>
    </row>
    <row r="834" spans="1:12" ht="15.75" x14ac:dyDescent="0.25">
      <c r="A834" s="5"/>
      <c r="B834" s="7"/>
      <c r="C834" s="5"/>
      <c r="D834" s="5"/>
      <c r="E834" s="8"/>
      <c r="F834" s="9"/>
      <c r="G834" s="5"/>
      <c r="H834" s="28" t="str">
        <f>IFERROR(IF(AND(COUNTIF(RegistroPago!$A$1:$A$2000,Consolidado!B834)&gt;0,INDEX(RegistroPago!$E$1:$E$2000,MATCH(Consolidado!B834,RegistroPago!$A$1:$A$2000,0))&lt;&gt;""),"PAGADA",IF(I834&lt;&gt;"","PENDIENTE","SIN EMITIR")),"")</f>
        <v/>
      </c>
      <c r="I834" s="10"/>
      <c r="J834" s="2"/>
      <c r="K834" s="29"/>
      <c r="L834" s="29"/>
    </row>
    <row r="835" spans="1:12" ht="15.75" x14ac:dyDescent="0.25">
      <c r="A835" s="5"/>
      <c r="B835" s="7"/>
      <c r="C835" s="5"/>
      <c r="D835" s="5"/>
      <c r="E835" s="8"/>
      <c r="F835" s="9"/>
      <c r="G835" s="5"/>
      <c r="H835" s="28" t="str">
        <f>IFERROR(IF(AND(COUNTIF(RegistroPago!$A$1:$A$2000,Consolidado!B835)&gt;0,INDEX(RegistroPago!$E$1:$E$2000,MATCH(Consolidado!B835,RegistroPago!$A$1:$A$2000,0))&lt;&gt;""),"PAGADA",IF(I835&lt;&gt;"","PENDIENTE","SIN EMITIR")),"")</f>
        <v/>
      </c>
      <c r="I835" s="10"/>
      <c r="J835" s="2"/>
      <c r="K835" s="29"/>
      <c r="L835" s="29"/>
    </row>
    <row r="836" spans="1:12" ht="15.75" x14ac:dyDescent="0.25">
      <c r="A836" s="5"/>
      <c r="B836" s="7"/>
      <c r="C836" s="5"/>
      <c r="D836" s="5"/>
      <c r="E836" s="8"/>
      <c r="F836" s="9"/>
      <c r="G836" s="5"/>
      <c r="H836" s="28" t="str">
        <f>IFERROR(IF(AND(COUNTIF(RegistroPago!$A$1:$A$2000,Consolidado!B836)&gt;0,INDEX(RegistroPago!$E$1:$E$2000,MATCH(Consolidado!B836,RegistroPago!$A$1:$A$2000,0))&lt;&gt;""),"PAGADA",IF(I836&lt;&gt;"","PENDIENTE","SIN EMITIR")),"")</f>
        <v/>
      </c>
      <c r="I836" s="10"/>
      <c r="J836" s="2"/>
      <c r="K836" s="29"/>
      <c r="L836" s="29"/>
    </row>
    <row r="837" spans="1:12" ht="15.75" x14ac:dyDescent="0.25">
      <c r="A837" s="5"/>
      <c r="B837" s="7"/>
      <c r="C837" s="5"/>
      <c r="D837" s="5"/>
      <c r="E837" s="8"/>
      <c r="F837" s="9"/>
      <c r="G837" s="5"/>
      <c r="H837" s="28" t="str">
        <f>IFERROR(IF(AND(COUNTIF(RegistroPago!$A$1:$A$2000,Consolidado!B837)&gt;0,INDEX(RegistroPago!$E$1:$E$2000,MATCH(Consolidado!B837,RegistroPago!$A$1:$A$2000,0))&lt;&gt;""),"PAGADA",IF(I837&lt;&gt;"","PENDIENTE","SIN EMITIR")),"")</f>
        <v/>
      </c>
      <c r="I837" s="10"/>
      <c r="J837" s="2"/>
      <c r="K837" s="29"/>
      <c r="L837" s="29"/>
    </row>
    <row r="838" spans="1:12" ht="15.75" x14ac:dyDescent="0.25">
      <c r="A838" s="5"/>
      <c r="B838" s="7"/>
      <c r="C838" s="5"/>
      <c r="D838" s="5"/>
      <c r="E838" s="8"/>
      <c r="F838" s="9"/>
      <c r="G838" s="5"/>
      <c r="H838" s="28" t="str">
        <f>IFERROR(IF(AND(COUNTIF(RegistroPago!$A$1:$A$2000,Consolidado!B838)&gt;0,INDEX(RegistroPago!$E$1:$E$2000,MATCH(Consolidado!B838,RegistroPago!$A$1:$A$2000,0))&lt;&gt;""),"PAGADA",IF(I838&lt;&gt;"","PENDIENTE","SIN EMITIR")),"")</f>
        <v/>
      </c>
      <c r="I838" s="10"/>
      <c r="J838" s="2"/>
      <c r="K838" s="29"/>
      <c r="L838" s="29"/>
    </row>
    <row r="839" spans="1:12" ht="15.75" x14ac:dyDescent="0.25">
      <c r="A839" s="5"/>
      <c r="B839" s="7"/>
      <c r="C839" s="5"/>
      <c r="D839" s="5"/>
      <c r="E839" s="8"/>
      <c r="F839" s="9"/>
      <c r="G839" s="5"/>
      <c r="H839" s="28" t="str">
        <f>IFERROR(IF(AND(COUNTIF(RegistroPago!$A$1:$A$2000,Consolidado!B839)&gt;0,INDEX(RegistroPago!$E$1:$E$2000,MATCH(Consolidado!B839,RegistroPago!$A$1:$A$2000,0))&lt;&gt;""),"PAGADA",IF(I839&lt;&gt;"","PENDIENTE","SIN EMITIR")),"")</f>
        <v/>
      </c>
      <c r="I839" s="10"/>
      <c r="J839" s="2"/>
      <c r="K839" s="29"/>
      <c r="L839" s="29"/>
    </row>
    <row r="840" spans="1:12" ht="15.75" x14ac:dyDescent="0.25">
      <c r="A840" s="5"/>
      <c r="B840" s="7"/>
      <c r="C840" s="5"/>
      <c r="D840" s="5"/>
      <c r="E840" s="8"/>
      <c r="F840" s="9"/>
      <c r="G840" s="5"/>
      <c r="H840" s="28" t="str">
        <f>IFERROR(IF(AND(COUNTIF(RegistroPago!$A$1:$A$2000,Consolidado!B840)&gt;0,INDEX(RegistroPago!$E$1:$E$2000,MATCH(Consolidado!B840,RegistroPago!$A$1:$A$2000,0))&lt;&gt;""),"PAGADA",IF(I840&lt;&gt;"","PENDIENTE","SIN EMITIR")),"")</f>
        <v/>
      </c>
      <c r="I840" s="10"/>
      <c r="J840" s="2"/>
      <c r="K840" s="29"/>
      <c r="L840" s="29"/>
    </row>
    <row r="841" spans="1:12" ht="15.75" x14ac:dyDescent="0.25">
      <c r="A841" s="5"/>
      <c r="B841" s="7"/>
      <c r="C841" s="5"/>
      <c r="D841" s="5"/>
      <c r="E841" s="8"/>
      <c r="F841" s="9"/>
      <c r="G841" s="5"/>
      <c r="H841" s="28" t="str">
        <f>IFERROR(IF(AND(COUNTIF(RegistroPago!$A$1:$A$2000,Consolidado!B841)&gt;0,INDEX(RegistroPago!$E$1:$E$2000,MATCH(Consolidado!B841,RegistroPago!$A$1:$A$2000,0))&lt;&gt;""),"PAGADA",IF(I841&lt;&gt;"","PENDIENTE","SIN EMITIR")),"")</f>
        <v/>
      </c>
      <c r="I841" s="10"/>
      <c r="J841" s="2"/>
      <c r="K841" s="29"/>
      <c r="L841" s="29"/>
    </row>
    <row r="842" spans="1:12" ht="15.75" x14ac:dyDescent="0.25">
      <c r="A842" s="5"/>
      <c r="B842" s="7"/>
      <c r="C842" s="5"/>
      <c r="D842" s="5"/>
      <c r="E842" s="8"/>
      <c r="F842" s="9"/>
      <c r="G842" s="5"/>
      <c r="H842" s="28" t="str">
        <f>IFERROR(IF(AND(COUNTIF(RegistroPago!$A$1:$A$2000,Consolidado!B842)&gt;0,INDEX(RegistroPago!$E$1:$E$2000,MATCH(Consolidado!B842,RegistroPago!$A$1:$A$2000,0))&lt;&gt;""),"PAGADA",IF(I842&lt;&gt;"","PENDIENTE","SIN EMITIR")),"")</f>
        <v/>
      </c>
      <c r="I842" s="10"/>
      <c r="J842" s="2"/>
      <c r="K842" s="29"/>
      <c r="L842" s="29"/>
    </row>
    <row r="843" spans="1:12" ht="15.75" x14ac:dyDescent="0.25">
      <c r="A843" s="5"/>
      <c r="B843" s="7"/>
      <c r="C843" s="5"/>
      <c r="D843" s="5"/>
      <c r="E843" s="8"/>
      <c r="F843" s="9"/>
      <c r="G843" s="5"/>
      <c r="H843" s="28" t="str">
        <f>IFERROR(IF(AND(COUNTIF(RegistroPago!$A$1:$A$2000,Consolidado!B843)&gt;0,INDEX(RegistroPago!$E$1:$E$2000,MATCH(Consolidado!B843,RegistroPago!$A$1:$A$2000,0))&lt;&gt;""),"PAGADA",IF(I843&lt;&gt;"","PENDIENTE","SIN EMITIR")),"")</f>
        <v/>
      </c>
      <c r="I843" s="10"/>
      <c r="J843" s="2"/>
      <c r="K843" s="29"/>
      <c r="L843" s="29"/>
    </row>
    <row r="844" spans="1:12" ht="15.75" x14ac:dyDescent="0.25">
      <c r="A844" s="5"/>
      <c r="B844" s="7"/>
      <c r="C844" s="5"/>
      <c r="D844" s="5"/>
      <c r="E844" s="8"/>
      <c r="F844" s="9"/>
      <c r="G844" s="5"/>
      <c r="H844" s="28" t="str">
        <f>IFERROR(IF(AND(COUNTIF(RegistroPago!$A$1:$A$2000,Consolidado!B844)&gt;0,INDEX(RegistroPago!$E$1:$E$2000,MATCH(Consolidado!B844,RegistroPago!$A$1:$A$2000,0))&lt;&gt;""),"PAGADA",IF(I844&lt;&gt;"","PENDIENTE","SIN EMITIR")),"")</f>
        <v/>
      </c>
      <c r="I844" s="10"/>
      <c r="J844" s="2"/>
      <c r="K844" s="29"/>
      <c r="L844" s="29"/>
    </row>
    <row r="845" spans="1:12" ht="15.75" x14ac:dyDescent="0.25">
      <c r="A845" s="5"/>
      <c r="B845" s="7"/>
      <c r="C845" s="5"/>
      <c r="D845" s="5"/>
      <c r="E845" s="8"/>
      <c r="F845" s="9"/>
      <c r="G845" s="5"/>
      <c r="H845" s="28" t="str">
        <f>IFERROR(IF(AND(COUNTIF(RegistroPago!$A$1:$A$2000,Consolidado!B845)&gt;0,INDEX(RegistroPago!$E$1:$E$2000,MATCH(Consolidado!B845,RegistroPago!$A$1:$A$2000,0))&lt;&gt;""),"PAGADA",IF(I845&lt;&gt;"","PENDIENTE","SIN EMITIR")),"")</f>
        <v/>
      </c>
      <c r="I845" s="10"/>
      <c r="J845" s="2"/>
      <c r="K845" s="29"/>
      <c r="L845" s="29"/>
    </row>
    <row r="846" spans="1:12" ht="15.75" x14ac:dyDescent="0.25">
      <c r="A846" s="5"/>
      <c r="B846" s="7"/>
      <c r="C846" s="5"/>
      <c r="D846" s="5"/>
      <c r="E846" s="8"/>
      <c r="F846" s="9"/>
      <c r="G846" s="5"/>
      <c r="H846" s="28" t="str">
        <f>IFERROR(IF(AND(COUNTIF(RegistroPago!$A$1:$A$2000,Consolidado!B846)&gt;0,INDEX(RegistroPago!$E$1:$E$2000,MATCH(Consolidado!B846,RegistroPago!$A$1:$A$2000,0))&lt;&gt;""),"PAGADA",IF(I846&lt;&gt;"","PENDIENTE","SIN EMITIR")),"")</f>
        <v/>
      </c>
      <c r="I846" s="10"/>
      <c r="J846" s="2"/>
      <c r="K846" s="29"/>
      <c r="L846" s="29"/>
    </row>
    <row r="847" spans="1:12" ht="15.75" x14ac:dyDescent="0.25">
      <c r="A847" s="5"/>
      <c r="B847" s="7"/>
      <c r="C847" s="5"/>
      <c r="D847" s="5"/>
      <c r="E847" s="8"/>
      <c r="F847" s="9"/>
      <c r="G847" s="5"/>
      <c r="H847" s="28" t="str">
        <f>IFERROR(IF(AND(COUNTIF(RegistroPago!$A$1:$A$2000,Consolidado!B847)&gt;0,INDEX(RegistroPago!$E$1:$E$2000,MATCH(Consolidado!B847,RegistroPago!$A$1:$A$2000,0))&lt;&gt;""),"PAGADA",IF(I847&lt;&gt;"","PENDIENTE","SIN EMITIR")),"")</f>
        <v/>
      </c>
      <c r="I847" s="10"/>
      <c r="J847" s="2"/>
      <c r="K847" s="29"/>
      <c r="L847" s="29"/>
    </row>
    <row r="848" spans="1:12" ht="15.75" x14ac:dyDescent="0.25">
      <c r="A848" s="5"/>
      <c r="B848" s="7"/>
      <c r="C848" s="5"/>
      <c r="D848" s="5"/>
      <c r="E848" s="8"/>
      <c r="F848" s="9"/>
      <c r="G848" s="5"/>
      <c r="H848" s="28" t="str">
        <f>IFERROR(IF(AND(COUNTIF(RegistroPago!$A$1:$A$2000,Consolidado!B848)&gt;0,INDEX(RegistroPago!$E$1:$E$2000,MATCH(Consolidado!B848,RegistroPago!$A$1:$A$2000,0))&lt;&gt;""),"PAGADA",IF(I848&lt;&gt;"","PENDIENTE","SIN EMITIR")),"")</f>
        <v/>
      </c>
      <c r="I848" s="10"/>
      <c r="J848" s="2"/>
      <c r="K848" s="29"/>
      <c r="L848" s="29"/>
    </row>
    <row r="849" spans="1:12" ht="15.75" x14ac:dyDescent="0.25">
      <c r="A849" s="5"/>
      <c r="B849" s="7"/>
      <c r="C849" s="5"/>
      <c r="D849" s="5"/>
      <c r="E849" s="8"/>
      <c r="F849" s="9"/>
      <c r="G849" s="5"/>
      <c r="H849" s="28" t="str">
        <f>IFERROR(IF(AND(COUNTIF(RegistroPago!$A$1:$A$2000,Consolidado!B849)&gt;0,INDEX(RegistroPago!$E$1:$E$2000,MATCH(Consolidado!B849,RegistroPago!$A$1:$A$2000,0))&lt;&gt;""),"PAGADA",IF(I849&lt;&gt;"","PENDIENTE","SIN EMITIR")),"")</f>
        <v/>
      </c>
      <c r="I849" s="10"/>
      <c r="J849" s="2"/>
      <c r="K849" s="29"/>
      <c r="L849" s="29"/>
    </row>
    <row r="850" spans="1:12" ht="15.75" x14ac:dyDescent="0.25">
      <c r="A850" s="5"/>
      <c r="B850" s="7"/>
      <c r="C850" s="5"/>
      <c r="D850" s="5"/>
      <c r="E850" s="8"/>
      <c r="F850" s="9"/>
      <c r="G850" s="5"/>
      <c r="H850" s="28" t="str">
        <f>IFERROR(IF(AND(COUNTIF(RegistroPago!$A$1:$A$2000,Consolidado!B850)&gt;0,INDEX(RegistroPago!$E$1:$E$2000,MATCH(Consolidado!B850,RegistroPago!$A$1:$A$2000,0))&lt;&gt;""),"PAGADA",IF(I850&lt;&gt;"","PENDIENTE","SIN EMITIR")),"")</f>
        <v/>
      </c>
      <c r="I850" s="10"/>
      <c r="J850" s="2"/>
      <c r="K850" s="29"/>
      <c r="L850" s="29"/>
    </row>
    <row r="851" spans="1:12" ht="15.75" x14ac:dyDescent="0.25">
      <c r="A851" s="5"/>
      <c r="B851" s="7"/>
      <c r="C851" s="5"/>
      <c r="D851" s="5"/>
      <c r="E851" s="8"/>
      <c r="F851" s="9"/>
      <c r="G851" s="5"/>
      <c r="H851" s="28" t="str">
        <f>IFERROR(IF(AND(COUNTIF(RegistroPago!$A$1:$A$2000,Consolidado!B851)&gt;0,INDEX(RegistroPago!$E$1:$E$2000,MATCH(Consolidado!B851,RegistroPago!$A$1:$A$2000,0))&lt;&gt;""),"PAGADA",IF(I851&lt;&gt;"","PENDIENTE","SIN EMITIR")),"")</f>
        <v/>
      </c>
      <c r="I851" s="10"/>
      <c r="J851" s="2"/>
      <c r="K851" s="29"/>
      <c r="L851" s="29"/>
    </row>
    <row r="852" spans="1:12" ht="15.75" x14ac:dyDescent="0.25">
      <c r="A852" s="5"/>
      <c r="B852" s="7"/>
      <c r="C852" s="5"/>
      <c r="D852" s="5"/>
      <c r="E852" s="8"/>
      <c r="F852" s="9"/>
      <c r="G852" s="5"/>
      <c r="H852" s="28" t="str">
        <f>IFERROR(IF(AND(COUNTIF(RegistroPago!$A$1:$A$2000,Consolidado!B852)&gt;0,INDEX(RegistroPago!$E$1:$E$2000,MATCH(Consolidado!B852,RegistroPago!$A$1:$A$2000,0))&lt;&gt;""),"PAGADA",IF(I852&lt;&gt;"","PENDIENTE","SIN EMITIR")),"")</f>
        <v/>
      </c>
      <c r="I852" s="10"/>
      <c r="J852" s="2"/>
      <c r="K852" s="29"/>
      <c r="L852" s="29"/>
    </row>
    <row r="853" spans="1:12" ht="15.75" x14ac:dyDescent="0.25">
      <c r="A853" s="5"/>
      <c r="B853" s="7"/>
      <c r="C853" s="5"/>
      <c r="D853" s="5"/>
      <c r="E853" s="8"/>
      <c r="F853" s="9"/>
      <c r="G853" s="5"/>
      <c r="H853" s="28" t="str">
        <f>IFERROR(IF(AND(COUNTIF(RegistroPago!$A$1:$A$2000,Consolidado!B853)&gt;0,INDEX(RegistroPago!$E$1:$E$2000,MATCH(Consolidado!B853,RegistroPago!$A$1:$A$2000,0))&lt;&gt;""),"PAGADA",IF(I853&lt;&gt;"","PENDIENTE","SIN EMITIR")),"")</f>
        <v/>
      </c>
      <c r="I853" s="10"/>
      <c r="J853" s="2"/>
      <c r="K853" s="29"/>
      <c r="L853" s="29"/>
    </row>
    <row r="854" spans="1:12" ht="15.75" x14ac:dyDescent="0.25">
      <c r="A854" s="5"/>
      <c r="B854" s="7"/>
      <c r="C854" s="5"/>
      <c r="D854" s="5"/>
      <c r="E854" s="8"/>
      <c r="F854" s="9"/>
      <c r="G854" s="5"/>
      <c r="H854" s="28" t="str">
        <f>IFERROR(IF(AND(COUNTIF(RegistroPago!$A$1:$A$2000,Consolidado!B854)&gt;0,INDEX(RegistroPago!$E$1:$E$2000,MATCH(Consolidado!B854,RegistroPago!$A$1:$A$2000,0))&lt;&gt;""),"PAGADA",IF(I854&lt;&gt;"","PENDIENTE","SIN EMITIR")),"")</f>
        <v/>
      </c>
      <c r="I854" s="10"/>
      <c r="J854" s="2"/>
      <c r="K854" s="29"/>
      <c r="L854" s="29"/>
    </row>
    <row r="855" spans="1:12" ht="15.75" x14ac:dyDescent="0.25">
      <c r="A855" s="5"/>
      <c r="B855" s="7"/>
      <c r="C855" s="5"/>
      <c r="D855" s="5"/>
      <c r="E855" s="8"/>
      <c r="F855" s="9"/>
      <c r="G855" s="5"/>
      <c r="H855" s="28" t="str">
        <f>IFERROR(IF(AND(COUNTIF(RegistroPago!$A$1:$A$2000,Consolidado!B855)&gt;0,INDEX(RegistroPago!$E$1:$E$2000,MATCH(Consolidado!B855,RegistroPago!$A$1:$A$2000,0))&lt;&gt;""),"PAGADA",IF(I855&lt;&gt;"","PENDIENTE","SIN EMITIR")),"")</f>
        <v/>
      </c>
      <c r="I855" s="10"/>
      <c r="J855" s="2"/>
      <c r="K855" s="29"/>
      <c r="L855" s="29"/>
    </row>
    <row r="856" spans="1:12" ht="15.75" x14ac:dyDescent="0.25">
      <c r="A856" s="5"/>
      <c r="B856" s="7"/>
      <c r="C856" s="5"/>
      <c r="D856" s="5"/>
      <c r="E856" s="8"/>
      <c r="F856" s="9"/>
      <c r="G856" s="5"/>
      <c r="H856" s="28" t="str">
        <f>IFERROR(IF(AND(COUNTIF(RegistroPago!$A$1:$A$2000,Consolidado!B856)&gt;0,INDEX(RegistroPago!$E$1:$E$2000,MATCH(Consolidado!B856,RegistroPago!$A$1:$A$2000,0))&lt;&gt;""),"PAGADA",IF(I856&lt;&gt;"","PENDIENTE","SIN EMITIR")),"")</f>
        <v/>
      </c>
      <c r="I856" s="10"/>
      <c r="J856" s="2"/>
      <c r="K856" s="29"/>
      <c r="L856" s="29"/>
    </row>
    <row r="857" spans="1:12" ht="15.75" x14ac:dyDescent="0.25">
      <c r="A857" s="5"/>
      <c r="B857" s="7"/>
      <c r="C857" s="5"/>
      <c r="D857" s="5"/>
      <c r="E857" s="8"/>
      <c r="F857" s="9"/>
      <c r="G857" s="5"/>
      <c r="H857" s="28" t="str">
        <f>IFERROR(IF(AND(COUNTIF(RegistroPago!$A$1:$A$2000,Consolidado!B857)&gt;0,INDEX(RegistroPago!$E$1:$E$2000,MATCH(Consolidado!B857,RegistroPago!$A$1:$A$2000,0))&lt;&gt;""),"PAGADA",IF(I857&lt;&gt;"","PENDIENTE","SIN EMITIR")),"")</f>
        <v/>
      </c>
      <c r="I857" s="10"/>
      <c r="J857" s="2"/>
      <c r="K857" s="29"/>
      <c r="L857" s="29"/>
    </row>
    <row r="858" spans="1:12" ht="15.75" x14ac:dyDescent="0.25">
      <c r="A858" s="5"/>
      <c r="B858" s="7"/>
      <c r="C858" s="5"/>
      <c r="D858" s="5"/>
      <c r="E858" s="8"/>
      <c r="F858" s="9"/>
      <c r="G858" s="5"/>
      <c r="H858" s="28" t="str">
        <f>IFERROR(IF(AND(COUNTIF(RegistroPago!$A$1:$A$2000,Consolidado!B858)&gt;0,INDEX(RegistroPago!$E$1:$E$2000,MATCH(Consolidado!B858,RegistroPago!$A$1:$A$2000,0))&lt;&gt;""),"PAGADA",IF(I858&lt;&gt;"","PENDIENTE","SIN EMITIR")),"")</f>
        <v/>
      </c>
      <c r="I858" s="10"/>
      <c r="J858" s="2"/>
      <c r="K858" s="29"/>
      <c r="L858" s="29"/>
    </row>
    <row r="859" spans="1:12" ht="15.75" x14ac:dyDescent="0.25">
      <c r="A859" s="5"/>
      <c r="B859" s="7"/>
      <c r="C859" s="5"/>
      <c r="D859" s="5"/>
      <c r="E859" s="8"/>
      <c r="F859" s="9"/>
      <c r="G859" s="5"/>
      <c r="H859" s="28" t="str">
        <f>IFERROR(IF(AND(COUNTIF(RegistroPago!$A$1:$A$2000,Consolidado!B859)&gt;0,INDEX(RegistroPago!$E$1:$E$2000,MATCH(Consolidado!B859,RegistroPago!$A$1:$A$2000,0))&lt;&gt;""),"PAGADA",IF(I859&lt;&gt;"","PENDIENTE","SIN EMITIR")),"")</f>
        <v/>
      </c>
      <c r="I859" s="10"/>
      <c r="J859" s="2"/>
      <c r="K859" s="29"/>
      <c r="L859" s="29"/>
    </row>
    <row r="860" spans="1:12" ht="15.75" x14ac:dyDescent="0.25">
      <c r="A860" s="5"/>
      <c r="B860" s="7"/>
      <c r="C860" s="5"/>
      <c r="D860" s="5"/>
      <c r="E860" s="8"/>
      <c r="F860" s="9"/>
      <c r="G860" s="5"/>
      <c r="H860" s="28" t="str">
        <f>IFERROR(IF(AND(COUNTIF(RegistroPago!$A$1:$A$2000,Consolidado!B860)&gt;0,INDEX(RegistroPago!$E$1:$E$2000,MATCH(Consolidado!B860,RegistroPago!$A$1:$A$2000,0))&lt;&gt;""),"PAGADA",IF(I860&lt;&gt;"","PENDIENTE","SIN EMITIR")),"")</f>
        <v/>
      </c>
      <c r="I860" s="10"/>
      <c r="J860" s="2"/>
      <c r="K860" s="29"/>
      <c r="L860" s="29"/>
    </row>
    <row r="861" spans="1:12" ht="15.75" x14ac:dyDescent="0.25">
      <c r="A861" s="5"/>
      <c r="B861" s="7"/>
      <c r="C861" s="5"/>
      <c r="D861" s="5"/>
      <c r="E861" s="8"/>
      <c r="F861" s="9"/>
      <c r="G861" s="5"/>
      <c r="H861" s="28" t="str">
        <f>IFERROR(IF(AND(COUNTIF(RegistroPago!$A$1:$A$2000,Consolidado!B861)&gt;0,INDEX(RegistroPago!$E$1:$E$2000,MATCH(Consolidado!B861,RegistroPago!$A$1:$A$2000,0))&lt;&gt;""),"PAGADA",IF(I861&lt;&gt;"","PENDIENTE","SIN EMITIR")),"")</f>
        <v/>
      </c>
      <c r="I861" s="10"/>
      <c r="J861" s="2"/>
      <c r="K861" s="29"/>
      <c r="L861" s="29"/>
    </row>
    <row r="862" spans="1:12" ht="15.75" x14ac:dyDescent="0.25">
      <c r="A862" s="5"/>
      <c r="B862" s="7"/>
      <c r="C862" s="5"/>
      <c r="D862" s="5"/>
      <c r="E862" s="8"/>
      <c r="F862" s="9"/>
      <c r="G862" s="5"/>
      <c r="H862" s="28" t="str">
        <f>IFERROR(IF(AND(COUNTIF(RegistroPago!$A$1:$A$2000,Consolidado!B862)&gt;0,INDEX(RegistroPago!$E$1:$E$2000,MATCH(Consolidado!B862,RegistroPago!$A$1:$A$2000,0))&lt;&gt;""),"PAGADA",IF(I862&lt;&gt;"","PENDIENTE","SIN EMITIR")),"")</f>
        <v/>
      </c>
      <c r="I862" s="10"/>
      <c r="J862" s="2"/>
      <c r="K862" s="29"/>
      <c r="L862" s="29"/>
    </row>
    <row r="863" spans="1:12" ht="15.75" x14ac:dyDescent="0.25">
      <c r="A863" s="5"/>
      <c r="B863" s="7"/>
      <c r="C863" s="5"/>
      <c r="D863" s="5"/>
      <c r="E863" s="8"/>
      <c r="F863" s="9"/>
      <c r="G863" s="5"/>
      <c r="H863" s="28" t="str">
        <f>IFERROR(IF(AND(COUNTIF(RegistroPago!$A$1:$A$2000,Consolidado!B863)&gt;0,INDEX(RegistroPago!$E$1:$E$2000,MATCH(Consolidado!B863,RegistroPago!$A$1:$A$2000,0))&lt;&gt;""),"PAGADA",IF(I863&lt;&gt;"","PENDIENTE","SIN EMITIR")),"")</f>
        <v/>
      </c>
      <c r="I863" s="10"/>
      <c r="J863" s="2"/>
      <c r="K863" s="29"/>
      <c r="L863" s="29"/>
    </row>
    <row r="864" spans="1:12" ht="15.75" x14ac:dyDescent="0.25">
      <c r="A864" s="5"/>
      <c r="B864" s="7"/>
      <c r="C864" s="5"/>
      <c r="D864" s="5"/>
      <c r="E864" s="8"/>
      <c r="F864" s="9"/>
      <c r="G864" s="5"/>
      <c r="H864" s="28" t="str">
        <f>IFERROR(IF(AND(COUNTIF(RegistroPago!$A$1:$A$2000,Consolidado!B864)&gt;0,INDEX(RegistroPago!$E$1:$E$2000,MATCH(Consolidado!B864,RegistroPago!$A$1:$A$2000,0))&lt;&gt;""),"PAGADA",IF(I864&lt;&gt;"","PENDIENTE","SIN EMITIR")),"")</f>
        <v/>
      </c>
      <c r="I864" s="10"/>
      <c r="J864" s="2"/>
      <c r="K864" s="29"/>
      <c r="L864" s="29"/>
    </row>
    <row r="865" spans="1:12" ht="15.75" x14ac:dyDescent="0.25">
      <c r="A865" s="5"/>
      <c r="B865" s="7"/>
      <c r="C865" s="5"/>
      <c r="D865" s="5"/>
      <c r="E865" s="8"/>
      <c r="F865" s="9"/>
      <c r="G865" s="5"/>
      <c r="H865" s="28" t="str">
        <f>IFERROR(IF(AND(COUNTIF(RegistroPago!$A$1:$A$2000,Consolidado!B865)&gt;0,INDEX(RegistroPago!$E$1:$E$2000,MATCH(Consolidado!B865,RegistroPago!$A$1:$A$2000,0))&lt;&gt;""),"PAGADA",IF(I865&lt;&gt;"","PENDIENTE","SIN EMITIR")),"")</f>
        <v/>
      </c>
      <c r="I865" s="10"/>
      <c r="J865" s="2"/>
      <c r="K865" s="29"/>
      <c r="L865" s="29"/>
    </row>
    <row r="866" spans="1:12" ht="15.75" x14ac:dyDescent="0.25">
      <c r="A866" s="5"/>
      <c r="B866" s="7"/>
      <c r="C866" s="5"/>
      <c r="D866" s="5"/>
      <c r="E866" s="8"/>
      <c r="F866" s="9"/>
      <c r="G866" s="5"/>
      <c r="H866" s="28" t="str">
        <f>IFERROR(IF(AND(COUNTIF(RegistroPago!$A$1:$A$2000,Consolidado!B866)&gt;0,INDEX(RegistroPago!$E$1:$E$2000,MATCH(Consolidado!B866,RegistroPago!$A$1:$A$2000,0))&lt;&gt;""),"PAGADA",IF(I866&lt;&gt;"","PENDIENTE","SIN EMITIR")),"")</f>
        <v/>
      </c>
      <c r="I866" s="10"/>
      <c r="J866" s="2"/>
      <c r="K866" s="29"/>
      <c r="L866" s="29"/>
    </row>
    <row r="867" spans="1:12" ht="15.75" x14ac:dyDescent="0.25">
      <c r="A867" s="5"/>
      <c r="B867" s="7"/>
      <c r="C867" s="5"/>
      <c r="D867" s="5"/>
      <c r="E867" s="8"/>
      <c r="F867" s="9"/>
      <c r="G867" s="5"/>
      <c r="H867" s="28" t="str">
        <f>IFERROR(IF(AND(COUNTIF(RegistroPago!$A$1:$A$2000,Consolidado!B867)&gt;0,INDEX(RegistroPago!$E$1:$E$2000,MATCH(Consolidado!B867,RegistroPago!$A$1:$A$2000,0))&lt;&gt;""),"PAGADA",IF(I867&lt;&gt;"","PENDIENTE","SIN EMITIR")),"")</f>
        <v/>
      </c>
      <c r="I867" s="10"/>
      <c r="J867" s="2"/>
      <c r="K867" s="29"/>
      <c r="L867" s="29"/>
    </row>
    <row r="868" spans="1:12" ht="15.75" x14ac:dyDescent="0.25">
      <c r="A868" s="5"/>
      <c r="B868" s="7"/>
      <c r="C868" s="5"/>
      <c r="D868" s="5"/>
      <c r="E868" s="8"/>
      <c r="F868" s="9"/>
      <c r="G868" s="5"/>
      <c r="H868" s="28" t="str">
        <f>IFERROR(IF(AND(COUNTIF(RegistroPago!$A$1:$A$2000,Consolidado!B868)&gt;0,INDEX(RegistroPago!$E$1:$E$2000,MATCH(Consolidado!B868,RegistroPago!$A$1:$A$2000,0))&lt;&gt;""),"PAGADA",IF(I868&lt;&gt;"","PENDIENTE","SIN EMITIR")),"")</f>
        <v/>
      </c>
      <c r="I868" s="10"/>
      <c r="J868" s="2"/>
      <c r="K868" s="29"/>
      <c r="L868" s="29"/>
    </row>
    <row r="869" spans="1:12" ht="15.75" x14ac:dyDescent="0.25">
      <c r="A869" s="5"/>
      <c r="B869" s="7"/>
      <c r="C869" s="5"/>
      <c r="D869" s="5"/>
      <c r="E869" s="8"/>
      <c r="F869" s="9"/>
      <c r="G869" s="5"/>
      <c r="H869" s="28" t="str">
        <f>IFERROR(IF(AND(COUNTIF(RegistroPago!$A$1:$A$2000,Consolidado!B869)&gt;0,INDEX(RegistroPago!$E$1:$E$2000,MATCH(Consolidado!B869,RegistroPago!$A$1:$A$2000,0))&lt;&gt;""),"PAGADA",IF(I869&lt;&gt;"","PENDIENTE","SIN EMITIR")),"")</f>
        <v/>
      </c>
      <c r="I869" s="10"/>
      <c r="J869" s="2"/>
      <c r="K869" s="29"/>
      <c r="L869" s="29"/>
    </row>
    <row r="870" spans="1:12" ht="15.75" x14ac:dyDescent="0.25">
      <c r="A870" s="5"/>
      <c r="B870" s="7"/>
      <c r="C870" s="5"/>
      <c r="D870" s="5"/>
      <c r="E870" s="8"/>
      <c r="F870" s="9"/>
      <c r="G870" s="5"/>
      <c r="H870" s="28" t="str">
        <f>IFERROR(IF(AND(COUNTIF(RegistroPago!$A$1:$A$2000,Consolidado!B870)&gt;0,INDEX(RegistroPago!$E$1:$E$2000,MATCH(Consolidado!B870,RegistroPago!$A$1:$A$2000,0))&lt;&gt;""),"PAGADA",IF(I870&lt;&gt;"","PENDIENTE","SIN EMITIR")),"")</f>
        <v/>
      </c>
      <c r="I870" s="10"/>
      <c r="J870" s="2"/>
      <c r="K870" s="29"/>
      <c r="L870" s="29"/>
    </row>
    <row r="871" spans="1:12" ht="15.75" x14ac:dyDescent="0.25">
      <c r="A871" s="5"/>
      <c r="B871" s="7"/>
      <c r="C871" s="5"/>
      <c r="D871" s="5"/>
      <c r="E871" s="8"/>
      <c r="F871" s="9"/>
      <c r="G871" s="5"/>
      <c r="H871" s="28" t="str">
        <f>IFERROR(IF(AND(COUNTIF(RegistroPago!$A$1:$A$2000,Consolidado!B871)&gt;0,INDEX(RegistroPago!$E$1:$E$2000,MATCH(Consolidado!B871,RegistroPago!$A$1:$A$2000,0))&lt;&gt;""),"PAGADA",IF(I871&lt;&gt;"","PENDIENTE","SIN EMITIR")),"")</f>
        <v/>
      </c>
      <c r="I871" s="10"/>
      <c r="J871" s="2"/>
      <c r="K871" s="29"/>
      <c r="L871" s="29"/>
    </row>
    <row r="872" spans="1:12" ht="15.75" x14ac:dyDescent="0.25">
      <c r="A872" s="5"/>
      <c r="B872" s="7"/>
      <c r="C872" s="5"/>
      <c r="D872" s="5"/>
      <c r="E872" s="8"/>
      <c r="F872" s="9"/>
      <c r="G872" s="5"/>
      <c r="H872" s="28" t="str">
        <f>IFERROR(IF(AND(COUNTIF(RegistroPago!$A$1:$A$2000,Consolidado!B872)&gt;0,INDEX(RegistroPago!$E$1:$E$2000,MATCH(Consolidado!B872,RegistroPago!$A$1:$A$2000,0))&lt;&gt;""),"PAGADA",IF(I872&lt;&gt;"","PENDIENTE","SIN EMITIR")),"")</f>
        <v/>
      </c>
      <c r="I872" s="10"/>
      <c r="J872" s="2"/>
      <c r="K872" s="29"/>
      <c r="L872" s="29"/>
    </row>
    <row r="873" spans="1:12" ht="15.75" x14ac:dyDescent="0.25">
      <c r="A873" s="5"/>
      <c r="B873" s="7"/>
      <c r="C873" s="5"/>
      <c r="D873" s="5"/>
      <c r="E873" s="8"/>
      <c r="F873" s="9"/>
      <c r="G873" s="5"/>
      <c r="H873" s="28" t="str">
        <f>IFERROR(IF(AND(COUNTIF(RegistroPago!$A$1:$A$2000,Consolidado!B873)&gt;0,INDEX(RegistroPago!$E$1:$E$2000,MATCH(Consolidado!B873,RegistroPago!$A$1:$A$2000,0))&lt;&gt;""),"PAGADA",IF(I873&lt;&gt;"","PENDIENTE","SIN EMITIR")),"")</f>
        <v/>
      </c>
      <c r="I873" s="10"/>
      <c r="J873" s="2"/>
      <c r="K873" s="29"/>
      <c r="L873" s="29"/>
    </row>
    <row r="874" spans="1:12" ht="15.75" x14ac:dyDescent="0.25">
      <c r="A874" s="5"/>
      <c r="B874" s="7"/>
      <c r="C874" s="5"/>
      <c r="D874" s="5"/>
      <c r="E874" s="8"/>
      <c r="F874" s="9"/>
      <c r="G874" s="5"/>
      <c r="H874" s="28" t="str">
        <f>IFERROR(IF(AND(COUNTIF(RegistroPago!$A$1:$A$2000,Consolidado!B874)&gt;0,INDEX(RegistroPago!$E$1:$E$2000,MATCH(Consolidado!B874,RegistroPago!$A$1:$A$2000,0))&lt;&gt;""),"PAGADA",IF(I874&lt;&gt;"","PENDIENTE","SIN EMITIR")),"")</f>
        <v/>
      </c>
      <c r="I874" s="10"/>
      <c r="J874" s="2"/>
      <c r="K874" s="29"/>
      <c r="L874" s="29"/>
    </row>
    <row r="875" spans="1:12" ht="15.75" x14ac:dyDescent="0.25">
      <c r="A875" s="5"/>
      <c r="B875" s="7"/>
      <c r="C875" s="5"/>
      <c r="D875" s="5"/>
      <c r="E875" s="8"/>
      <c r="F875" s="9"/>
      <c r="G875" s="5"/>
      <c r="H875" s="28" t="str">
        <f>IFERROR(IF(AND(COUNTIF(RegistroPago!$A$1:$A$2000,Consolidado!B875)&gt;0,INDEX(RegistroPago!$E$1:$E$2000,MATCH(Consolidado!B875,RegistroPago!$A$1:$A$2000,0))&lt;&gt;""),"PAGADA",IF(I875&lt;&gt;"","PENDIENTE","SIN EMITIR")),"")</f>
        <v/>
      </c>
      <c r="I875" s="10"/>
      <c r="J875" s="2"/>
      <c r="K875" s="29"/>
      <c r="L875" s="29"/>
    </row>
    <row r="876" spans="1:12" ht="15.75" x14ac:dyDescent="0.25">
      <c r="A876" s="5"/>
      <c r="B876" s="7"/>
      <c r="C876" s="5"/>
      <c r="D876" s="5"/>
      <c r="E876" s="8"/>
      <c r="F876" s="9"/>
      <c r="G876" s="5"/>
      <c r="H876" s="28" t="str">
        <f>IFERROR(IF(AND(COUNTIF(RegistroPago!$A$1:$A$2000,Consolidado!B876)&gt;0,INDEX(RegistroPago!$E$1:$E$2000,MATCH(Consolidado!B876,RegistroPago!$A$1:$A$2000,0))&lt;&gt;""),"PAGADA",IF(I876&lt;&gt;"","PENDIENTE","SIN EMITIR")),"")</f>
        <v/>
      </c>
      <c r="I876" s="10"/>
      <c r="J876" s="2"/>
      <c r="K876" s="29"/>
      <c r="L876" s="29"/>
    </row>
    <row r="877" spans="1:12" ht="15.75" x14ac:dyDescent="0.25">
      <c r="A877" s="5"/>
      <c r="B877" s="7"/>
      <c r="C877" s="5"/>
      <c r="D877" s="5"/>
      <c r="E877" s="8"/>
      <c r="F877" s="9"/>
      <c r="G877" s="5"/>
      <c r="H877" s="28" t="str">
        <f>IFERROR(IF(AND(COUNTIF(RegistroPago!$A$1:$A$2000,Consolidado!B877)&gt;0,INDEX(RegistroPago!$E$1:$E$2000,MATCH(Consolidado!B877,RegistroPago!$A$1:$A$2000,0))&lt;&gt;""),"PAGADA",IF(I877&lt;&gt;"","PENDIENTE","SIN EMITIR")),"")</f>
        <v/>
      </c>
      <c r="I877" s="10"/>
      <c r="J877" s="2"/>
      <c r="K877" s="29"/>
      <c r="L877" s="29"/>
    </row>
    <row r="878" spans="1:12" ht="15.75" x14ac:dyDescent="0.25">
      <c r="A878" s="5"/>
      <c r="B878" s="7"/>
      <c r="C878" s="5"/>
      <c r="D878" s="5"/>
      <c r="E878" s="8"/>
      <c r="F878" s="9"/>
      <c r="G878" s="5"/>
      <c r="H878" s="28" t="str">
        <f>IFERROR(IF(AND(COUNTIF(RegistroPago!$A$1:$A$2000,Consolidado!B878)&gt;0,INDEX(RegistroPago!$E$1:$E$2000,MATCH(Consolidado!B878,RegistroPago!$A$1:$A$2000,0))&lt;&gt;""),"PAGADA",IF(I878&lt;&gt;"","PENDIENTE","SIN EMITIR")),"")</f>
        <v/>
      </c>
      <c r="I878" s="10"/>
      <c r="J878" s="2"/>
      <c r="K878" s="29"/>
      <c r="L878" s="29"/>
    </row>
    <row r="879" spans="1:12" ht="15.75" x14ac:dyDescent="0.25">
      <c r="A879" s="5"/>
      <c r="B879" s="7"/>
      <c r="C879" s="5"/>
      <c r="D879" s="5"/>
      <c r="E879" s="8"/>
      <c r="F879" s="9"/>
      <c r="G879" s="5"/>
      <c r="H879" s="28" t="str">
        <f>IFERROR(IF(AND(COUNTIF(RegistroPago!$A$1:$A$2000,Consolidado!B879)&gt;0,INDEX(RegistroPago!$E$1:$E$2000,MATCH(Consolidado!B879,RegistroPago!$A$1:$A$2000,0))&lt;&gt;""),"PAGADA",IF(I879&lt;&gt;"","PENDIENTE","SIN EMITIR")),"")</f>
        <v/>
      </c>
      <c r="I879" s="10"/>
      <c r="J879" s="2"/>
      <c r="K879" s="29"/>
      <c r="L879" s="29"/>
    </row>
    <row r="880" spans="1:12" ht="15.75" x14ac:dyDescent="0.25">
      <c r="A880" s="5"/>
      <c r="B880" s="7"/>
      <c r="C880" s="5"/>
      <c r="D880" s="5"/>
      <c r="E880" s="8"/>
      <c r="F880" s="9"/>
      <c r="G880" s="5"/>
      <c r="H880" s="28" t="str">
        <f>IFERROR(IF(AND(COUNTIF(RegistroPago!$A$1:$A$2000,Consolidado!B880)&gt;0,INDEX(RegistroPago!$E$1:$E$2000,MATCH(Consolidado!B880,RegistroPago!$A$1:$A$2000,0))&lt;&gt;""),"PAGADA",IF(I880&lt;&gt;"","PENDIENTE","SIN EMITIR")),"")</f>
        <v/>
      </c>
      <c r="I880" s="10"/>
      <c r="J880" s="2"/>
      <c r="K880" s="29"/>
      <c r="L880" s="29"/>
    </row>
    <row r="881" spans="1:12" ht="15.75" x14ac:dyDescent="0.25">
      <c r="A881" s="5"/>
      <c r="B881" s="7"/>
      <c r="C881" s="5"/>
      <c r="D881" s="5"/>
      <c r="E881" s="8"/>
      <c r="F881" s="9"/>
      <c r="G881" s="5"/>
      <c r="H881" s="28" t="str">
        <f>IFERROR(IF(AND(COUNTIF(RegistroPago!$A$1:$A$2000,Consolidado!B881)&gt;0,INDEX(RegistroPago!$E$1:$E$2000,MATCH(Consolidado!B881,RegistroPago!$A$1:$A$2000,0))&lt;&gt;""),"PAGADA",IF(I881&lt;&gt;"","PENDIENTE","SIN EMITIR")),"")</f>
        <v/>
      </c>
      <c r="I881" s="10"/>
      <c r="J881" s="2"/>
      <c r="K881" s="29"/>
      <c r="L881" s="29"/>
    </row>
    <row r="882" spans="1:12" ht="15.75" x14ac:dyDescent="0.25">
      <c r="A882" s="5"/>
      <c r="B882" s="7"/>
      <c r="C882" s="5"/>
      <c r="D882" s="5"/>
      <c r="E882" s="8"/>
      <c r="F882" s="9"/>
      <c r="G882" s="5"/>
      <c r="H882" s="28" t="str">
        <f>IFERROR(IF(AND(COUNTIF(RegistroPago!$A$1:$A$2000,Consolidado!B882)&gt;0,INDEX(RegistroPago!$E$1:$E$2000,MATCH(Consolidado!B882,RegistroPago!$A$1:$A$2000,0))&lt;&gt;""),"PAGADA",IF(I882&lt;&gt;"","PENDIENTE","SIN EMITIR")),"")</f>
        <v/>
      </c>
      <c r="I882" s="10"/>
      <c r="J882" s="2"/>
      <c r="K882" s="29"/>
      <c r="L882" s="29"/>
    </row>
    <row r="883" spans="1:12" ht="15.75" x14ac:dyDescent="0.25">
      <c r="A883" s="5"/>
      <c r="B883" s="7"/>
      <c r="C883" s="5"/>
      <c r="D883" s="5"/>
      <c r="E883" s="8"/>
      <c r="F883" s="9"/>
      <c r="G883" s="5"/>
      <c r="H883" s="28" t="str">
        <f>IFERROR(IF(AND(COUNTIF(RegistroPago!$A$1:$A$2000,Consolidado!B883)&gt;0,INDEX(RegistroPago!$E$1:$E$2000,MATCH(Consolidado!B883,RegistroPago!$A$1:$A$2000,0))&lt;&gt;""),"PAGADA",IF(I883&lt;&gt;"","PENDIENTE","SIN EMITIR")),"")</f>
        <v/>
      </c>
      <c r="I883" s="10"/>
      <c r="J883" s="2"/>
      <c r="K883" s="29"/>
      <c r="L883" s="29"/>
    </row>
    <row r="884" spans="1:12" ht="15.75" x14ac:dyDescent="0.25">
      <c r="A884" s="5"/>
      <c r="B884" s="7"/>
      <c r="C884" s="5"/>
      <c r="D884" s="5"/>
      <c r="E884" s="8"/>
      <c r="F884" s="9"/>
      <c r="G884" s="5"/>
      <c r="H884" s="28" t="str">
        <f>IFERROR(IF(AND(COUNTIF(RegistroPago!$A$1:$A$2000,Consolidado!B884)&gt;0,INDEX(RegistroPago!$E$1:$E$2000,MATCH(Consolidado!B884,RegistroPago!$A$1:$A$2000,0))&lt;&gt;""),"PAGADA",IF(I884&lt;&gt;"","PENDIENTE","SIN EMITIR")),"")</f>
        <v/>
      </c>
      <c r="I884" s="10"/>
      <c r="J884" s="2"/>
      <c r="K884" s="29"/>
      <c r="L884" s="29"/>
    </row>
    <row r="885" spans="1:12" ht="15.75" x14ac:dyDescent="0.25">
      <c r="A885" s="5"/>
      <c r="B885" s="7"/>
      <c r="C885" s="5"/>
      <c r="D885" s="5"/>
      <c r="E885" s="8"/>
      <c r="F885" s="9"/>
      <c r="G885" s="5"/>
      <c r="H885" s="28" t="str">
        <f>IFERROR(IF(AND(COUNTIF(RegistroPago!$A$1:$A$2000,Consolidado!B885)&gt;0,INDEX(RegistroPago!$E$1:$E$2000,MATCH(Consolidado!B885,RegistroPago!$A$1:$A$2000,0))&lt;&gt;""),"PAGADA",IF(I885&lt;&gt;"","PENDIENTE","SIN EMITIR")),"")</f>
        <v/>
      </c>
      <c r="I885" s="10"/>
      <c r="J885" s="2"/>
      <c r="K885" s="29"/>
      <c r="L885" s="29"/>
    </row>
    <row r="886" spans="1:12" ht="15.75" x14ac:dyDescent="0.25">
      <c r="A886" s="5"/>
      <c r="B886" s="7"/>
      <c r="C886" s="5"/>
      <c r="D886" s="5"/>
      <c r="E886" s="8"/>
      <c r="F886" s="9"/>
      <c r="G886" s="5"/>
      <c r="H886" s="28" t="str">
        <f>IFERROR(IF(AND(COUNTIF(RegistroPago!$A$1:$A$2000,Consolidado!B886)&gt;0,INDEX(RegistroPago!$E$1:$E$2000,MATCH(Consolidado!B886,RegistroPago!$A$1:$A$2000,0))&lt;&gt;""),"PAGADA",IF(I886&lt;&gt;"","PENDIENTE","SIN EMITIR")),"")</f>
        <v/>
      </c>
      <c r="I886" s="10"/>
      <c r="J886" s="2"/>
      <c r="K886" s="29"/>
      <c r="L886" s="29"/>
    </row>
    <row r="887" spans="1:12" ht="15.75" x14ac:dyDescent="0.25">
      <c r="A887" s="5"/>
      <c r="B887" s="7"/>
      <c r="C887" s="5"/>
      <c r="D887" s="5"/>
      <c r="E887" s="8"/>
      <c r="F887" s="9"/>
      <c r="G887" s="5"/>
      <c r="H887" s="28" t="str">
        <f>IFERROR(IF(AND(COUNTIF(RegistroPago!$A$1:$A$2000,Consolidado!B887)&gt;0,INDEX(RegistroPago!$E$1:$E$2000,MATCH(Consolidado!B887,RegistroPago!$A$1:$A$2000,0))&lt;&gt;""),"PAGADA",IF(I887&lt;&gt;"","PENDIENTE","SIN EMITIR")),"")</f>
        <v/>
      </c>
      <c r="I887" s="10"/>
      <c r="J887" s="2"/>
      <c r="K887" s="29"/>
      <c r="L887" s="29"/>
    </row>
    <row r="888" spans="1:12" ht="15.75" x14ac:dyDescent="0.25">
      <c r="A888" s="5"/>
      <c r="B888" s="7"/>
      <c r="C888" s="5"/>
      <c r="D888" s="5"/>
      <c r="E888" s="8"/>
      <c r="F888" s="9"/>
      <c r="G888" s="5"/>
      <c r="H888" s="28" t="str">
        <f>IFERROR(IF(AND(COUNTIF(RegistroPago!$A$1:$A$2000,Consolidado!B888)&gt;0,INDEX(RegistroPago!$E$1:$E$2000,MATCH(Consolidado!B888,RegistroPago!$A$1:$A$2000,0))&lt;&gt;""),"PAGADA",IF(I888&lt;&gt;"","PENDIENTE","SIN EMITIR")),"")</f>
        <v/>
      </c>
      <c r="I888" s="10"/>
      <c r="J888" s="2"/>
      <c r="K888" s="29"/>
      <c r="L888" s="29"/>
    </row>
    <row r="889" spans="1:12" ht="15.75" x14ac:dyDescent="0.25">
      <c r="A889" s="5"/>
      <c r="B889" s="7"/>
      <c r="C889" s="5"/>
      <c r="D889" s="5"/>
      <c r="E889" s="8"/>
      <c r="F889" s="9"/>
      <c r="G889" s="5"/>
      <c r="H889" s="28" t="str">
        <f>IFERROR(IF(AND(COUNTIF(RegistroPago!$A$1:$A$2000,Consolidado!B889)&gt;0,INDEX(RegistroPago!$E$1:$E$2000,MATCH(Consolidado!B889,RegistroPago!$A$1:$A$2000,0))&lt;&gt;""),"PAGADA",IF(I889&lt;&gt;"","PENDIENTE","SIN EMITIR")),"")</f>
        <v/>
      </c>
      <c r="I889" s="10"/>
      <c r="J889" s="2"/>
      <c r="K889" s="29"/>
      <c r="L889" s="29"/>
    </row>
    <row r="890" spans="1:12" ht="15.75" x14ac:dyDescent="0.25">
      <c r="A890" s="5"/>
      <c r="B890" s="7"/>
      <c r="C890" s="5"/>
      <c r="D890" s="5"/>
      <c r="E890" s="8"/>
      <c r="F890" s="9"/>
      <c r="G890" s="5"/>
      <c r="H890" s="28" t="str">
        <f>IFERROR(IF(AND(COUNTIF(RegistroPago!$A$1:$A$2000,Consolidado!B890)&gt;0,INDEX(RegistroPago!$E$1:$E$2000,MATCH(Consolidado!B890,RegistroPago!$A$1:$A$2000,0))&lt;&gt;""),"PAGADA",IF(I890&lt;&gt;"","PENDIENTE","SIN EMITIR")),"")</f>
        <v/>
      </c>
      <c r="I890" s="10"/>
      <c r="J890" s="2"/>
      <c r="K890" s="29"/>
      <c r="L890" s="29"/>
    </row>
    <row r="891" spans="1:12" ht="15.75" x14ac:dyDescent="0.25">
      <c r="A891" s="5"/>
      <c r="B891" s="7"/>
      <c r="C891" s="5"/>
      <c r="D891" s="5"/>
      <c r="E891" s="8"/>
      <c r="F891" s="9"/>
      <c r="G891" s="5"/>
      <c r="H891" s="28" t="str">
        <f>IFERROR(IF(AND(COUNTIF(RegistroPago!$A$1:$A$2000,Consolidado!B891)&gt;0,INDEX(RegistroPago!$E$1:$E$2000,MATCH(Consolidado!B891,RegistroPago!$A$1:$A$2000,0))&lt;&gt;""),"PAGADA",IF(I891&lt;&gt;"","PENDIENTE","SIN EMITIR")),"")</f>
        <v/>
      </c>
      <c r="I891" s="10"/>
      <c r="J891" s="2"/>
      <c r="K891" s="29"/>
      <c r="L891" s="29"/>
    </row>
    <row r="892" spans="1:12" ht="15.75" x14ac:dyDescent="0.25">
      <c r="A892" s="5"/>
      <c r="B892" s="7"/>
      <c r="C892" s="5"/>
      <c r="D892" s="5"/>
      <c r="E892" s="8"/>
      <c r="F892" s="9"/>
      <c r="G892" s="5"/>
      <c r="H892" s="28" t="str">
        <f>IFERROR(IF(AND(COUNTIF(RegistroPago!$A$1:$A$2000,Consolidado!B892)&gt;0,INDEX(RegistroPago!$E$1:$E$2000,MATCH(Consolidado!B892,RegistroPago!$A$1:$A$2000,0))&lt;&gt;""),"PAGADA",IF(I892&lt;&gt;"","PENDIENTE","SIN EMITIR")),"")</f>
        <v/>
      </c>
      <c r="I892" s="10"/>
      <c r="J892" s="2"/>
      <c r="K892" s="29"/>
      <c r="L892" s="29"/>
    </row>
    <row r="893" spans="1:12" ht="15.75" x14ac:dyDescent="0.25">
      <c r="A893" s="5"/>
      <c r="B893" s="7"/>
      <c r="C893" s="5"/>
      <c r="D893" s="5"/>
      <c r="E893" s="8"/>
      <c r="F893" s="9"/>
      <c r="G893" s="5"/>
      <c r="H893" s="28" t="str">
        <f>IFERROR(IF(AND(COUNTIF(RegistroPago!$A$1:$A$2000,Consolidado!B893)&gt;0,INDEX(RegistroPago!$E$1:$E$2000,MATCH(Consolidado!B893,RegistroPago!$A$1:$A$2000,0))&lt;&gt;""),"PAGADA",IF(I893&lt;&gt;"","PENDIENTE","SIN EMITIR")),"")</f>
        <v/>
      </c>
      <c r="I893" s="10"/>
      <c r="J893" s="2"/>
      <c r="K893" s="29"/>
      <c r="L893" s="29"/>
    </row>
    <row r="894" spans="1:12" ht="15.75" x14ac:dyDescent="0.25">
      <c r="A894" s="5"/>
      <c r="B894" s="7"/>
      <c r="C894" s="5"/>
      <c r="D894" s="5"/>
      <c r="E894" s="8"/>
      <c r="F894" s="9"/>
      <c r="G894" s="5"/>
      <c r="H894" s="28" t="str">
        <f>IFERROR(IF(AND(COUNTIF(RegistroPago!$A$1:$A$2000,Consolidado!B894)&gt;0,INDEX(RegistroPago!$E$1:$E$2000,MATCH(Consolidado!B894,RegistroPago!$A$1:$A$2000,0))&lt;&gt;""),"PAGADA",IF(I894&lt;&gt;"","PENDIENTE","SIN EMITIR")),"")</f>
        <v/>
      </c>
      <c r="I894" s="10"/>
      <c r="J894" s="2"/>
      <c r="K894" s="29"/>
      <c r="L894" s="29"/>
    </row>
    <row r="895" spans="1:12" ht="15.75" x14ac:dyDescent="0.25">
      <c r="A895" s="5"/>
      <c r="B895" s="7"/>
      <c r="C895" s="5"/>
      <c r="D895" s="5"/>
      <c r="E895" s="8"/>
      <c r="F895" s="9"/>
      <c r="G895" s="5"/>
      <c r="H895" s="28" t="str">
        <f>IFERROR(IF(AND(COUNTIF(RegistroPago!$A$1:$A$2000,Consolidado!B895)&gt;0,INDEX(RegistroPago!$E$1:$E$2000,MATCH(Consolidado!B895,RegistroPago!$A$1:$A$2000,0))&lt;&gt;""),"PAGADA",IF(I895&lt;&gt;"","PENDIENTE","SIN EMITIR")),"")</f>
        <v/>
      </c>
      <c r="I895" s="10"/>
      <c r="J895" s="2"/>
      <c r="K895" s="29"/>
      <c r="L895" s="29"/>
    </row>
    <row r="896" spans="1:12" ht="15.75" x14ac:dyDescent="0.25">
      <c r="A896" s="5"/>
      <c r="B896" s="7"/>
      <c r="C896" s="5"/>
      <c r="D896" s="5"/>
      <c r="E896" s="8"/>
      <c r="F896" s="9"/>
      <c r="G896" s="5"/>
      <c r="H896" s="28" t="str">
        <f>IFERROR(IF(AND(COUNTIF(RegistroPago!$A$1:$A$2000,Consolidado!B896)&gt;0,INDEX(RegistroPago!$E$1:$E$2000,MATCH(Consolidado!B896,RegistroPago!$A$1:$A$2000,0))&lt;&gt;""),"PAGADA",IF(I896&lt;&gt;"","PENDIENTE","SIN EMITIR")),"")</f>
        <v/>
      </c>
      <c r="I896" s="10"/>
      <c r="J896" s="2"/>
      <c r="K896" s="29"/>
      <c r="L896" s="29"/>
    </row>
    <row r="897" spans="1:12" ht="15.75" x14ac:dyDescent="0.25">
      <c r="A897" s="5"/>
      <c r="B897" s="7"/>
      <c r="C897" s="5"/>
      <c r="D897" s="5"/>
      <c r="E897" s="8"/>
      <c r="F897" s="9"/>
      <c r="G897" s="5"/>
      <c r="H897" s="28" t="str">
        <f>IFERROR(IF(AND(COUNTIF(RegistroPago!$A$1:$A$2000,Consolidado!B897)&gt;0,INDEX(RegistroPago!$E$1:$E$2000,MATCH(Consolidado!B897,RegistroPago!$A$1:$A$2000,0))&lt;&gt;""),"PAGADA",IF(I897&lt;&gt;"","PENDIENTE","SIN EMITIR")),"")</f>
        <v/>
      </c>
      <c r="I897" s="10"/>
      <c r="J897" s="2"/>
      <c r="K897" s="29"/>
      <c r="L897" s="29"/>
    </row>
    <row r="898" spans="1:12" ht="15.75" x14ac:dyDescent="0.25">
      <c r="A898" s="5"/>
      <c r="B898" s="7"/>
      <c r="C898" s="5"/>
      <c r="D898" s="5"/>
      <c r="E898" s="8"/>
      <c r="F898" s="9"/>
      <c r="G898" s="5"/>
      <c r="H898" s="28" t="str">
        <f>IFERROR(IF(AND(COUNTIF(RegistroPago!$A$1:$A$2000,Consolidado!B898)&gt;0,INDEX(RegistroPago!$E$1:$E$2000,MATCH(Consolidado!B898,RegistroPago!$A$1:$A$2000,0))&lt;&gt;""),"PAGADA",IF(I898&lt;&gt;"","PENDIENTE","SIN EMITIR")),"")</f>
        <v/>
      </c>
      <c r="I898" s="10"/>
      <c r="J898" s="2"/>
      <c r="K898" s="29"/>
      <c r="L898" s="29"/>
    </row>
    <row r="899" spans="1:12" ht="15.75" x14ac:dyDescent="0.25">
      <c r="A899" s="5"/>
      <c r="B899" s="7"/>
      <c r="C899" s="5"/>
      <c r="D899" s="5"/>
      <c r="E899" s="8"/>
      <c r="F899" s="9"/>
      <c r="G899" s="5"/>
      <c r="H899" s="28" t="str">
        <f>IFERROR(IF(AND(COUNTIF(RegistroPago!$A$1:$A$2000,Consolidado!B899)&gt;0,INDEX(RegistroPago!$E$1:$E$2000,MATCH(Consolidado!B899,RegistroPago!$A$1:$A$2000,0))&lt;&gt;""),"PAGADA",IF(I899&lt;&gt;"","PENDIENTE","SIN EMITIR")),"")</f>
        <v/>
      </c>
      <c r="I899" s="10"/>
      <c r="J899" s="2"/>
      <c r="K899" s="29"/>
      <c r="L899" s="29"/>
    </row>
    <row r="900" spans="1:12" ht="15.75" x14ac:dyDescent="0.25">
      <c r="A900" s="5"/>
      <c r="B900" s="7"/>
      <c r="C900" s="5"/>
      <c r="D900" s="5"/>
      <c r="E900" s="8"/>
      <c r="F900" s="9"/>
      <c r="G900" s="5"/>
      <c r="H900" s="28" t="str">
        <f>IFERROR(IF(AND(COUNTIF(RegistroPago!$A$1:$A$2000,Consolidado!B900)&gt;0,INDEX(RegistroPago!$E$1:$E$2000,MATCH(Consolidado!B900,RegistroPago!$A$1:$A$2000,0))&lt;&gt;""),"PAGADA",IF(I900&lt;&gt;"","PENDIENTE","SIN EMITIR")),"")</f>
        <v/>
      </c>
      <c r="I900" s="10"/>
      <c r="J900" s="2"/>
      <c r="K900" s="29"/>
      <c r="L900" s="29"/>
    </row>
    <row r="901" spans="1:12" ht="15.75" x14ac:dyDescent="0.25">
      <c r="A901" s="5"/>
      <c r="B901" s="7"/>
      <c r="C901" s="5"/>
      <c r="D901" s="5"/>
      <c r="E901" s="8"/>
      <c r="F901" s="9"/>
      <c r="G901" s="5"/>
      <c r="H901" s="28" t="str">
        <f>IFERROR(IF(AND(COUNTIF(RegistroPago!$A$1:$A$2000,Consolidado!B901)&gt;0,INDEX(RegistroPago!$E$1:$E$2000,MATCH(Consolidado!B901,RegistroPago!$A$1:$A$2000,0))&lt;&gt;""),"PAGADA",IF(I901&lt;&gt;"","PENDIENTE","SIN EMITIR")),"")</f>
        <v/>
      </c>
      <c r="I901" s="10"/>
      <c r="J901" s="2"/>
      <c r="K901" s="29"/>
      <c r="L901" s="29"/>
    </row>
    <row r="902" spans="1:12" ht="15.75" x14ac:dyDescent="0.25">
      <c r="A902" s="5"/>
      <c r="B902" s="7"/>
      <c r="C902" s="5"/>
      <c r="D902" s="5"/>
      <c r="E902" s="8"/>
      <c r="F902" s="9"/>
      <c r="G902" s="5"/>
      <c r="H902" s="28" t="str">
        <f>IFERROR(IF(AND(COUNTIF(RegistroPago!$A$1:$A$2000,Consolidado!B902)&gt;0,INDEX(RegistroPago!$E$1:$E$2000,MATCH(Consolidado!B902,RegistroPago!$A$1:$A$2000,0))&lt;&gt;""),"PAGADA",IF(I902&lt;&gt;"","PENDIENTE","SIN EMITIR")),"")</f>
        <v/>
      </c>
      <c r="I902" s="10"/>
      <c r="J902" s="2"/>
      <c r="K902" s="29"/>
      <c r="L902" s="29"/>
    </row>
    <row r="903" spans="1:12" ht="15.75" x14ac:dyDescent="0.25">
      <c r="A903" s="5"/>
      <c r="B903" s="7"/>
      <c r="C903" s="5"/>
      <c r="D903" s="5"/>
      <c r="E903" s="8"/>
      <c r="F903" s="9"/>
      <c r="G903" s="5"/>
      <c r="H903" s="28" t="str">
        <f>IFERROR(IF(AND(COUNTIF(RegistroPago!$A$1:$A$2000,Consolidado!B903)&gt;0,INDEX(RegistroPago!$E$1:$E$2000,MATCH(Consolidado!B903,RegistroPago!$A$1:$A$2000,0))&lt;&gt;""),"PAGADA",IF(I903&lt;&gt;"","PENDIENTE","SIN EMITIR")),"")</f>
        <v/>
      </c>
      <c r="I903" s="10"/>
      <c r="J903" s="2"/>
      <c r="K903" s="29"/>
      <c r="L903" s="29"/>
    </row>
    <row r="904" spans="1:12" ht="15.75" x14ac:dyDescent="0.25">
      <c r="A904" s="5"/>
      <c r="B904" s="7"/>
      <c r="C904" s="5"/>
      <c r="D904" s="5"/>
      <c r="E904" s="8"/>
      <c r="F904" s="9"/>
      <c r="G904" s="5"/>
      <c r="H904" s="28" t="str">
        <f>IFERROR(IF(AND(COUNTIF(RegistroPago!$A$1:$A$2000,Consolidado!B904)&gt;0,INDEX(RegistroPago!$E$1:$E$2000,MATCH(Consolidado!B904,RegistroPago!$A$1:$A$2000,0))&lt;&gt;""),"PAGADA",IF(I904&lt;&gt;"","PENDIENTE","SIN EMITIR")),"")</f>
        <v/>
      </c>
      <c r="I904" s="10"/>
      <c r="J904" s="2"/>
      <c r="K904" s="29"/>
      <c r="L904" s="29"/>
    </row>
    <row r="905" spans="1:12" ht="15.75" x14ac:dyDescent="0.25">
      <c r="A905" s="5"/>
      <c r="B905" s="7"/>
      <c r="C905" s="5"/>
      <c r="D905" s="5"/>
      <c r="E905" s="8"/>
      <c r="F905" s="9"/>
      <c r="G905" s="5"/>
      <c r="H905" s="28" t="str">
        <f>IFERROR(IF(AND(COUNTIF(RegistroPago!$A$1:$A$2000,Consolidado!B905)&gt;0,INDEX(RegistroPago!$E$1:$E$2000,MATCH(Consolidado!B905,RegistroPago!$A$1:$A$2000,0))&lt;&gt;""),"PAGADA",IF(I905&lt;&gt;"","PENDIENTE","SIN EMITIR")),"")</f>
        <v/>
      </c>
      <c r="I905" s="10"/>
      <c r="J905" s="2"/>
      <c r="K905" s="29"/>
      <c r="L905" s="29"/>
    </row>
    <row r="906" spans="1:12" ht="15.75" x14ac:dyDescent="0.25">
      <c r="A906" s="5"/>
      <c r="B906" s="7"/>
      <c r="C906" s="5"/>
      <c r="D906" s="5"/>
      <c r="E906" s="8"/>
      <c r="F906" s="9"/>
      <c r="G906" s="5"/>
      <c r="H906" s="28" t="str">
        <f>IFERROR(IF(AND(COUNTIF(RegistroPago!$A$1:$A$2000,Consolidado!B906)&gt;0,INDEX(RegistroPago!$E$1:$E$2000,MATCH(Consolidado!B906,RegistroPago!$A$1:$A$2000,0))&lt;&gt;""),"PAGADA",IF(I906&lt;&gt;"","PENDIENTE","SIN EMITIR")),"")</f>
        <v/>
      </c>
      <c r="I906" s="10"/>
      <c r="J906" s="2"/>
      <c r="K906" s="29"/>
      <c r="L906" s="29"/>
    </row>
    <row r="907" spans="1:12" ht="15.75" x14ac:dyDescent="0.25">
      <c r="A907" s="5"/>
      <c r="B907" s="7"/>
      <c r="C907" s="5"/>
      <c r="D907" s="5"/>
      <c r="E907" s="8"/>
      <c r="F907" s="9"/>
      <c r="G907" s="5"/>
      <c r="H907" s="28" t="str">
        <f>IFERROR(IF(AND(COUNTIF(RegistroPago!$A$1:$A$2000,Consolidado!B907)&gt;0,INDEX(RegistroPago!$E$1:$E$2000,MATCH(Consolidado!B907,RegistroPago!$A$1:$A$2000,0))&lt;&gt;""),"PAGADA",IF(I907&lt;&gt;"","PENDIENTE","SIN EMITIR")),"")</f>
        <v/>
      </c>
      <c r="I907" s="10"/>
      <c r="J907" s="2"/>
      <c r="K907" s="29"/>
      <c r="L907" s="29"/>
    </row>
    <row r="908" spans="1:12" ht="15.75" x14ac:dyDescent="0.25">
      <c r="A908" s="5"/>
      <c r="B908" s="7"/>
      <c r="C908" s="5"/>
      <c r="D908" s="5"/>
      <c r="E908" s="8"/>
      <c r="F908" s="9"/>
      <c r="G908" s="5"/>
      <c r="H908" s="28" t="str">
        <f>IFERROR(IF(AND(COUNTIF(RegistroPago!$A$1:$A$2000,Consolidado!B908)&gt;0,INDEX(RegistroPago!$E$1:$E$2000,MATCH(Consolidado!B908,RegistroPago!$A$1:$A$2000,0))&lt;&gt;""),"PAGADA",IF(I908&lt;&gt;"","PENDIENTE","SIN EMITIR")),"")</f>
        <v/>
      </c>
      <c r="I908" s="10"/>
      <c r="J908" s="2"/>
      <c r="K908" s="29"/>
      <c r="L908" s="29"/>
    </row>
    <row r="909" spans="1:12" ht="15.75" x14ac:dyDescent="0.25">
      <c r="A909" s="5"/>
      <c r="B909" s="7"/>
      <c r="C909" s="5"/>
      <c r="D909" s="5"/>
      <c r="E909" s="8"/>
      <c r="F909" s="9"/>
      <c r="G909" s="5"/>
      <c r="H909" s="28" t="str">
        <f>IFERROR(IF(AND(COUNTIF(RegistroPago!$A$1:$A$2000,Consolidado!B909)&gt;0,INDEX(RegistroPago!$E$1:$E$2000,MATCH(Consolidado!B909,RegistroPago!$A$1:$A$2000,0))&lt;&gt;""),"PAGADA",IF(I909&lt;&gt;"","PENDIENTE","SIN EMITIR")),"")</f>
        <v/>
      </c>
      <c r="I909" s="10"/>
      <c r="J909" s="2"/>
      <c r="K909" s="29"/>
      <c r="L909" s="29"/>
    </row>
    <row r="910" spans="1:12" ht="15.75" x14ac:dyDescent="0.25">
      <c r="A910" s="5"/>
      <c r="B910" s="7"/>
      <c r="C910" s="5"/>
      <c r="D910" s="5"/>
      <c r="E910" s="8"/>
      <c r="F910" s="9"/>
      <c r="G910" s="5"/>
      <c r="H910" s="28" t="str">
        <f>IFERROR(IF(AND(COUNTIF(RegistroPago!$A$1:$A$2000,Consolidado!B910)&gt;0,INDEX(RegistroPago!$E$1:$E$2000,MATCH(Consolidado!B910,RegistroPago!$A$1:$A$2000,0))&lt;&gt;""),"PAGADA",IF(I910&lt;&gt;"","PENDIENTE","SIN EMITIR")),"")</f>
        <v/>
      </c>
      <c r="I910" s="10"/>
      <c r="J910" s="2"/>
      <c r="K910" s="29"/>
      <c r="L910" s="29"/>
    </row>
    <row r="911" spans="1:12" ht="15.75" x14ac:dyDescent="0.25">
      <c r="A911" s="5"/>
      <c r="B911" s="7"/>
      <c r="C911" s="5"/>
      <c r="D911" s="5"/>
      <c r="E911" s="8"/>
      <c r="F911" s="9"/>
      <c r="G911" s="5"/>
      <c r="H911" s="28" t="str">
        <f>IFERROR(IF(AND(COUNTIF(RegistroPago!$A$1:$A$2000,Consolidado!B911)&gt;0,INDEX(RegistroPago!$E$1:$E$2000,MATCH(Consolidado!B911,RegistroPago!$A$1:$A$2000,0))&lt;&gt;""),"PAGADA",IF(I911&lt;&gt;"","PENDIENTE","SIN EMITIR")),"")</f>
        <v/>
      </c>
      <c r="I911" s="10"/>
      <c r="J911" s="2"/>
      <c r="K911" s="29"/>
      <c r="L911" s="29"/>
    </row>
    <row r="912" spans="1:12" ht="15.75" x14ac:dyDescent="0.25">
      <c r="A912" s="5"/>
      <c r="B912" s="7"/>
      <c r="C912" s="5"/>
      <c r="D912" s="5"/>
      <c r="E912" s="8"/>
      <c r="F912" s="9"/>
      <c r="G912" s="5"/>
      <c r="H912" s="28" t="str">
        <f>IFERROR(IF(AND(COUNTIF(RegistroPago!$A$1:$A$2000,Consolidado!B912)&gt;0,INDEX(RegistroPago!$E$1:$E$2000,MATCH(Consolidado!B912,RegistroPago!$A$1:$A$2000,0))&lt;&gt;""),"PAGADA",IF(I912&lt;&gt;"","PENDIENTE","SIN EMITIR")),"")</f>
        <v/>
      </c>
      <c r="I912" s="10"/>
      <c r="J912" s="2"/>
      <c r="K912" s="29"/>
      <c r="L912" s="29"/>
    </row>
    <row r="913" spans="1:12" ht="15.75" x14ac:dyDescent="0.25">
      <c r="A913" s="5"/>
      <c r="B913" s="7"/>
      <c r="C913" s="5"/>
      <c r="D913" s="5"/>
      <c r="E913" s="8"/>
      <c r="F913" s="9"/>
      <c r="G913" s="5"/>
      <c r="H913" s="28" t="str">
        <f>IFERROR(IF(AND(COUNTIF(RegistroPago!$A$1:$A$2000,Consolidado!B913)&gt;0,INDEX(RegistroPago!$E$1:$E$2000,MATCH(Consolidado!B913,RegistroPago!$A$1:$A$2000,0))&lt;&gt;""),"PAGADA",IF(I913&lt;&gt;"","PENDIENTE","SIN EMITIR")),"")</f>
        <v/>
      </c>
      <c r="I913" s="10"/>
      <c r="J913" s="2"/>
      <c r="K913" s="29"/>
      <c r="L913" s="29"/>
    </row>
    <row r="914" spans="1:12" ht="15.75" x14ac:dyDescent="0.25">
      <c r="A914" s="5"/>
      <c r="B914" s="7"/>
      <c r="C914" s="5"/>
      <c r="D914" s="5"/>
      <c r="E914" s="8"/>
      <c r="F914" s="9"/>
      <c r="G914" s="5"/>
      <c r="H914" s="28" t="str">
        <f>IFERROR(IF(AND(COUNTIF(RegistroPago!$A$1:$A$2000,Consolidado!B914)&gt;0,INDEX(RegistroPago!$E$1:$E$2000,MATCH(Consolidado!B914,RegistroPago!$A$1:$A$2000,0))&lt;&gt;""),"PAGADA",IF(I914&lt;&gt;"","PENDIENTE","SIN EMITIR")),"")</f>
        <v/>
      </c>
      <c r="I914" s="10"/>
      <c r="J914" s="2"/>
      <c r="K914" s="29"/>
      <c r="L914" s="29"/>
    </row>
    <row r="915" spans="1:12" ht="15.75" x14ac:dyDescent="0.25">
      <c r="A915" s="5"/>
      <c r="B915" s="7"/>
      <c r="C915" s="5"/>
      <c r="D915" s="5"/>
      <c r="E915" s="8"/>
      <c r="F915" s="9"/>
      <c r="G915" s="5"/>
      <c r="H915" s="28" t="str">
        <f>IFERROR(IF(AND(COUNTIF(RegistroPago!$A$1:$A$2000,Consolidado!B915)&gt;0,INDEX(RegistroPago!$E$1:$E$2000,MATCH(Consolidado!B915,RegistroPago!$A$1:$A$2000,0))&lt;&gt;""),"PAGADA",IF(I915&lt;&gt;"","PENDIENTE","SIN EMITIR")),"")</f>
        <v/>
      </c>
      <c r="I915" s="10"/>
      <c r="J915" s="2"/>
      <c r="K915" s="29"/>
      <c r="L915" s="29"/>
    </row>
    <row r="916" spans="1:12" ht="15.75" x14ac:dyDescent="0.25">
      <c r="A916" s="5"/>
      <c r="B916" s="7"/>
      <c r="C916" s="5"/>
      <c r="D916" s="5"/>
      <c r="E916" s="8"/>
      <c r="F916" s="9"/>
      <c r="G916" s="5"/>
      <c r="H916" s="28" t="str">
        <f>IFERROR(IF(AND(COUNTIF(RegistroPago!$A$1:$A$2000,Consolidado!B916)&gt;0,INDEX(RegistroPago!$E$1:$E$2000,MATCH(Consolidado!B916,RegistroPago!$A$1:$A$2000,0))&lt;&gt;""),"PAGADA",IF(I916&lt;&gt;"","PENDIENTE","SIN EMITIR")),"")</f>
        <v/>
      </c>
      <c r="I916" s="10"/>
      <c r="J916" s="2"/>
      <c r="K916" s="29"/>
      <c r="L916" s="29"/>
    </row>
    <row r="917" spans="1:12" ht="15.75" x14ac:dyDescent="0.25">
      <c r="A917" s="5"/>
      <c r="B917" s="7"/>
      <c r="C917" s="5"/>
      <c r="D917" s="5"/>
      <c r="E917" s="8"/>
      <c r="F917" s="9"/>
      <c r="G917" s="5"/>
      <c r="H917" s="28" t="str">
        <f>IFERROR(IF(AND(COUNTIF(RegistroPago!$A$1:$A$2000,Consolidado!B917)&gt;0,INDEX(RegistroPago!$E$1:$E$2000,MATCH(Consolidado!B917,RegistroPago!$A$1:$A$2000,0))&lt;&gt;""),"PAGADA",IF(I917&lt;&gt;"","PENDIENTE","SIN EMITIR")),"")</f>
        <v/>
      </c>
      <c r="I917" s="10"/>
      <c r="J917" s="2"/>
      <c r="K917" s="29"/>
      <c r="L917" s="29"/>
    </row>
    <row r="918" spans="1:12" ht="15.75" x14ac:dyDescent="0.25">
      <c r="A918" s="5"/>
      <c r="B918" s="7"/>
      <c r="C918" s="5"/>
      <c r="D918" s="5"/>
      <c r="E918" s="8"/>
      <c r="F918" s="9"/>
      <c r="G918" s="5"/>
      <c r="H918" s="28" t="str">
        <f>IFERROR(IF(AND(COUNTIF(RegistroPago!$A$1:$A$2000,Consolidado!B918)&gt;0,INDEX(RegistroPago!$E$1:$E$2000,MATCH(Consolidado!B918,RegistroPago!$A$1:$A$2000,0))&lt;&gt;""),"PAGADA",IF(I918&lt;&gt;"","PENDIENTE","SIN EMITIR")),"")</f>
        <v/>
      </c>
      <c r="I918" s="10"/>
      <c r="J918" s="2"/>
      <c r="K918" s="29"/>
      <c r="L918" s="29"/>
    </row>
    <row r="919" spans="1:12" ht="15.75" x14ac:dyDescent="0.25">
      <c r="A919" s="5"/>
      <c r="B919" s="7"/>
      <c r="C919" s="5"/>
      <c r="D919" s="5"/>
      <c r="E919" s="8"/>
      <c r="F919" s="9"/>
      <c r="G919" s="5"/>
      <c r="H919" s="28" t="str">
        <f>IFERROR(IF(AND(COUNTIF(RegistroPago!$A$1:$A$2000,Consolidado!B919)&gt;0,INDEX(RegistroPago!$E$1:$E$2000,MATCH(Consolidado!B919,RegistroPago!$A$1:$A$2000,0))&lt;&gt;""),"PAGADA",IF(I919&lt;&gt;"","PENDIENTE","SIN EMITIR")),"")</f>
        <v/>
      </c>
      <c r="I919" s="10"/>
      <c r="J919" s="2"/>
      <c r="K919" s="29"/>
      <c r="L919" s="29"/>
    </row>
    <row r="920" spans="1:12" ht="15.75" x14ac:dyDescent="0.25">
      <c r="A920" s="5"/>
      <c r="B920" s="7"/>
      <c r="C920" s="5"/>
      <c r="D920" s="5"/>
      <c r="E920" s="8"/>
      <c r="F920" s="9"/>
      <c r="G920" s="5"/>
      <c r="H920" s="28" t="str">
        <f>IFERROR(IF(AND(COUNTIF(RegistroPago!$A$1:$A$2000,Consolidado!B920)&gt;0,INDEX(RegistroPago!$E$1:$E$2000,MATCH(Consolidado!B920,RegistroPago!$A$1:$A$2000,0))&lt;&gt;""),"PAGADA",IF(I920&lt;&gt;"","PENDIENTE","SIN EMITIR")),"")</f>
        <v/>
      </c>
      <c r="I920" s="10"/>
      <c r="J920" s="2"/>
      <c r="K920" s="29"/>
      <c r="L920" s="29"/>
    </row>
    <row r="921" spans="1:12" ht="15.75" x14ac:dyDescent="0.25">
      <c r="A921" s="5"/>
      <c r="B921" s="7"/>
      <c r="C921" s="5"/>
      <c r="D921" s="5"/>
      <c r="E921" s="8"/>
      <c r="F921" s="9"/>
      <c r="G921" s="5"/>
      <c r="H921" s="28" t="str">
        <f>IFERROR(IF(AND(COUNTIF(RegistroPago!$A$1:$A$2000,Consolidado!B921)&gt;0,INDEX(RegistroPago!$E$1:$E$2000,MATCH(Consolidado!B921,RegistroPago!$A$1:$A$2000,0))&lt;&gt;""),"PAGADA",IF(I921&lt;&gt;"","PENDIENTE","SIN EMITIR")),"")</f>
        <v/>
      </c>
      <c r="I921" s="10"/>
      <c r="J921" s="2"/>
      <c r="K921" s="29"/>
      <c r="L921" s="29"/>
    </row>
    <row r="922" spans="1:12" ht="15.75" x14ac:dyDescent="0.25">
      <c r="A922" s="5"/>
      <c r="B922" s="7"/>
      <c r="C922" s="5"/>
      <c r="D922" s="5"/>
      <c r="E922" s="8"/>
      <c r="F922" s="9"/>
      <c r="G922" s="5"/>
      <c r="H922" s="28" t="str">
        <f>IFERROR(IF(AND(COUNTIF(RegistroPago!$A$1:$A$2000,Consolidado!B922)&gt;0,INDEX(RegistroPago!$E$1:$E$2000,MATCH(Consolidado!B922,RegistroPago!$A$1:$A$2000,0))&lt;&gt;""),"PAGADA",IF(I922&lt;&gt;"","PENDIENTE","SIN EMITIR")),"")</f>
        <v/>
      </c>
      <c r="I922" s="10"/>
      <c r="J922" s="2"/>
      <c r="K922" s="29"/>
      <c r="L922" s="29"/>
    </row>
    <row r="923" spans="1:12" ht="15.75" x14ac:dyDescent="0.25">
      <c r="A923" s="5"/>
      <c r="B923" s="7"/>
      <c r="C923" s="5"/>
      <c r="D923" s="5"/>
      <c r="E923" s="8"/>
      <c r="F923" s="9"/>
      <c r="G923" s="5"/>
      <c r="H923" s="28" t="str">
        <f>IFERROR(IF(AND(COUNTIF(RegistroPago!$A$1:$A$2000,Consolidado!B923)&gt;0,INDEX(RegistroPago!$E$1:$E$2000,MATCH(Consolidado!B923,RegistroPago!$A$1:$A$2000,0))&lt;&gt;""),"PAGADA",IF(I923&lt;&gt;"","PENDIENTE","SIN EMITIR")),"")</f>
        <v/>
      </c>
      <c r="I923" s="10"/>
      <c r="J923" s="2"/>
      <c r="K923" s="29"/>
      <c r="L923" s="29"/>
    </row>
    <row r="924" spans="1:12" ht="15.75" x14ac:dyDescent="0.25">
      <c r="A924" s="5"/>
      <c r="B924" s="7"/>
      <c r="C924" s="5"/>
      <c r="D924" s="5"/>
      <c r="E924" s="8"/>
      <c r="F924" s="9"/>
      <c r="G924" s="5"/>
      <c r="H924" s="28" t="str">
        <f>IFERROR(IF(AND(COUNTIF(RegistroPago!$A$1:$A$2000,Consolidado!B924)&gt;0,INDEX(RegistroPago!$E$1:$E$2000,MATCH(Consolidado!B924,RegistroPago!$A$1:$A$2000,0))&lt;&gt;""),"PAGADA",IF(I924&lt;&gt;"","PENDIENTE","SIN EMITIR")),"")</f>
        <v/>
      </c>
      <c r="I924" s="10"/>
      <c r="J924" s="2"/>
      <c r="K924" s="29"/>
      <c r="L924" s="29"/>
    </row>
    <row r="925" spans="1:12" ht="15.75" x14ac:dyDescent="0.25">
      <c r="A925" s="5"/>
      <c r="B925" s="7"/>
      <c r="C925" s="5"/>
      <c r="D925" s="5"/>
      <c r="E925" s="8"/>
      <c r="F925" s="9"/>
      <c r="G925" s="5"/>
      <c r="H925" s="28" t="str">
        <f>IFERROR(IF(AND(COUNTIF(RegistroPago!$A$1:$A$2000,Consolidado!B925)&gt;0,INDEX(RegistroPago!$E$1:$E$2000,MATCH(Consolidado!B925,RegistroPago!$A$1:$A$2000,0))&lt;&gt;""),"PAGADA",IF(I925&lt;&gt;"","PENDIENTE","SIN EMITIR")),"")</f>
        <v/>
      </c>
      <c r="I925" s="10"/>
      <c r="J925" s="2"/>
      <c r="K925" s="29"/>
      <c r="L925" s="29"/>
    </row>
    <row r="926" spans="1:12" ht="15.75" x14ac:dyDescent="0.25">
      <c r="A926" s="5"/>
      <c r="B926" s="7"/>
      <c r="C926" s="5"/>
      <c r="D926" s="5"/>
      <c r="E926" s="8"/>
      <c r="F926" s="9"/>
      <c r="G926" s="5"/>
      <c r="H926" s="28" t="str">
        <f>IFERROR(IF(AND(COUNTIF(RegistroPago!$A$1:$A$2000,Consolidado!B926)&gt;0,INDEX(RegistroPago!$E$1:$E$2000,MATCH(Consolidado!B926,RegistroPago!$A$1:$A$2000,0))&lt;&gt;""),"PAGADA",IF(I926&lt;&gt;"","PENDIENTE","SIN EMITIR")),"")</f>
        <v/>
      </c>
      <c r="I926" s="10"/>
      <c r="J926" s="2"/>
      <c r="K926" s="29"/>
      <c r="L926" s="29"/>
    </row>
    <row r="927" spans="1:12" ht="15.75" x14ac:dyDescent="0.25">
      <c r="A927" s="5"/>
      <c r="B927" s="7"/>
      <c r="C927" s="5"/>
      <c r="D927" s="5"/>
      <c r="E927" s="8"/>
      <c r="F927" s="9"/>
      <c r="G927" s="5"/>
      <c r="H927" s="28" t="str">
        <f>IFERROR(IF(AND(COUNTIF(RegistroPago!$A$1:$A$2000,Consolidado!B927)&gt;0,INDEX(RegistroPago!$E$1:$E$2000,MATCH(Consolidado!B927,RegistroPago!$A$1:$A$2000,0))&lt;&gt;""),"PAGADA",IF(I927&lt;&gt;"","PENDIENTE","SIN EMITIR")),"")</f>
        <v/>
      </c>
      <c r="I927" s="10"/>
      <c r="J927" s="2"/>
      <c r="K927" s="29"/>
      <c r="L927" s="29"/>
    </row>
    <row r="928" spans="1:12" ht="15.75" x14ac:dyDescent="0.25">
      <c r="A928" s="5"/>
      <c r="B928" s="7"/>
      <c r="C928" s="5"/>
      <c r="D928" s="5"/>
      <c r="E928" s="8"/>
      <c r="F928" s="9"/>
      <c r="G928" s="5"/>
      <c r="H928" s="28" t="str">
        <f>IFERROR(IF(AND(COUNTIF(RegistroPago!$A$1:$A$2000,Consolidado!B928)&gt;0,INDEX(RegistroPago!$E$1:$E$2000,MATCH(Consolidado!B928,RegistroPago!$A$1:$A$2000,0))&lt;&gt;""),"PAGADA",IF(I928&lt;&gt;"","PENDIENTE","SIN EMITIR")),"")</f>
        <v/>
      </c>
      <c r="I928" s="10"/>
      <c r="J928" s="2"/>
      <c r="K928" s="29"/>
      <c r="L928" s="29"/>
    </row>
    <row r="929" spans="1:12" ht="15.75" x14ac:dyDescent="0.25">
      <c r="A929" s="5"/>
      <c r="B929" s="7"/>
      <c r="C929" s="5"/>
      <c r="D929" s="5"/>
      <c r="E929" s="8"/>
      <c r="F929" s="9"/>
      <c r="G929" s="5"/>
      <c r="H929" s="28" t="str">
        <f>IFERROR(IF(AND(COUNTIF(RegistroPago!$A$1:$A$2000,Consolidado!B929)&gt;0,INDEX(RegistroPago!$E$1:$E$2000,MATCH(Consolidado!B929,RegistroPago!$A$1:$A$2000,0))&lt;&gt;""),"PAGADA",IF(I929&lt;&gt;"","PENDIENTE","SIN EMITIR")),"")</f>
        <v/>
      </c>
      <c r="I929" s="10"/>
      <c r="J929" s="2"/>
      <c r="K929" s="29"/>
      <c r="L929" s="29"/>
    </row>
    <row r="930" spans="1:12" ht="15.75" x14ac:dyDescent="0.25">
      <c r="A930" s="5"/>
      <c r="B930" s="7"/>
      <c r="C930" s="5"/>
      <c r="D930" s="5"/>
      <c r="E930" s="8"/>
      <c r="F930" s="9"/>
      <c r="G930" s="5"/>
      <c r="H930" s="28" t="str">
        <f>IFERROR(IF(AND(COUNTIF(RegistroPago!$A$1:$A$2000,Consolidado!B930)&gt;0,INDEX(RegistroPago!$E$1:$E$2000,MATCH(Consolidado!B930,RegistroPago!$A$1:$A$2000,0))&lt;&gt;""),"PAGADA",IF(I930&lt;&gt;"","PENDIENTE","SIN EMITIR")),"")</f>
        <v/>
      </c>
      <c r="I930" s="10"/>
      <c r="J930" s="2"/>
      <c r="K930" s="29"/>
      <c r="L930" s="29"/>
    </row>
    <row r="931" spans="1:12" ht="15.75" x14ac:dyDescent="0.25">
      <c r="A931" s="5"/>
      <c r="B931" s="7"/>
      <c r="C931" s="5"/>
      <c r="D931" s="5"/>
      <c r="E931" s="8"/>
      <c r="F931" s="9"/>
      <c r="G931" s="5"/>
      <c r="H931" s="28" t="str">
        <f>IFERROR(IF(AND(COUNTIF(RegistroPago!$A$1:$A$2000,Consolidado!B931)&gt;0,INDEX(RegistroPago!$E$1:$E$2000,MATCH(Consolidado!B931,RegistroPago!$A$1:$A$2000,0))&lt;&gt;""),"PAGADA",IF(I931&lt;&gt;"","PENDIENTE","SIN EMITIR")),"")</f>
        <v/>
      </c>
      <c r="I931" s="10"/>
      <c r="J931" s="2"/>
      <c r="K931" s="29"/>
      <c r="L931" s="29"/>
    </row>
    <row r="932" spans="1:12" ht="15.75" x14ac:dyDescent="0.25">
      <c r="A932" s="5"/>
      <c r="B932" s="7"/>
      <c r="C932" s="5"/>
      <c r="D932" s="5"/>
      <c r="E932" s="8"/>
      <c r="F932" s="9"/>
      <c r="G932" s="5"/>
      <c r="H932" s="28" t="str">
        <f>IFERROR(IF(AND(COUNTIF(RegistroPago!$A$1:$A$2000,Consolidado!B932)&gt;0,INDEX(RegistroPago!$E$1:$E$2000,MATCH(Consolidado!B932,RegistroPago!$A$1:$A$2000,0))&lt;&gt;""),"PAGADA",IF(I932&lt;&gt;"","PENDIENTE","SIN EMITIR")),"")</f>
        <v/>
      </c>
      <c r="I932" s="10"/>
      <c r="J932" s="2"/>
      <c r="K932" s="29"/>
      <c r="L932" s="29"/>
    </row>
    <row r="933" spans="1:12" ht="15.75" x14ac:dyDescent="0.25">
      <c r="A933" s="5"/>
      <c r="B933" s="7"/>
      <c r="C933" s="5"/>
      <c r="D933" s="5"/>
      <c r="E933" s="8"/>
      <c r="F933" s="9"/>
      <c r="G933" s="5"/>
      <c r="H933" s="28" t="str">
        <f>IFERROR(IF(AND(COUNTIF(RegistroPago!$A$1:$A$2000,Consolidado!B933)&gt;0,INDEX(RegistroPago!$E$1:$E$2000,MATCH(Consolidado!B933,RegistroPago!$A$1:$A$2000,0))&lt;&gt;""),"PAGADA",IF(I933&lt;&gt;"","PENDIENTE","SIN EMITIR")),"")</f>
        <v/>
      </c>
      <c r="I933" s="10"/>
      <c r="J933" s="2"/>
      <c r="K933" s="29"/>
      <c r="L933" s="29"/>
    </row>
    <row r="934" spans="1:12" ht="15.75" x14ac:dyDescent="0.25">
      <c r="A934" s="5"/>
      <c r="B934" s="7"/>
      <c r="C934" s="5"/>
      <c r="D934" s="5"/>
      <c r="E934" s="8"/>
      <c r="F934" s="9"/>
      <c r="G934" s="5"/>
      <c r="H934" s="28" t="str">
        <f>IFERROR(IF(AND(COUNTIF(RegistroPago!$A$1:$A$2000,Consolidado!B934)&gt;0,INDEX(RegistroPago!$E$1:$E$2000,MATCH(Consolidado!B934,RegistroPago!$A$1:$A$2000,0))&lt;&gt;""),"PAGADA",IF(I934&lt;&gt;"","PENDIENTE","SIN EMITIR")),"")</f>
        <v/>
      </c>
      <c r="I934" s="10"/>
      <c r="J934" s="2"/>
      <c r="K934" s="29"/>
      <c r="L934" s="29"/>
    </row>
    <row r="935" spans="1:12" ht="15.75" x14ac:dyDescent="0.25">
      <c r="A935" s="5"/>
      <c r="B935" s="7"/>
      <c r="C935" s="5"/>
      <c r="D935" s="5"/>
      <c r="E935" s="8"/>
      <c r="F935" s="9"/>
      <c r="G935" s="5"/>
      <c r="H935" s="28" t="str">
        <f>IFERROR(IF(AND(COUNTIF(RegistroPago!$A$1:$A$2000,Consolidado!B935)&gt;0,INDEX(RegistroPago!$E$1:$E$2000,MATCH(Consolidado!B935,RegistroPago!$A$1:$A$2000,0))&lt;&gt;""),"PAGADA",IF(I935&lt;&gt;"","PENDIENTE","SIN EMITIR")),"")</f>
        <v/>
      </c>
      <c r="I935" s="10"/>
      <c r="J935" s="2"/>
      <c r="K935" s="29"/>
      <c r="L935" s="29"/>
    </row>
    <row r="936" spans="1:12" ht="15.75" x14ac:dyDescent="0.25">
      <c r="A936" s="5"/>
      <c r="B936" s="7"/>
      <c r="C936" s="5"/>
      <c r="D936" s="5"/>
      <c r="E936" s="8"/>
      <c r="F936" s="9"/>
      <c r="G936" s="5"/>
      <c r="H936" s="28" t="str">
        <f>IFERROR(IF(AND(COUNTIF(RegistroPago!$A$1:$A$2000,Consolidado!B936)&gt;0,INDEX(RegistroPago!$E$1:$E$2000,MATCH(Consolidado!B936,RegistroPago!$A$1:$A$2000,0))&lt;&gt;""),"PAGADA",IF(I936&lt;&gt;"","PENDIENTE","SIN EMITIR")),"")</f>
        <v/>
      </c>
      <c r="I936" s="10"/>
      <c r="J936" s="2"/>
      <c r="K936" s="29"/>
      <c r="L936" s="29"/>
    </row>
    <row r="937" spans="1:12" ht="15.75" x14ac:dyDescent="0.25">
      <c r="A937" s="5"/>
      <c r="B937" s="7"/>
      <c r="C937" s="5"/>
      <c r="D937" s="5"/>
      <c r="E937" s="8"/>
      <c r="F937" s="9"/>
      <c r="G937" s="5"/>
      <c r="H937" s="28" t="str">
        <f>IFERROR(IF(AND(COUNTIF(RegistroPago!$A$1:$A$2000,Consolidado!B937)&gt;0,INDEX(RegistroPago!$E$1:$E$2000,MATCH(Consolidado!B937,RegistroPago!$A$1:$A$2000,0))&lt;&gt;""),"PAGADA",IF(I937&lt;&gt;"","PENDIENTE","SIN EMITIR")),"")</f>
        <v/>
      </c>
      <c r="I937" s="10"/>
      <c r="J937" s="2"/>
      <c r="K937" s="29"/>
      <c r="L937" s="29"/>
    </row>
    <row r="938" spans="1:12" ht="15.75" x14ac:dyDescent="0.25">
      <c r="A938" s="5"/>
      <c r="B938" s="7"/>
      <c r="C938" s="5"/>
      <c r="D938" s="5"/>
      <c r="E938" s="8"/>
      <c r="F938" s="9"/>
      <c r="G938" s="5"/>
      <c r="H938" s="28" t="str">
        <f>IFERROR(IF(AND(COUNTIF(RegistroPago!$A$1:$A$2000,Consolidado!B938)&gt;0,INDEX(RegistroPago!$E$1:$E$2000,MATCH(Consolidado!B938,RegistroPago!$A$1:$A$2000,0))&lt;&gt;""),"PAGADA",IF(I938&lt;&gt;"","PENDIENTE","SIN EMITIR")),"")</f>
        <v/>
      </c>
      <c r="I938" s="10"/>
      <c r="J938" s="2"/>
      <c r="K938" s="29"/>
      <c r="L938" s="29"/>
    </row>
    <row r="939" spans="1:12" ht="15.75" x14ac:dyDescent="0.25">
      <c r="A939" s="5"/>
      <c r="B939" s="7"/>
      <c r="C939" s="5"/>
      <c r="D939" s="5"/>
      <c r="E939" s="8"/>
      <c r="F939" s="9"/>
      <c r="G939" s="5"/>
      <c r="H939" s="28" t="str">
        <f>IFERROR(IF(AND(COUNTIF(RegistroPago!$A$1:$A$2000,Consolidado!B939)&gt;0,INDEX(RegistroPago!$E$1:$E$2000,MATCH(Consolidado!B939,RegistroPago!$A$1:$A$2000,0))&lt;&gt;""),"PAGADA",IF(I939&lt;&gt;"","PENDIENTE","SIN EMITIR")),"")</f>
        <v/>
      </c>
      <c r="I939" s="10"/>
      <c r="J939" s="2"/>
      <c r="K939" s="29"/>
      <c r="L939" s="29"/>
    </row>
    <row r="940" spans="1:12" ht="15.75" x14ac:dyDescent="0.25">
      <c r="A940" s="5"/>
      <c r="B940" s="7"/>
      <c r="C940" s="5"/>
      <c r="D940" s="5"/>
      <c r="E940" s="8"/>
      <c r="F940" s="9"/>
      <c r="G940" s="5"/>
      <c r="H940" s="28" t="str">
        <f>IFERROR(IF(AND(COUNTIF(RegistroPago!$A$1:$A$2000,Consolidado!B940)&gt;0,INDEX(RegistroPago!$E$1:$E$2000,MATCH(Consolidado!B940,RegistroPago!$A$1:$A$2000,0))&lt;&gt;""),"PAGADA",IF(I940&lt;&gt;"","PENDIENTE","SIN EMITIR")),"")</f>
        <v/>
      </c>
      <c r="I940" s="10"/>
      <c r="J940" s="2"/>
      <c r="K940" s="29"/>
      <c r="L940" s="29"/>
    </row>
    <row r="941" spans="1:12" ht="15.75" x14ac:dyDescent="0.25">
      <c r="A941" s="5"/>
      <c r="B941" s="7"/>
      <c r="C941" s="5"/>
      <c r="D941" s="5"/>
      <c r="E941" s="8"/>
      <c r="F941" s="9"/>
      <c r="G941" s="5"/>
      <c r="H941" s="28" t="str">
        <f>IFERROR(IF(AND(COUNTIF(RegistroPago!$A$1:$A$2000,Consolidado!B941)&gt;0,INDEX(RegistroPago!$E$1:$E$2000,MATCH(Consolidado!B941,RegistroPago!$A$1:$A$2000,0))&lt;&gt;""),"PAGADA",IF(I941&lt;&gt;"","PENDIENTE","SIN EMITIR")),"")</f>
        <v/>
      </c>
      <c r="I941" s="10"/>
      <c r="J941" s="2"/>
      <c r="K941" s="29"/>
      <c r="L941" s="29"/>
    </row>
    <row r="942" spans="1:12" ht="15.75" x14ac:dyDescent="0.25">
      <c r="A942" s="5"/>
      <c r="B942" s="7"/>
      <c r="C942" s="5"/>
      <c r="D942" s="5"/>
      <c r="E942" s="8"/>
      <c r="F942" s="9"/>
      <c r="G942" s="5"/>
      <c r="H942" s="28" t="str">
        <f>IFERROR(IF(AND(COUNTIF(RegistroPago!$A$1:$A$2000,Consolidado!B942)&gt;0,INDEX(RegistroPago!$E$1:$E$2000,MATCH(Consolidado!B942,RegistroPago!$A$1:$A$2000,0))&lt;&gt;""),"PAGADA",IF(I942&lt;&gt;"","PENDIENTE","SIN EMITIR")),"")</f>
        <v/>
      </c>
      <c r="I942" s="10"/>
      <c r="J942" s="2"/>
      <c r="K942" s="29"/>
      <c r="L942" s="29"/>
    </row>
    <row r="943" spans="1:12" ht="15.75" x14ac:dyDescent="0.25">
      <c r="A943" s="5"/>
      <c r="B943" s="7"/>
      <c r="C943" s="5"/>
      <c r="D943" s="5"/>
      <c r="E943" s="8"/>
      <c r="F943" s="9"/>
      <c r="G943" s="5"/>
      <c r="H943" s="28" t="str">
        <f>IFERROR(IF(AND(COUNTIF(RegistroPago!$A$1:$A$2000,Consolidado!B943)&gt;0,INDEX(RegistroPago!$E$1:$E$2000,MATCH(Consolidado!B943,RegistroPago!$A$1:$A$2000,0))&lt;&gt;""),"PAGADA",IF(I943&lt;&gt;"","PENDIENTE","SIN EMITIR")),"")</f>
        <v/>
      </c>
      <c r="I943" s="10"/>
      <c r="J943" s="2"/>
      <c r="K943" s="29"/>
      <c r="L943" s="29"/>
    </row>
    <row r="944" spans="1:12" ht="15.75" x14ac:dyDescent="0.25">
      <c r="A944" s="5"/>
      <c r="B944" s="7"/>
      <c r="C944" s="5"/>
      <c r="D944" s="5"/>
      <c r="E944" s="8"/>
      <c r="F944" s="9"/>
      <c r="G944" s="5"/>
      <c r="H944" s="28" t="str">
        <f>IFERROR(IF(AND(COUNTIF(RegistroPago!$A$1:$A$2000,Consolidado!B944)&gt;0,INDEX(RegistroPago!$E$1:$E$2000,MATCH(Consolidado!B944,RegistroPago!$A$1:$A$2000,0))&lt;&gt;""),"PAGADA",IF(I944&lt;&gt;"","PENDIENTE","SIN EMITIR")),"")</f>
        <v/>
      </c>
      <c r="I944" s="10"/>
      <c r="J944" s="2"/>
      <c r="K944" s="29"/>
      <c r="L944" s="29"/>
    </row>
    <row r="945" spans="1:12" ht="15.75" x14ac:dyDescent="0.25">
      <c r="A945" s="5"/>
      <c r="B945" s="7"/>
      <c r="C945" s="5"/>
      <c r="D945" s="5"/>
      <c r="E945" s="8"/>
      <c r="F945" s="9"/>
      <c r="G945" s="5"/>
      <c r="H945" s="28" t="str">
        <f>IFERROR(IF(AND(COUNTIF(RegistroPago!$A$1:$A$2000,Consolidado!B945)&gt;0,INDEX(RegistroPago!$E$1:$E$2000,MATCH(Consolidado!B945,RegistroPago!$A$1:$A$2000,0))&lt;&gt;""),"PAGADA",IF(I945&lt;&gt;"","PENDIENTE","SIN EMITIR")),"")</f>
        <v/>
      </c>
      <c r="I945" s="10"/>
      <c r="J945" s="2"/>
      <c r="K945" s="29"/>
      <c r="L945" s="29"/>
    </row>
    <row r="946" spans="1:12" ht="15.75" x14ac:dyDescent="0.25">
      <c r="A946" s="5"/>
      <c r="B946" s="7"/>
      <c r="C946" s="5"/>
      <c r="D946" s="5"/>
      <c r="E946" s="8"/>
      <c r="F946" s="9"/>
      <c r="G946" s="5"/>
      <c r="H946" s="28" t="str">
        <f>IFERROR(IF(AND(COUNTIF(RegistroPago!$A$1:$A$2000,Consolidado!B946)&gt;0,INDEX(RegistroPago!$E$1:$E$2000,MATCH(Consolidado!B946,RegistroPago!$A$1:$A$2000,0))&lt;&gt;""),"PAGADA",IF(I946&lt;&gt;"","PENDIENTE","SIN EMITIR")),"")</f>
        <v/>
      </c>
      <c r="I946" s="10"/>
      <c r="J946" s="2"/>
      <c r="K946" s="29"/>
      <c r="L946" s="29"/>
    </row>
    <row r="947" spans="1:12" ht="15.75" x14ac:dyDescent="0.25">
      <c r="A947" s="5"/>
      <c r="B947" s="7"/>
      <c r="C947" s="5"/>
      <c r="D947" s="5"/>
      <c r="E947" s="8"/>
      <c r="F947" s="9"/>
      <c r="G947" s="5"/>
      <c r="H947" s="28" t="str">
        <f>IFERROR(IF(AND(COUNTIF(RegistroPago!$A$1:$A$2000,Consolidado!B947)&gt;0,INDEX(RegistroPago!$E$1:$E$2000,MATCH(Consolidado!B947,RegistroPago!$A$1:$A$2000,0))&lt;&gt;""),"PAGADA",IF(I947&lt;&gt;"","PENDIENTE","SIN EMITIR")),"")</f>
        <v/>
      </c>
      <c r="I947" s="10"/>
      <c r="J947" s="2"/>
      <c r="K947" s="29"/>
      <c r="L947" s="29"/>
    </row>
    <row r="948" spans="1:12" ht="15.75" x14ac:dyDescent="0.25">
      <c r="A948" s="5"/>
      <c r="B948" s="7"/>
      <c r="C948" s="5"/>
      <c r="D948" s="5"/>
      <c r="E948" s="8"/>
      <c r="F948" s="9"/>
      <c r="G948" s="5"/>
      <c r="H948" s="28" t="str">
        <f>IFERROR(IF(AND(COUNTIF(RegistroPago!$A$1:$A$2000,Consolidado!B948)&gt;0,INDEX(RegistroPago!$E$1:$E$2000,MATCH(Consolidado!B948,RegistroPago!$A$1:$A$2000,0))&lt;&gt;""),"PAGADA",IF(I948&lt;&gt;"","PENDIENTE","SIN EMITIR")),"")</f>
        <v/>
      </c>
      <c r="I948" s="10"/>
      <c r="J948" s="2"/>
      <c r="K948" s="29"/>
      <c r="L948" s="29"/>
    </row>
    <row r="949" spans="1:12" ht="15.75" x14ac:dyDescent="0.25">
      <c r="A949" s="5"/>
      <c r="B949" s="7"/>
      <c r="C949" s="5"/>
      <c r="D949" s="5"/>
      <c r="E949" s="8"/>
      <c r="F949" s="9"/>
      <c r="G949" s="5"/>
      <c r="H949" s="28" t="str">
        <f>IFERROR(IF(AND(COUNTIF(RegistroPago!$A$1:$A$2000,Consolidado!B949)&gt;0,INDEX(RegistroPago!$E$1:$E$2000,MATCH(Consolidado!B949,RegistroPago!$A$1:$A$2000,0))&lt;&gt;""),"PAGADA",IF(I949&lt;&gt;"","PENDIENTE","SIN EMITIR")),"")</f>
        <v/>
      </c>
      <c r="I949" s="10"/>
      <c r="J949" s="2"/>
      <c r="K949" s="29"/>
      <c r="L949" s="29"/>
    </row>
    <row r="950" spans="1:12" ht="15.75" x14ac:dyDescent="0.25">
      <c r="A950" s="5"/>
      <c r="B950" s="7"/>
      <c r="C950" s="5"/>
      <c r="D950" s="5"/>
      <c r="E950" s="8"/>
      <c r="F950" s="9"/>
      <c r="G950" s="5"/>
      <c r="H950" s="28" t="str">
        <f>IFERROR(IF(AND(COUNTIF(RegistroPago!$A$1:$A$2000,Consolidado!B950)&gt;0,INDEX(RegistroPago!$E$1:$E$2000,MATCH(Consolidado!B950,RegistroPago!$A$1:$A$2000,0))&lt;&gt;""),"PAGADA",IF(I950&lt;&gt;"","PENDIENTE","SIN EMITIR")),"")</f>
        <v/>
      </c>
      <c r="I950" s="10"/>
      <c r="J950" s="2"/>
      <c r="K950" s="29"/>
      <c r="L950" s="29"/>
    </row>
    <row r="951" spans="1:12" ht="15.75" x14ac:dyDescent="0.25">
      <c r="A951" s="5"/>
      <c r="B951" s="7"/>
      <c r="C951" s="5"/>
      <c r="D951" s="5"/>
      <c r="E951" s="8"/>
      <c r="F951" s="9"/>
      <c r="G951" s="5"/>
      <c r="H951" s="28" t="str">
        <f>IFERROR(IF(AND(COUNTIF(RegistroPago!$A$1:$A$2000,Consolidado!B951)&gt;0,INDEX(RegistroPago!$E$1:$E$2000,MATCH(Consolidado!B951,RegistroPago!$A$1:$A$2000,0))&lt;&gt;""),"PAGADA",IF(I951&lt;&gt;"","PENDIENTE","SIN EMITIR")),"")</f>
        <v/>
      </c>
      <c r="I951" s="10"/>
      <c r="J951" s="2"/>
      <c r="K951" s="29"/>
      <c r="L951" s="29"/>
    </row>
    <row r="952" spans="1:12" ht="15.75" x14ac:dyDescent="0.25">
      <c r="A952" s="5"/>
      <c r="B952" s="7"/>
      <c r="C952" s="5"/>
      <c r="D952" s="5"/>
      <c r="E952" s="8"/>
      <c r="F952" s="9"/>
      <c r="G952" s="5"/>
      <c r="H952" s="28" t="str">
        <f>IFERROR(IF(AND(COUNTIF(RegistroPago!$A$1:$A$2000,Consolidado!B952)&gt;0,INDEX(RegistroPago!$E$1:$E$2000,MATCH(Consolidado!B952,RegistroPago!$A$1:$A$2000,0))&lt;&gt;""),"PAGADA",IF(I952&lt;&gt;"","PENDIENTE","SIN EMITIR")),"")</f>
        <v/>
      </c>
      <c r="I952" s="10"/>
      <c r="J952" s="2"/>
      <c r="K952" s="29"/>
      <c r="L952" s="29"/>
    </row>
    <row r="953" spans="1:12" ht="15.75" x14ac:dyDescent="0.25">
      <c r="A953" s="5"/>
      <c r="B953" s="7"/>
      <c r="C953" s="5"/>
      <c r="D953" s="5"/>
      <c r="E953" s="8"/>
      <c r="F953" s="9"/>
      <c r="G953" s="5"/>
      <c r="H953" s="28" t="str">
        <f>IFERROR(IF(AND(COUNTIF(RegistroPago!$A$1:$A$2000,Consolidado!B953)&gt;0,INDEX(RegistroPago!$E$1:$E$2000,MATCH(Consolidado!B953,RegistroPago!$A$1:$A$2000,0))&lt;&gt;""),"PAGADA",IF(I953&lt;&gt;"","PENDIENTE","SIN EMITIR")),"")</f>
        <v/>
      </c>
      <c r="I953" s="10"/>
      <c r="J953" s="2"/>
      <c r="K953" s="29"/>
      <c r="L953" s="29"/>
    </row>
    <row r="954" spans="1:12" ht="15.75" x14ac:dyDescent="0.25">
      <c r="A954" s="5"/>
      <c r="B954" s="7"/>
      <c r="C954" s="5"/>
      <c r="D954" s="5"/>
      <c r="E954" s="8"/>
      <c r="F954" s="9"/>
      <c r="G954" s="5"/>
      <c r="H954" s="28" t="str">
        <f>IFERROR(IF(AND(COUNTIF(RegistroPago!$A$1:$A$2000,Consolidado!B954)&gt;0,INDEX(RegistroPago!$E$1:$E$2000,MATCH(Consolidado!B954,RegistroPago!$A$1:$A$2000,0))&lt;&gt;""),"PAGADA",IF(I954&lt;&gt;"","PENDIENTE","SIN EMITIR")),"")</f>
        <v/>
      </c>
      <c r="I954" s="10"/>
      <c r="J954" s="2"/>
      <c r="K954" s="29"/>
      <c r="L954" s="29"/>
    </row>
    <row r="955" spans="1:12" ht="15.75" x14ac:dyDescent="0.25">
      <c r="A955" s="5"/>
      <c r="B955" s="7"/>
      <c r="C955" s="5"/>
      <c r="D955" s="5"/>
      <c r="E955" s="8"/>
      <c r="F955" s="9"/>
      <c r="G955" s="5"/>
      <c r="H955" s="28" t="str">
        <f>IFERROR(IF(AND(COUNTIF(RegistroPago!$A$1:$A$2000,Consolidado!B955)&gt;0,INDEX(RegistroPago!$E$1:$E$2000,MATCH(Consolidado!B955,RegistroPago!$A$1:$A$2000,0))&lt;&gt;""),"PAGADA",IF(I955&lt;&gt;"","PENDIENTE","SIN EMITIR")),"")</f>
        <v/>
      </c>
      <c r="I955" s="10"/>
      <c r="J955" s="2"/>
      <c r="K955" s="29"/>
      <c r="L955" s="29"/>
    </row>
    <row r="956" spans="1:12" ht="15.75" x14ac:dyDescent="0.25">
      <c r="A956" s="5"/>
      <c r="B956" s="7"/>
      <c r="C956" s="5"/>
      <c r="D956" s="5"/>
      <c r="E956" s="8"/>
      <c r="F956" s="9"/>
      <c r="G956" s="5"/>
      <c r="H956" s="28" t="str">
        <f>IFERROR(IF(AND(COUNTIF(RegistroPago!$A$1:$A$2000,Consolidado!B956)&gt;0,INDEX(RegistroPago!$E$1:$E$2000,MATCH(Consolidado!B956,RegistroPago!$A$1:$A$2000,0))&lt;&gt;""),"PAGADA",IF(I956&lt;&gt;"","PENDIENTE","SIN EMITIR")),"")</f>
        <v/>
      </c>
      <c r="I956" s="10"/>
      <c r="J956" s="2"/>
      <c r="K956" s="29"/>
      <c r="L956" s="29"/>
    </row>
    <row r="957" spans="1:12" ht="15.75" x14ac:dyDescent="0.25">
      <c r="A957" s="5"/>
      <c r="B957" s="7"/>
      <c r="C957" s="5"/>
      <c r="D957" s="5"/>
      <c r="E957" s="8"/>
      <c r="F957" s="9"/>
      <c r="G957" s="5"/>
      <c r="H957" s="28" t="str">
        <f>IFERROR(IF(AND(COUNTIF(RegistroPago!$A$1:$A$2000,Consolidado!B957)&gt;0,INDEX(RegistroPago!$E$1:$E$2000,MATCH(Consolidado!B957,RegistroPago!$A$1:$A$2000,0))&lt;&gt;""),"PAGADA",IF(I957&lt;&gt;"","PENDIENTE","SIN EMITIR")),"")</f>
        <v/>
      </c>
      <c r="I957" s="10"/>
      <c r="J957" s="2"/>
      <c r="K957" s="29"/>
      <c r="L957" s="29"/>
    </row>
    <row r="958" spans="1:12" ht="15.75" x14ac:dyDescent="0.25">
      <c r="A958" s="5"/>
      <c r="B958" s="7"/>
      <c r="C958" s="5"/>
      <c r="D958" s="5"/>
      <c r="E958" s="8"/>
      <c r="F958" s="9"/>
      <c r="G958" s="5"/>
      <c r="H958" s="28" t="str">
        <f>IFERROR(IF(AND(COUNTIF(RegistroPago!$A$1:$A$2000,Consolidado!B958)&gt;0,INDEX(RegistroPago!$E$1:$E$2000,MATCH(Consolidado!B958,RegistroPago!$A$1:$A$2000,0))&lt;&gt;""),"PAGADA",IF(I958&lt;&gt;"","PENDIENTE","SIN EMITIR")),"")</f>
        <v/>
      </c>
      <c r="I958" s="10"/>
      <c r="J958" s="2"/>
      <c r="K958" s="29"/>
      <c r="L958" s="29"/>
    </row>
    <row r="959" spans="1:12" ht="15.75" x14ac:dyDescent="0.25">
      <c r="A959" s="5"/>
      <c r="B959" s="7"/>
      <c r="C959" s="5"/>
      <c r="D959" s="5"/>
      <c r="E959" s="8"/>
      <c r="F959" s="9"/>
      <c r="G959" s="5"/>
      <c r="H959" s="28" t="str">
        <f>IFERROR(IF(AND(COUNTIF(RegistroPago!$A$1:$A$2000,Consolidado!B959)&gt;0,INDEX(RegistroPago!$E$1:$E$2000,MATCH(Consolidado!B959,RegistroPago!$A$1:$A$2000,0))&lt;&gt;""),"PAGADA",IF(I959&lt;&gt;"","PENDIENTE","SIN EMITIR")),"")</f>
        <v/>
      </c>
      <c r="I959" s="10"/>
      <c r="J959" s="2"/>
      <c r="K959" s="29"/>
      <c r="L959" s="29"/>
    </row>
    <row r="960" spans="1:12" ht="15.75" x14ac:dyDescent="0.25">
      <c r="A960" s="5"/>
      <c r="B960" s="7"/>
      <c r="C960" s="5"/>
      <c r="D960" s="5"/>
      <c r="E960" s="8"/>
      <c r="F960" s="9"/>
      <c r="G960" s="5"/>
      <c r="H960" s="28" t="str">
        <f>IFERROR(IF(AND(COUNTIF(RegistroPago!$A$1:$A$2000,Consolidado!B960)&gt;0,INDEX(RegistroPago!$E$1:$E$2000,MATCH(Consolidado!B960,RegistroPago!$A$1:$A$2000,0))&lt;&gt;""),"PAGADA",IF(I960&lt;&gt;"","PENDIENTE","SIN EMITIR")),"")</f>
        <v/>
      </c>
      <c r="I960" s="10"/>
      <c r="J960" s="2"/>
      <c r="K960" s="29"/>
      <c r="L960" s="29"/>
    </row>
    <row r="961" spans="1:12" ht="15.75" x14ac:dyDescent="0.25">
      <c r="A961" s="5"/>
      <c r="B961" s="7"/>
      <c r="C961" s="5"/>
      <c r="D961" s="5"/>
      <c r="E961" s="8"/>
      <c r="F961" s="9"/>
      <c r="G961" s="5"/>
      <c r="H961" s="28" t="str">
        <f>IFERROR(IF(AND(COUNTIF(RegistroPago!$A$1:$A$2000,Consolidado!B961)&gt;0,INDEX(RegistroPago!$E$1:$E$2000,MATCH(Consolidado!B961,RegistroPago!$A$1:$A$2000,0))&lt;&gt;""),"PAGADA",IF(I961&lt;&gt;"","PENDIENTE","SIN EMITIR")),"")</f>
        <v/>
      </c>
      <c r="I961" s="10"/>
      <c r="J961" s="2"/>
      <c r="K961" s="29"/>
      <c r="L961" s="29"/>
    </row>
    <row r="962" spans="1:12" ht="15.75" x14ac:dyDescent="0.25">
      <c r="A962" s="5"/>
      <c r="B962" s="7"/>
      <c r="C962" s="5"/>
      <c r="D962" s="5"/>
      <c r="E962" s="8"/>
      <c r="F962" s="9"/>
      <c r="G962" s="5"/>
      <c r="H962" s="28" t="str">
        <f>IFERROR(IF(AND(COUNTIF(RegistroPago!$A$1:$A$2000,Consolidado!B962)&gt;0,INDEX(RegistroPago!$E$1:$E$2000,MATCH(Consolidado!B962,RegistroPago!$A$1:$A$2000,0))&lt;&gt;""),"PAGADA",IF(I962&lt;&gt;"","PENDIENTE","SIN EMITIR")),"")</f>
        <v/>
      </c>
      <c r="I962" s="10"/>
      <c r="J962" s="2"/>
      <c r="K962" s="29"/>
      <c r="L962" s="29"/>
    </row>
    <row r="963" spans="1:12" ht="15.75" x14ac:dyDescent="0.25">
      <c r="A963" s="5"/>
      <c r="B963" s="7"/>
      <c r="C963" s="5"/>
      <c r="D963" s="5"/>
      <c r="E963" s="8"/>
      <c r="F963" s="9"/>
      <c r="G963" s="5"/>
      <c r="H963" s="28" t="str">
        <f>IFERROR(IF(AND(COUNTIF(RegistroPago!$A$1:$A$2000,Consolidado!B963)&gt;0,INDEX(RegistroPago!$E$1:$E$2000,MATCH(Consolidado!B963,RegistroPago!$A$1:$A$2000,0))&lt;&gt;""),"PAGADA",IF(I963&lt;&gt;"","PENDIENTE","SIN EMITIR")),"")</f>
        <v/>
      </c>
      <c r="I963" s="10"/>
      <c r="J963" s="2"/>
      <c r="K963" s="29"/>
      <c r="L963" s="29"/>
    </row>
    <row r="964" spans="1:12" ht="15.75" x14ac:dyDescent="0.25">
      <c r="A964" s="5"/>
      <c r="B964" s="7"/>
      <c r="C964" s="5"/>
      <c r="D964" s="5"/>
      <c r="E964" s="8"/>
      <c r="F964" s="9"/>
      <c r="G964" s="5"/>
      <c r="H964" s="28" t="str">
        <f>IFERROR(IF(AND(COUNTIF(RegistroPago!$A$1:$A$2000,Consolidado!B964)&gt;0,INDEX(RegistroPago!$E$1:$E$2000,MATCH(Consolidado!B964,RegistroPago!$A$1:$A$2000,0))&lt;&gt;""),"PAGADA",IF(I964&lt;&gt;"","PENDIENTE","SIN EMITIR")),"")</f>
        <v/>
      </c>
      <c r="I964" s="10"/>
      <c r="J964" s="2"/>
      <c r="K964" s="29"/>
      <c r="L964" s="29"/>
    </row>
    <row r="965" spans="1:12" ht="15.75" x14ac:dyDescent="0.25">
      <c r="A965" s="5"/>
      <c r="B965" s="7"/>
      <c r="C965" s="5"/>
      <c r="D965" s="5"/>
      <c r="E965" s="8"/>
      <c r="F965" s="9"/>
      <c r="G965" s="5"/>
      <c r="H965" s="28" t="str">
        <f>IFERROR(IF(AND(COUNTIF(RegistroPago!$A$1:$A$2000,Consolidado!B965)&gt;0,INDEX(RegistroPago!$E$1:$E$2000,MATCH(Consolidado!B965,RegistroPago!$A$1:$A$2000,0))&lt;&gt;""),"PAGADA",IF(I965&lt;&gt;"","PENDIENTE","SIN EMITIR")),"")</f>
        <v/>
      </c>
      <c r="I965" s="10"/>
      <c r="J965" s="2"/>
      <c r="K965" s="29"/>
      <c r="L965" s="29"/>
    </row>
    <row r="966" spans="1:12" ht="15.75" x14ac:dyDescent="0.25">
      <c r="A966" s="5"/>
      <c r="B966" s="7"/>
      <c r="C966" s="5"/>
      <c r="D966" s="5"/>
      <c r="E966" s="8"/>
      <c r="F966" s="9"/>
      <c r="G966" s="5"/>
      <c r="H966" s="28" t="str">
        <f>IFERROR(IF(AND(COUNTIF(RegistroPago!$A$1:$A$2000,Consolidado!B966)&gt;0,INDEX(RegistroPago!$E$1:$E$2000,MATCH(Consolidado!B966,RegistroPago!$A$1:$A$2000,0))&lt;&gt;""),"PAGADA",IF(I966&lt;&gt;"","PENDIENTE","SIN EMITIR")),"")</f>
        <v/>
      </c>
      <c r="I966" s="10"/>
      <c r="J966" s="2"/>
      <c r="K966" s="29"/>
      <c r="L966" s="29"/>
    </row>
    <row r="967" spans="1:12" ht="15.75" x14ac:dyDescent="0.25">
      <c r="A967" s="5"/>
      <c r="B967" s="7"/>
      <c r="C967" s="5"/>
      <c r="D967" s="5"/>
      <c r="E967" s="8"/>
      <c r="F967" s="9"/>
      <c r="G967" s="5"/>
      <c r="H967" s="28" t="str">
        <f>IFERROR(IF(AND(COUNTIF(RegistroPago!$A$1:$A$2000,Consolidado!B967)&gt;0,INDEX(RegistroPago!$E$1:$E$2000,MATCH(Consolidado!B967,RegistroPago!$A$1:$A$2000,0))&lt;&gt;""),"PAGADA",IF(I967&lt;&gt;"","PENDIENTE","SIN EMITIR")),"")</f>
        <v/>
      </c>
      <c r="I967" s="10"/>
      <c r="J967" s="2"/>
      <c r="K967" s="29"/>
      <c r="L967" s="29"/>
    </row>
    <row r="968" spans="1:12" ht="15.75" x14ac:dyDescent="0.25">
      <c r="A968" s="5"/>
      <c r="B968" s="7"/>
      <c r="C968" s="5"/>
      <c r="D968" s="5"/>
      <c r="E968" s="8"/>
      <c r="F968" s="9"/>
      <c r="G968" s="5"/>
      <c r="H968" s="28" t="str">
        <f>IFERROR(IF(AND(COUNTIF(RegistroPago!$A$1:$A$2000,Consolidado!B968)&gt;0,INDEX(RegistroPago!$E$1:$E$2000,MATCH(Consolidado!B968,RegistroPago!$A$1:$A$2000,0))&lt;&gt;""),"PAGADA",IF(I968&lt;&gt;"","PENDIENTE","SIN EMITIR")),"")</f>
        <v/>
      </c>
      <c r="I968" s="10"/>
      <c r="J968" s="2"/>
      <c r="K968" s="29"/>
      <c r="L968" s="29"/>
    </row>
    <row r="969" spans="1:12" ht="15.75" x14ac:dyDescent="0.25">
      <c r="A969" s="5"/>
      <c r="B969" s="7"/>
      <c r="C969" s="5"/>
      <c r="D969" s="5"/>
      <c r="E969" s="8"/>
      <c r="F969" s="9"/>
      <c r="G969" s="5"/>
      <c r="H969" s="28" t="str">
        <f>IFERROR(IF(AND(COUNTIF(RegistroPago!$A$1:$A$2000,Consolidado!B969)&gt;0,INDEX(RegistroPago!$E$1:$E$2000,MATCH(Consolidado!B969,RegistroPago!$A$1:$A$2000,0))&lt;&gt;""),"PAGADA",IF(I969&lt;&gt;"","PENDIENTE","SIN EMITIR")),"")</f>
        <v/>
      </c>
      <c r="I969" s="10"/>
      <c r="J969" s="2"/>
      <c r="K969" s="29"/>
      <c r="L969" s="29"/>
    </row>
    <row r="970" spans="1:12" ht="15.75" x14ac:dyDescent="0.25">
      <c r="A970" s="5"/>
      <c r="B970" s="7"/>
      <c r="C970" s="5"/>
      <c r="D970" s="5"/>
      <c r="E970" s="8"/>
      <c r="F970" s="9"/>
      <c r="G970" s="5"/>
      <c r="H970" s="28" t="str">
        <f>IFERROR(IF(AND(COUNTIF(RegistroPago!$A$1:$A$2000,Consolidado!B970)&gt;0,INDEX(RegistroPago!$E$1:$E$2000,MATCH(Consolidado!B970,RegistroPago!$A$1:$A$2000,0))&lt;&gt;""),"PAGADA",IF(I970&lt;&gt;"","PENDIENTE","SIN EMITIR")),"")</f>
        <v/>
      </c>
      <c r="I970" s="10"/>
      <c r="J970" s="2"/>
      <c r="K970" s="29"/>
      <c r="L970" s="29"/>
    </row>
    <row r="971" spans="1:12" ht="15.75" x14ac:dyDescent="0.25">
      <c r="A971" s="5"/>
      <c r="B971" s="7"/>
      <c r="C971" s="5"/>
      <c r="D971" s="5"/>
      <c r="E971" s="8"/>
      <c r="F971" s="9"/>
      <c r="G971" s="5"/>
      <c r="H971" s="28" t="str">
        <f>IFERROR(IF(AND(COUNTIF(RegistroPago!$A$1:$A$2000,Consolidado!B971)&gt;0,INDEX(RegistroPago!$E$1:$E$2000,MATCH(Consolidado!B971,RegistroPago!$A$1:$A$2000,0))&lt;&gt;""),"PAGADA",IF(I971&lt;&gt;"","PENDIENTE","SIN EMITIR")),"")</f>
        <v/>
      </c>
      <c r="I971" s="10"/>
      <c r="J971" s="2"/>
      <c r="K971" s="29"/>
      <c r="L971" s="29"/>
    </row>
    <row r="972" spans="1:12" ht="15.75" x14ac:dyDescent="0.25">
      <c r="A972" s="5"/>
      <c r="B972" s="7"/>
      <c r="C972" s="5"/>
      <c r="D972" s="5"/>
      <c r="E972" s="8"/>
      <c r="F972" s="9"/>
      <c r="G972" s="5"/>
      <c r="H972" s="28" t="str">
        <f>IFERROR(IF(AND(COUNTIF(RegistroPago!$A$1:$A$2000,Consolidado!B972)&gt;0,INDEX(RegistroPago!$E$1:$E$2000,MATCH(Consolidado!B972,RegistroPago!$A$1:$A$2000,0))&lt;&gt;""),"PAGADA",IF(I972&lt;&gt;"","PENDIENTE","SIN EMITIR")),"")</f>
        <v/>
      </c>
      <c r="I972" s="10"/>
      <c r="J972" s="2"/>
      <c r="K972" s="29"/>
      <c r="L972" s="29"/>
    </row>
    <row r="973" spans="1:12" ht="15.75" x14ac:dyDescent="0.25">
      <c r="A973" s="5"/>
      <c r="B973" s="7"/>
      <c r="C973" s="5"/>
      <c r="D973" s="5"/>
      <c r="E973" s="8"/>
      <c r="F973" s="9"/>
      <c r="G973" s="5"/>
      <c r="H973" s="28" t="str">
        <f>IFERROR(IF(AND(COUNTIF(RegistroPago!$A$1:$A$2000,Consolidado!B973)&gt;0,INDEX(RegistroPago!$E$1:$E$2000,MATCH(Consolidado!B973,RegistroPago!$A$1:$A$2000,0))&lt;&gt;""),"PAGADA",IF(I973&lt;&gt;"","PENDIENTE","SIN EMITIR")),"")</f>
        <v/>
      </c>
      <c r="I973" s="10"/>
      <c r="J973" s="2"/>
      <c r="K973" s="29"/>
      <c r="L973" s="29"/>
    </row>
    <row r="974" spans="1:12" ht="15.75" x14ac:dyDescent="0.25">
      <c r="A974" s="5"/>
      <c r="B974" s="7"/>
      <c r="C974" s="5"/>
      <c r="D974" s="5"/>
      <c r="E974" s="8"/>
      <c r="F974" s="9"/>
      <c r="G974" s="5"/>
      <c r="H974" s="28" t="str">
        <f>IFERROR(IF(AND(COUNTIF(RegistroPago!$A$1:$A$2000,Consolidado!B974)&gt;0,INDEX(RegistroPago!$E$1:$E$2000,MATCH(Consolidado!B974,RegistroPago!$A$1:$A$2000,0))&lt;&gt;""),"PAGADA",IF(I974&lt;&gt;"","PENDIENTE","SIN EMITIR")),"")</f>
        <v/>
      </c>
      <c r="I974" s="10"/>
      <c r="J974" s="2"/>
      <c r="K974" s="29"/>
      <c r="L974" s="29"/>
    </row>
    <row r="975" spans="1:12" ht="15.75" x14ac:dyDescent="0.25">
      <c r="A975" s="5"/>
      <c r="B975" s="7"/>
      <c r="C975" s="5"/>
      <c r="D975" s="5"/>
      <c r="E975" s="8"/>
      <c r="F975" s="9"/>
      <c r="G975" s="5"/>
      <c r="H975" s="28" t="str">
        <f>IFERROR(IF(AND(COUNTIF(RegistroPago!$A$1:$A$2000,Consolidado!B975)&gt;0,INDEX(RegistroPago!$E$1:$E$2000,MATCH(Consolidado!B975,RegistroPago!$A$1:$A$2000,0))&lt;&gt;""),"PAGADA",IF(I975&lt;&gt;"","PENDIENTE","SIN EMITIR")),"")</f>
        <v/>
      </c>
      <c r="I975" s="10"/>
      <c r="J975" s="2"/>
      <c r="K975" s="29"/>
      <c r="L975" s="29"/>
    </row>
    <row r="976" spans="1:12" ht="15.75" x14ac:dyDescent="0.25">
      <c r="A976" s="5"/>
      <c r="B976" s="7"/>
      <c r="C976" s="5"/>
      <c r="D976" s="5"/>
      <c r="E976" s="8"/>
      <c r="F976" s="9"/>
      <c r="G976" s="5"/>
      <c r="H976" s="28" t="str">
        <f>IFERROR(IF(AND(COUNTIF(RegistroPago!$A$1:$A$2000,Consolidado!B976)&gt;0,INDEX(RegistroPago!$E$1:$E$2000,MATCH(Consolidado!B976,RegistroPago!$A$1:$A$2000,0))&lt;&gt;""),"PAGADA",IF(I976&lt;&gt;"","PENDIENTE","SIN EMITIR")),"")</f>
        <v/>
      </c>
      <c r="I976" s="10"/>
      <c r="J976" s="2"/>
      <c r="K976" s="29"/>
      <c r="L976" s="29"/>
    </row>
    <row r="977" spans="1:12" ht="15.75" x14ac:dyDescent="0.25">
      <c r="A977" s="5"/>
      <c r="B977" s="7"/>
      <c r="C977" s="5"/>
      <c r="D977" s="5"/>
      <c r="E977" s="8"/>
      <c r="F977" s="9"/>
      <c r="G977" s="5"/>
      <c r="H977" s="28" t="str">
        <f>IFERROR(IF(AND(COUNTIF(RegistroPago!$A$1:$A$2000,Consolidado!B977)&gt;0,INDEX(RegistroPago!$E$1:$E$2000,MATCH(Consolidado!B977,RegistroPago!$A$1:$A$2000,0))&lt;&gt;""),"PAGADA",IF(I977&lt;&gt;"","PENDIENTE","SIN EMITIR")),"")</f>
        <v/>
      </c>
      <c r="I977" s="10"/>
      <c r="J977" s="2"/>
      <c r="K977" s="29"/>
      <c r="L977" s="29"/>
    </row>
    <row r="978" spans="1:12" ht="15.75" x14ac:dyDescent="0.25">
      <c r="A978" s="5"/>
      <c r="B978" s="7"/>
      <c r="C978" s="5"/>
      <c r="D978" s="5"/>
      <c r="E978" s="8"/>
      <c r="F978" s="9"/>
      <c r="G978" s="5"/>
      <c r="H978" s="28" t="str">
        <f>IFERROR(IF(AND(COUNTIF(RegistroPago!$A$1:$A$2000,Consolidado!B978)&gt;0,INDEX(RegistroPago!$E$1:$E$2000,MATCH(Consolidado!B978,RegistroPago!$A$1:$A$2000,0))&lt;&gt;""),"PAGADA",IF(I978&lt;&gt;"","PENDIENTE","SIN EMITIR")),"")</f>
        <v/>
      </c>
      <c r="I978" s="10"/>
      <c r="J978" s="2"/>
      <c r="K978" s="29"/>
      <c r="L978" s="29"/>
    </row>
    <row r="979" spans="1:12" ht="15.75" x14ac:dyDescent="0.25">
      <c r="A979" s="5"/>
      <c r="B979" s="7"/>
      <c r="C979" s="5"/>
      <c r="D979" s="5"/>
      <c r="E979" s="8"/>
      <c r="F979" s="9"/>
      <c r="G979" s="5"/>
      <c r="H979" s="28" t="str">
        <f>IFERROR(IF(AND(COUNTIF(RegistroPago!$A$1:$A$2000,Consolidado!B979)&gt;0,INDEX(RegistroPago!$E$1:$E$2000,MATCH(Consolidado!B979,RegistroPago!$A$1:$A$2000,0))&lt;&gt;""),"PAGADA",IF(I979&lt;&gt;"","PENDIENTE","SIN EMITIR")),"")</f>
        <v/>
      </c>
      <c r="I979" s="10"/>
      <c r="J979" s="2"/>
      <c r="K979" s="29"/>
      <c r="L979" s="29"/>
    </row>
    <row r="980" spans="1:12" ht="15.75" x14ac:dyDescent="0.25">
      <c r="A980" s="5"/>
      <c r="B980" s="7"/>
      <c r="C980" s="5"/>
      <c r="D980" s="5"/>
      <c r="E980" s="8"/>
      <c r="F980" s="9"/>
      <c r="G980" s="5"/>
      <c r="H980" s="28" t="str">
        <f>IFERROR(IF(AND(COUNTIF(RegistroPago!$A$1:$A$2000,Consolidado!B980)&gt;0,INDEX(RegistroPago!$E$1:$E$2000,MATCH(Consolidado!B980,RegistroPago!$A$1:$A$2000,0))&lt;&gt;""),"PAGADA",IF(I980&lt;&gt;"","PENDIENTE","SIN EMITIR")),"")</f>
        <v/>
      </c>
      <c r="I980" s="10"/>
      <c r="J980" s="2"/>
      <c r="K980" s="29"/>
      <c r="L980" s="29"/>
    </row>
    <row r="981" spans="1:12" ht="15.75" x14ac:dyDescent="0.25">
      <c r="A981" s="5"/>
      <c r="B981" s="7"/>
      <c r="C981" s="5"/>
      <c r="D981" s="5"/>
      <c r="E981" s="8"/>
      <c r="F981" s="9"/>
      <c r="G981" s="5"/>
      <c r="H981" s="28" t="str">
        <f>IFERROR(IF(AND(COUNTIF(RegistroPago!$A$1:$A$2000,Consolidado!B981)&gt;0,INDEX(RegistroPago!$E$1:$E$2000,MATCH(Consolidado!B981,RegistroPago!$A$1:$A$2000,0))&lt;&gt;""),"PAGADA",IF(I981&lt;&gt;"","PENDIENTE","SIN EMITIR")),"")</f>
        <v/>
      </c>
      <c r="I981" s="10"/>
      <c r="J981" s="2"/>
      <c r="K981" s="29"/>
      <c r="L981" s="29"/>
    </row>
    <row r="982" spans="1:12" ht="15.75" x14ac:dyDescent="0.25">
      <c r="A982" s="5"/>
      <c r="B982" s="7"/>
      <c r="C982" s="5"/>
      <c r="D982" s="5"/>
      <c r="E982" s="8"/>
      <c r="F982" s="9"/>
      <c r="G982" s="5"/>
      <c r="H982" s="28" t="str">
        <f>IFERROR(IF(AND(COUNTIF(RegistroPago!$A$1:$A$2000,Consolidado!B982)&gt;0,INDEX(RegistroPago!$E$1:$E$2000,MATCH(Consolidado!B982,RegistroPago!$A$1:$A$2000,0))&lt;&gt;""),"PAGADA",IF(I982&lt;&gt;"","PENDIENTE","SIN EMITIR")),"")</f>
        <v/>
      </c>
      <c r="I982" s="10"/>
      <c r="J982" s="2"/>
      <c r="K982" s="29"/>
      <c r="L982" s="29"/>
    </row>
    <row r="983" spans="1:12" ht="15.75" x14ac:dyDescent="0.25">
      <c r="A983" s="5"/>
      <c r="B983" s="7"/>
      <c r="C983" s="5"/>
      <c r="D983" s="5"/>
      <c r="E983" s="8"/>
      <c r="F983" s="9"/>
      <c r="G983" s="5"/>
      <c r="H983" s="28" t="str">
        <f>IFERROR(IF(AND(COUNTIF(RegistroPago!$A$1:$A$2000,Consolidado!B983)&gt;0,INDEX(RegistroPago!$E$1:$E$2000,MATCH(Consolidado!B983,RegistroPago!$A$1:$A$2000,0))&lt;&gt;""),"PAGADA",IF(I983&lt;&gt;"","PENDIENTE","SIN EMITIR")),"")</f>
        <v/>
      </c>
      <c r="I983" s="10"/>
      <c r="J983" s="2"/>
      <c r="K983" s="29"/>
      <c r="L983" s="29"/>
    </row>
    <row r="984" spans="1:12" ht="15.75" x14ac:dyDescent="0.25">
      <c r="A984" s="5"/>
      <c r="B984" s="7"/>
      <c r="C984" s="5"/>
      <c r="D984" s="5"/>
      <c r="E984" s="8"/>
      <c r="F984" s="9"/>
      <c r="G984" s="5"/>
      <c r="H984" s="28" t="str">
        <f>IFERROR(IF(AND(COUNTIF(RegistroPago!$A$1:$A$2000,Consolidado!B984)&gt;0,INDEX(RegistroPago!$E$1:$E$2000,MATCH(Consolidado!B984,RegistroPago!$A$1:$A$2000,0))&lt;&gt;""),"PAGADA",IF(I984&lt;&gt;"","PENDIENTE","SIN EMITIR")),"")</f>
        <v/>
      </c>
      <c r="I984" s="10"/>
      <c r="J984" s="2"/>
      <c r="K984" s="29"/>
      <c r="L984" s="29"/>
    </row>
    <row r="985" spans="1:12" ht="15.75" x14ac:dyDescent="0.25">
      <c r="A985" s="5"/>
      <c r="B985" s="7"/>
      <c r="C985" s="5"/>
      <c r="D985" s="5"/>
      <c r="E985" s="8"/>
      <c r="F985" s="9"/>
      <c r="G985" s="5"/>
      <c r="H985" s="28" t="str">
        <f>IFERROR(IF(AND(COUNTIF(RegistroPago!$A$1:$A$2000,Consolidado!B985)&gt;0,INDEX(RegistroPago!$E$1:$E$2000,MATCH(Consolidado!B985,RegistroPago!$A$1:$A$2000,0))&lt;&gt;""),"PAGADA",IF(I985&lt;&gt;"","PENDIENTE","SIN EMITIR")),"")</f>
        <v/>
      </c>
      <c r="I985" s="10"/>
      <c r="J985" s="2"/>
      <c r="K985" s="29"/>
      <c r="L985" s="29"/>
    </row>
    <row r="986" spans="1:12" ht="15.75" x14ac:dyDescent="0.25">
      <c r="A986" s="5"/>
      <c r="B986" s="7"/>
      <c r="C986" s="5"/>
      <c r="D986" s="5"/>
      <c r="E986" s="8"/>
      <c r="F986" s="9"/>
      <c r="G986" s="5"/>
      <c r="H986" s="28" t="str">
        <f>IFERROR(IF(AND(COUNTIF(RegistroPago!$A$1:$A$2000,Consolidado!B986)&gt;0,INDEX(RegistroPago!$E$1:$E$2000,MATCH(Consolidado!B986,RegistroPago!$A$1:$A$2000,0))&lt;&gt;""),"PAGADA",IF(I986&lt;&gt;"","PENDIENTE","SIN EMITIR")),"")</f>
        <v/>
      </c>
      <c r="I986" s="10"/>
      <c r="J986" s="2"/>
      <c r="K986" s="29"/>
      <c r="L986" s="29"/>
    </row>
    <row r="987" spans="1:12" ht="15.75" x14ac:dyDescent="0.25">
      <c r="A987" s="5"/>
      <c r="B987" s="7"/>
      <c r="C987" s="5"/>
      <c r="D987" s="5"/>
      <c r="E987" s="8"/>
      <c r="F987" s="9"/>
      <c r="G987" s="5"/>
      <c r="H987" s="28" t="str">
        <f>IFERROR(IF(AND(COUNTIF(RegistroPago!$A$1:$A$2000,Consolidado!B987)&gt;0,INDEX(RegistroPago!$E$1:$E$2000,MATCH(Consolidado!B987,RegistroPago!$A$1:$A$2000,0))&lt;&gt;""),"PAGADA",IF(I987&lt;&gt;"","PENDIENTE","SIN EMITIR")),"")</f>
        <v/>
      </c>
      <c r="I987" s="10"/>
      <c r="J987" s="2"/>
      <c r="K987" s="29"/>
      <c r="L987" s="29"/>
    </row>
    <row r="988" spans="1:12" ht="15.75" x14ac:dyDescent="0.25">
      <c r="A988" s="5"/>
      <c r="B988" s="7"/>
      <c r="C988" s="5"/>
      <c r="D988" s="5"/>
      <c r="E988" s="8"/>
      <c r="F988" s="9"/>
      <c r="G988" s="5"/>
      <c r="H988" s="28" t="str">
        <f>IFERROR(IF(AND(COUNTIF(RegistroPago!$A$1:$A$2000,Consolidado!B988)&gt;0,INDEX(RegistroPago!$E$1:$E$2000,MATCH(Consolidado!B988,RegistroPago!$A$1:$A$2000,0))&lt;&gt;""),"PAGADA",IF(I988&lt;&gt;"","PENDIENTE","SIN EMITIR")),"")</f>
        <v/>
      </c>
      <c r="I988" s="10"/>
      <c r="J988" s="2"/>
      <c r="K988" s="29"/>
      <c r="L988" s="29"/>
    </row>
    <row r="989" spans="1:12" ht="15.75" x14ac:dyDescent="0.25">
      <c r="A989" s="5"/>
      <c r="B989" s="7"/>
      <c r="C989" s="5"/>
      <c r="D989" s="5"/>
      <c r="E989" s="8"/>
      <c r="F989" s="9"/>
      <c r="G989" s="5"/>
      <c r="H989" s="28" t="str">
        <f>IFERROR(IF(AND(COUNTIF(RegistroPago!$A$1:$A$2000,Consolidado!B989)&gt;0,INDEX(RegistroPago!$E$1:$E$2000,MATCH(Consolidado!B989,RegistroPago!$A$1:$A$2000,0))&lt;&gt;""),"PAGADA",IF(I989&lt;&gt;"","PENDIENTE","SIN EMITIR")),"")</f>
        <v/>
      </c>
      <c r="I989" s="10"/>
      <c r="J989" s="2"/>
      <c r="K989" s="29"/>
      <c r="L989" s="29"/>
    </row>
    <row r="990" spans="1:12" ht="15.75" x14ac:dyDescent="0.25">
      <c r="A990" s="5"/>
      <c r="B990" s="7"/>
      <c r="C990" s="5"/>
      <c r="D990" s="5"/>
      <c r="E990" s="8"/>
      <c r="F990" s="9"/>
      <c r="G990" s="5"/>
      <c r="H990" s="28" t="str">
        <f>IFERROR(IF(AND(COUNTIF(RegistroPago!$A$1:$A$2000,Consolidado!B990)&gt;0,INDEX(RegistroPago!$E$1:$E$2000,MATCH(Consolidado!B990,RegistroPago!$A$1:$A$2000,0))&lt;&gt;""),"PAGADA",IF(I990&lt;&gt;"","PENDIENTE","SIN EMITIR")),"")</f>
        <v/>
      </c>
      <c r="I990" s="10"/>
      <c r="J990" s="2"/>
      <c r="K990" s="29"/>
      <c r="L990" s="29"/>
    </row>
    <row r="991" spans="1:12" ht="15.75" x14ac:dyDescent="0.25">
      <c r="A991" s="5"/>
      <c r="B991" s="7"/>
      <c r="C991" s="5"/>
      <c r="D991" s="5"/>
      <c r="E991" s="8"/>
      <c r="F991" s="9"/>
      <c r="G991" s="5"/>
      <c r="H991" s="28" t="str">
        <f>IFERROR(IF(AND(COUNTIF(RegistroPago!$A$1:$A$2000,Consolidado!B991)&gt;0,INDEX(RegistroPago!$E$1:$E$2000,MATCH(Consolidado!B991,RegistroPago!$A$1:$A$2000,0))&lt;&gt;""),"PAGADA",IF(I991&lt;&gt;"","PENDIENTE","SIN EMITIR")),"")</f>
        <v/>
      </c>
      <c r="I991" s="10"/>
      <c r="J991" s="2"/>
      <c r="K991" s="29"/>
      <c r="L991" s="29"/>
    </row>
    <row r="992" spans="1:12" ht="15.75" x14ac:dyDescent="0.25">
      <c r="A992" s="5"/>
      <c r="B992" s="7"/>
      <c r="C992" s="5"/>
      <c r="D992" s="5"/>
      <c r="E992" s="8"/>
      <c r="F992" s="9"/>
      <c r="G992" s="5"/>
      <c r="H992" s="28" t="str">
        <f>IFERROR(IF(AND(COUNTIF(RegistroPago!$A$1:$A$2000,Consolidado!B992)&gt;0,INDEX(RegistroPago!$E$1:$E$2000,MATCH(Consolidado!B992,RegistroPago!$A$1:$A$2000,0))&lt;&gt;""),"PAGADA",IF(I992&lt;&gt;"","PENDIENTE","SIN EMITIR")),"")</f>
        <v/>
      </c>
      <c r="I992" s="10"/>
      <c r="J992" s="2"/>
      <c r="K992" s="29"/>
      <c r="L992" s="29"/>
    </row>
    <row r="993" spans="1:12" ht="15.75" x14ac:dyDescent="0.25">
      <c r="A993" s="5"/>
      <c r="B993" s="7"/>
      <c r="C993" s="5"/>
      <c r="D993" s="5"/>
      <c r="E993" s="8"/>
      <c r="F993" s="9"/>
      <c r="G993" s="5"/>
      <c r="H993" s="28" t="str">
        <f>IFERROR(IF(AND(COUNTIF(RegistroPago!$A$1:$A$2000,Consolidado!B993)&gt;0,INDEX(RegistroPago!$E$1:$E$2000,MATCH(Consolidado!B993,RegistroPago!$A$1:$A$2000,0))&lt;&gt;""),"PAGADA",IF(I993&lt;&gt;"","PENDIENTE","SIN EMITIR")),"")</f>
        <v/>
      </c>
      <c r="I993" s="10"/>
      <c r="J993" s="2"/>
      <c r="K993" s="29"/>
      <c r="L993" s="29"/>
    </row>
    <row r="994" spans="1:12" ht="15.75" x14ac:dyDescent="0.25">
      <c r="A994" s="5"/>
      <c r="B994" s="7"/>
      <c r="C994" s="5"/>
      <c r="D994" s="5"/>
      <c r="E994" s="8"/>
      <c r="F994" s="9"/>
      <c r="G994" s="5"/>
      <c r="H994" s="28" t="str">
        <f>IFERROR(IF(AND(COUNTIF(RegistroPago!$A$1:$A$2000,Consolidado!B994)&gt;0,INDEX(RegistroPago!$E$1:$E$2000,MATCH(Consolidado!B994,RegistroPago!$A$1:$A$2000,0))&lt;&gt;""),"PAGADA",IF(I994&lt;&gt;"","PENDIENTE","SIN EMITIR")),"")</f>
        <v/>
      </c>
      <c r="I994" s="10"/>
      <c r="J994" s="2"/>
      <c r="K994" s="29"/>
      <c r="L994" s="29"/>
    </row>
    <row r="995" spans="1:12" ht="15.75" x14ac:dyDescent="0.25">
      <c r="A995" s="5"/>
      <c r="B995" s="7"/>
      <c r="C995" s="5"/>
      <c r="D995" s="5"/>
      <c r="E995" s="8"/>
      <c r="F995" s="9"/>
      <c r="G995" s="5"/>
      <c r="H995" s="28" t="str">
        <f>IFERROR(IF(AND(COUNTIF(RegistroPago!$A$1:$A$2000,Consolidado!B995)&gt;0,INDEX(RegistroPago!$E$1:$E$2000,MATCH(Consolidado!B995,RegistroPago!$A$1:$A$2000,0))&lt;&gt;""),"PAGADA",IF(I995&lt;&gt;"","PENDIENTE","SIN EMITIR")),"")</f>
        <v/>
      </c>
      <c r="I995" s="10"/>
      <c r="J995" s="2"/>
      <c r="K995" s="29"/>
      <c r="L995" s="29"/>
    </row>
    <row r="996" spans="1:12" ht="15.75" x14ac:dyDescent="0.25">
      <c r="A996" s="5"/>
      <c r="B996" s="7"/>
      <c r="C996" s="5"/>
      <c r="D996" s="5"/>
      <c r="E996" s="8"/>
      <c r="F996" s="9"/>
      <c r="G996" s="5"/>
      <c r="H996" s="28" t="str">
        <f>IFERROR(IF(AND(COUNTIF(RegistroPago!$A$1:$A$2000,Consolidado!B996)&gt;0,INDEX(RegistroPago!$E$1:$E$2000,MATCH(Consolidado!B996,RegistroPago!$A$1:$A$2000,0))&lt;&gt;""),"PAGADA",IF(I996&lt;&gt;"","PENDIENTE","SIN EMITIR")),"")</f>
        <v/>
      </c>
      <c r="I996" s="10"/>
      <c r="J996" s="2"/>
      <c r="K996" s="29"/>
      <c r="L996" s="29"/>
    </row>
    <row r="997" spans="1:12" ht="15.75" x14ac:dyDescent="0.25">
      <c r="A997" s="5"/>
      <c r="B997" s="7"/>
      <c r="C997" s="5"/>
      <c r="D997" s="5"/>
      <c r="E997" s="8"/>
      <c r="F997" s="9"/>
      <c r="G997" s="5"/>
      <c r="H997" s="28" t="str">
        <f>IFERROR(IF(AND(COUNTIF(RegistroPago!$A$1:$A$2000,Consolidado!B997)&gt;0,INDEX(RegistroPago!$E$1:$E$2000,MATCH(Consolidado!B997,RegistroPago!$A$1:$A$2000,0))&lt;&gt;""),"PAGADA",IF(I997&lt;&gt;"","PENDIENTE","SIN EMITIR")),"")</f>
        <v/>
      </c>
      <c r="I997" s="10"/>
      <c r="J997" s="2"/>
      <c r="K997" s="29"/>
      <c r="L997" s="29"/>
    </row>
    <row r="998" spans="1:12" ht="15.75" x14ac:dyDescent="0.25">
      <c r="A998" s="5"/>
      <c r="B998" s="7"/>
      <c r="C998" s="5"/>
      <c r="D998" s="5"/>
      <c r="E998" s="8"/>
      <c r="F998" s="9"/>
      <c r="G998" s="5"/>
      <c r="H998" s="28" t="str">
        <f>IFERROR(IF(AND(COUNTIF(RegistroPago!$A$1:$A$2000,Consolidado!B998)&gt;0,INDEX(RegistroPago!$E$1:$E$2000,MATCH(Consolidado!B998,RegistroPago!$A$1:$A$2000,0))&lt;&gt;""),"PAGADA",IF(I998&lt;&gt;"","PENDIENTE","SIN EMITIR")),"")</f>
        <v/>
      </c>
      <c r="I998" s="10"/>
      <c r="J998" s="2"/>
      <c r="K998" s="29"/>
      <c r="L998" s="29"/>
    </row>
    <row r="999" spans="1:12" ht="15.75" x14ac:dyDescent="0.25">
      <c r="A999" s="5"/>
      <c r="B999" s="7"/>
      <c r="C999" s="5"/>
      <c r="D999" s="5"/>
      <c r="E999" s="8"/>
      <c r="F999" s="9"/>
      <c r="G999" s="5"/>
      <c r="H999" s="28" t="str">
        <f>IFERROR(IF(AND(COUNTIF(RegistroPago!$A$1:$A$2000,Consolidado!B999)&gt;0,INDEX(RegistroPago!$E$1:$E$2000,MATCH(Consolidado!B999,RegistroPago!$A$1:$A$2000,0))&lt;&gt;""),"PAGADA",IF(I999&lt;&gt;"","PENDIENTE","SIN EMITIR")),"")</f>
        <v/>
      </c>
      <c r="I999" s="10"/>
      <c r="J999" s="2"/>
      <c r="K999" s="29"/>
      <c r="L999" s="29"/>
    </row>
    <row r="1000" spans="1:12" ht="15.75" x14ac:dyDescent="0.25">
      <c r="A1000" s="5"/>
      <c r="B1000" s="7"/>
      <c r="C1000" s="5"/>
      <c r="D1000" s="5"/>
      <c r="E1000" s="8"/>
      <c r="F1000" s="9"/>
      <c r="G1000" s="5"/>
      <c r="H1000" s="28" t="str">
        <f>IFERROR(IF(AND(COUNTIF(RegistroPago!$A$1:$A$2000,Consolidado!B1000)&gt;0,INDEX(RegistroPago!$E$1:$E$2000,MATCH(Consolidado!B1000,RegistroPago!$A$1:$A$2000,0))&lt;&gt;""),"PAGADA",IF(I1000&lt;&gt;"","PENDIENTE","SIN EMITIR")),"")</f>
        <v/>
      </c>
      <c r="I1000" s="10"/>
      <c r="J1000" s="2"/>
      <c r="K1000" s="29"/>
      <c r="L1000" s="29"/>
    </row>
    <row r="1001" spans="1:12" ht="15.75" x14ac:dyDescent="0.25">
      <c r="A1001" s="5"/>
      <c r="B1001" s="7"/>
      <c r="C1001" s="5"/>
      <c r="D1001" s="5"/>
      <c r="E1001" s="8"/>
      <c r="F1001" s="9"/>
      <c r="G1001" s="5"/>
      <c r="H1001" s="28" t="str">
        <f>IFERROR(IF(AND(COUNTIF(RegistroPago!$A$1:$A$2000,Consolidado!B1001)&gt;0,INDEX(RegistroPago!$E$1:$E$2000,MATCH(Consolidado!B1001,RegistroPago!$A$1:$A$2000,0))&lt;&gt;""),"PAGADA",IF(I1001&lt;&gt;"","PENDIENTE","SIN EMITIR")),"")</f>
        <v/>
      </c>
      <c r="I1001" s="10"/>
      <c r="J1001" s="2"/>
      <c r="K1001" s="29"/>
      <c r="L1001" s="29"/>
    </row>
    <row r="1002" spans="1:12" ht="15.75" x14ac:dyDescent="0.25">
      <c r="A1002" s="5"/>
      <c r="B1002" s="7"/>
      <c r="C1002" s="5"/>
      <c r="D1002" s="5"/>
      <c r="E1002" s="8"/>
      <c r="F1002" s="9"/>
      <c r="G1002" s="5"/>
      <c r="H1002" s="28" t="str">
        <f>IFERROR(IF(AND(COUNTIF(RegistroPago!$A$1:$A$2000,Consolidado!B1002)&gt;0,INDEX(RegistroPago!$E$1:$E$2000,MATCH(Consolidado!B1002,RegistroPago!$A$1:$A$2000,0))&lt;&gt;""),"PAGADA",IF(I1002&lt;&gt;"","PENDIENTE","SIN EMITIR")),"")</f>
        <v/>
      </c>
      <c r="I1002" s="10"/>
      <c r="J1002" s="2"/>
      <c r="K1002" s="29"/>
      <c r="L1002" s="29"/>
    </row>
    <row r="1003" spans="1:12" ht="15.75" x14ac:dyDescent="0.25">
      <c r="A1003" s="5"/>
      <c r="B1003" s="7"/>
      <c r="C1003" s="5"/>
      <c r="D1003" s="5"/>
      <c r="E1003" s="8"/>
      <c r="F1003" s="9"/>
      <c r="G1003" s="5"/>
      <c r="H1003" s="28" t="str">
        <f>IFERROR(IF(AND(COUNTIF(RegistroPago!$A$1:$A$2000,Consolidado!B1003)&gt;0,INDEX(RegistroPago!$E$1:$E$2000,MATCH(Consolidado!B1003,RegistroPago!$A$1:$A$2000,0))&lt;&gt;""),"PAGADA",IF(I1003&lt;&gt;"","PENDIENTE","SIN EMITIR")),"")</f>
        <v/>
      </c>
      <c r="I1003" s="10"/>
      <c r="J1003" s="2"/>
      <c r="K1003" s="29"/>
      <c r="L1003" s="29"/>
    </row>
    <row r="1004" spans="1:12" ht="15.75" x14ac:dyDescent="0.25">
      <c r="A1004" s="5"/>
      <c r="B1004" s="7"/>
      <c r="C1004" s="5"/>
      <c r="D1004" s="5"/>
      <c r="E1004" s="8"/>
      <c r="F1004" s="9"/>
      <c r="G1004" s="5"/>
      <c r="H1004" s="28" t="str">
        <f>IFERROR(IF(AND(COUNTIF(RegistroPago!$A$1:$A$2000,Consolidado!B1004)&gt;0,INDEX(RegistroPago!$E$1:$E$2000,MATCH(Consolidado!B1004,RegistroPago!$A$1:$A$2000,0))&lt;&gt;""),"PAGADA",IF(I1004&lt;&gt;"","PENDIENTE","SIN EMITIR")),"")</f>
        <v/>
      </c>
      <c r="I1004" s="10"/>
      <c r="J1004" s="2"/>
      <c r="K1004" s="29"/>
      <c r="L1004" s="29"/>
    </row>
    <row r="1005" spans="1:12" ht="15.75" x14ac:dyDescent="0.25">
      <c r="A1005" s="5"/>
      <c r="B1005" s="7"/>
      <c r="C1005" s="5"/>
      <c r="D1005" s="5"/>
      <c r="E1005" s="8"/>
      <c r="F1005" s="9"/>
      <c r="G1005" s="5"/>
      <c r="H1005" s="28" t="str">
        <f>IFERROR(IF(AND(COUNTIF(RegistroPago!$A$1:$A$2000,Consolidado!B1005)&gt;0,INDEX(RegistroPago!$E$1:$E$2000,MATCH(Consolidado!B1005,RegistroPago!$A$1:$A$2000,0))&lt;&gt;""),"PAGADA",IF(I1005&lt;&gt;"","PENDIENTE","SIN EMITIR")),"")</f>
        <v/>
      </c>
      <c r="I1005" s="10"/>
      <c r="J1005" s="2"/>
      <c r="K1005" s="29"/>
      <c r="L1005" s="29"/>
    </row>
    <row r="1006" spans="1:12" ht="15.75" x14ac:dyDescent="0.25">
      <c r="A1006" s="5"/>
      <c r="B1006" s="7"/>
      <c r="C1006" s="5"/>
      <c r="D1006" s="5"/>
      <c r="E1006" s="8"/>
      <c r="F1006" s="9"/>
      <c r="G1006" s="5"/>
      <c r="H1006" s="28" t="str">
        <f>IFERROR(IF(AND(COUNTIF(RegistroPago!$A$1:$A$2000,Consolidado!B1006)&gt;0,INDEX(RegistroPago!$E$1:$E$2000,MATCH(Consolidado!B1006,RegistroPago!$A$1:$A$2000,0))&lt;&gt;""),"PAGADA",IF(I1006&lt;&gt;"","PENDIENTE","SIN EMITIR")),"")</f>
        <v/>
      </c>
      <c r="I1006" s="10"/>
      <c r="J1006" s="2"/>
      <c r="K1006" s="29"/>
      <c r="L1006" s="29"/>
    </row>
    <row r="1007" spans="1:12" ht="15.75" x14ac:dyDescent="0.25">
      <c r="A1007" s="5"/>
      <c r="B1007" s="7"/>
      <c r="C1007" s="5"/>
      <c r="D1007" s="5"/>
      <c r="E1007" s="8"/>
      <c r="F1007" s="9"/>
      <c r="G1007" s="5"/>
      <c r="H1007" s="28" t="str">
        <f>IFERROR(IF(AND(COUNTIF(RegistroPago!$A$1:$A$2000,Consolidado!B1007)&gt;0,INDEX(RegistroPago!$E$1:$E$2000,MATCH(Consolidado!B1007,RegistroPago!$A$1:$A$2000,0))&lt;&gt;""),"PAGADA",IF(I1007&lt;&gt;"","PENDIENTE","SIN EMITIR")),"")</f>
        <v/>
      </c>
      <c r="I1007" s="10"/>
      <c r="J1007" s="2"/>
      <c r="K1007" s="29"/>
      <c r="L1007" s="29"/>
    </row>
    <row r="1008" spans="1:12" ht="15.75" x14ac:dyDescent="0.25">
      <c r="A1008" s="5"/>
      <c r="B1008" s="7"/>
      <c r="C1008" s="5"/>
      <c r="D1008" s="5"/>
      <c r="E1008" s="8"/>
      <c r="F1008" s="9"/>
      <c r="G1008" s="5"/>
      <c r="H1008" s="28" t="str">
        <f>IFERROR(IF(AND(COUNTIF(RegistroPago!$A$1:$A$2000,Consolidado!B1008)&gt;0,INDEX(RegistroPago!$E$1:$E$2000,MATCH(Consolidado!B1008,RegistroPago!$A$1:$A$2000,0))&lt;&gt;""),"PAGADA",IF(I1008&lt;&gt;"","PENDIENTE","SIN EMITIR")),"")</f>
        <v/>
      </c>
      <c r="I1008" s="10"/>
      <c r="J1008" s="2"/>
      <c r="K1008" s="29"/>
      <c r="L1008" s="29"/>
    </row>
    <row r="1009" spans="1:12" ht="15.75" x14ac:dyDescent="0.25">
      <c r="A1009" s="5"/>
      <c r="B1009" s="7"/>
      <c r="C1009" s="5"/>
      <c r="D1009" s="5"/>
      <c r="E1009" s="8"/>
      <c r="F1009" s="9"/>
      <c r="G1009" s="5"/>
      <c r="H1009" s="28" t="str">
        <f>IFERROR(IF(AND(COUNTIF(RegistroPago!$A$1:$A$2000,Consolidado!B1009)&gt;0,INDEX(RegistroPago!$E$1:$E$2000,MATCH(Consolidado!B1009,RegistroPago!$A$1:$A$2000,0))&lt;&gt;""),"PAGADA",IF(I1009&lt;&gt;"","PENDIENTE","SIN EMITIR")),"")</f>
        <v/>
      </c>
      <c r="I1009" s="10"/>
      <c r="J1009" s="2"/>
      <c r="K1009" s="29"/>
      <c r="L1009" s="29"/>
    </row>
    <row r="1010" spans="1:12" ht="15.75" x14ac:dyDescent="0.25">
      <c r="A1010" s="5"/>
      <c r="B1010" s="7"/>
      <c r="C1010" s="5"/>
      <c r="D1010" s="5"/>
      <c r="E1010" s="8"/>
      <c r="F1010" s="9"/>
      <c r="G1010" s="5"/>
      <c r="H1010" s="28" t="str">
        <f>IFERROR(IF(AND(COUNTIF(RegistroPago!$A$1:$A$2000,Consolidado!B1010)&gt;0,INDEX(RegistroPago!$E$1:$E$2000,MATCH(Consolidado!B1010,RegistroPago!$A$1:$A$2000,0))&lt;&gt;""),"PAGADA",IF(I1010&lt;&gt;"","PENDIENTE","SIN EMITIR")),"")</f>
        <v/>
      </c>
      <c r="I1010" s="10"/>
      <c r="J1010" s="2"/>
      <c r="K1010" s="29"/>
      <c r="L1010" s="29"/>
    </row>
    <row r="1011" spans="1:12" ht="15.75" x14ac:dyDescent="0.25">
      <c r="A1011" s="5"/>
      <c r="B1011" s="7"/>
      <c r="C1011" s="5"/>
      <c r="D1011" s="5"/>
      <c r="E1011" s="8"/>
      <c r="F1011" s="9"/>
      <c r="G1011" s="5"/>
      <c r="H1011" s="28" t="str">
        <f>IFERROR(IF(AND(COUNTIF(RegistroPago!$A$1:$A$2000,Consolidado!B1011)&gt;0,INDEX(RegistroPago!$E$1:$E$2000,MATCH(Consolidado!B1011,RegistroPago!$A$1:$A$2000,0))&lt;&gt;""),"PAGADA",IF(I1011&lt;&gt;"","PENDIENTE","SIN EMITIR")),"")</f>
        <v/>
      </c>
      <c r="I1011" s="10"/>
      <c r="J1011" s="2"/>
      <c r="K1011" s="29"/>
      <c r="L1011" s="29"/>
    </row>
    <row r="1012" spans="1:12" ht="15.75" x14ac:dyDescent="0.25">
      <c r="A1012" s="5"/>
      <c r="B1012" s="7"/>
      <c r="C1012" s="5"/>
      <c r="D1012" s="5"/>
      <c r="E1012" s="8"/>
      <c r="F1012" s="9"/>
      <c r="G1012" s="5"/>
      <c r="H1012" s="28" t="str">
        <f>IFERROR(IF(AND(COUNTIF(RegistroPago!$A$1:$A$2000,Consolidado!B1012)&gt;0,INDEX(RegistroPago!$E$1:$E$2000,MATCH(Consolidado!B1012,RegistroPago!$A$1:$A$2000,0))&lt;&gt;""),"PAGADA",IF(I1012&lt;&gt;"","PENDIENTE","SIN EMITIR")),"")</f>
        <v/>
      </c>
      <c r="I1012" s="10"/>
      <c r="J1012" s="2"/>
      <c r="K1012" s="29"/>
      <c r="L1012" s="29"/>
    </row>
    <row r="1013" spans="1:12" ht="15.75" x14ac:dyDescent="0.25">
      <c r="A1013" s="5"/>
      <c r="B1013" s="7"/>
      <c r="C1013" s="5"/>
      <c r="D1013" s="5"/>
      <c r="E1013" s="8"/>
      <c r="F1013" s="9"/>
      <c r="G1013" s="5"/>
      <c r="H1013" s="28" t="str">
        <f>IFERROR(IF(AND(COUNTIF(RegistroPago!$A$1:$A$2000,Consolidado!B1013)&gt;0,INDEX(RegistroPago!$E$1:$E$2000,MATCH(Consolidado!B1013,RegistroPago!$A$1:$A$2000,0))&lt;&gt;""),"PAGADA",IF(I1013&lt;&gt;"","PENDIENTE","SIN EMITIR")),"")</f>
        <v/>
      </c>
      <c r="I1013" s="10"/>
      <c r="J1013" s="2"/>
      <c r="K1013" s="29"/>
      <c r="L1013" s="29"/>
    </row>
    <row r="1014" spans="1:12" ht="15.75" x14ac:dyDescent="0.25">
      <c r="A1014" s="5"/>
      <c r="B1014" s="7"/>
      <c r="C1014" s="5"/>
      <c r="D1014" s="5"/>
      <c r="E1014" s="8"/>
      <c r="F1014" s="9"/>
      <c r="G1014" s="5"/>
      <c r="H1014" s="28" t="str">
        <f>IFERROR(IF(AND(COUNTIF(RegistroPago!$A$1:$A$2000,Consolidado!B1014)&gt;0,INDEX(RegistroPago!$E$1:$E$2000,MATCH(Consolidado!B1014,RegistroPago!$A$1:$A$2000,0))&lt;&gt;""),"PAGADA",IF(I1014&lt;&gt;"","PENDIENTE","SIN EMITIR")),"")</f>
        <v/>
      </c>
      <c r="I1014" s="10"/>
      <c r="J1014" s="2"/>
      <c r="K1014" s="29"/>
      <c r="L1014" s="29"/>
    </row>
    <row r="1015" spans="1:12" ht="15.75" x14ac:dyDescent="0.25">
      <c r="A1015" s="5"/>
      <c r="B1015" s="7"/>
      <c r="C1015" s="5"/>
      <c r="D1015" s="5"/>
      <c r="E1015" s="8"/>
      <c r="F1015" s="9"/>
      <c r="G1015" s="5"/>
      <c r="H1015" s="28" t="str">
        <f>IFERROR(IF(AND(COUNTIF(RegistroPago!$A$1:$A$2000,Consolidado!B1015)&gt;0,INDEX(RegistroPago!$E$1:$E$2000,MATCH(Consolidado!B1015,RegistroPago!$A$1:$A$2000,0))&lt;&gt;""),"PAGADA",IF(I1015&lt;&gt;"","PENDIENTE","SIN EMITIR")),"")</f>
        <v/>
      </c>
      <c r="I1015" s="10"/>
      <c r="J1015" s="2"/>
      <c r="K1015" s="29"/>
      <c r="L1015" s="29"/>
    </row>
    <row r="1016" spans="1:12" ht="15.75" x14ac:dyDescent="0.25">
      <c r="A1016" s="5"/>
      <c r="B1016" s="7"/>
      <c r="C1016" s="5"/>
      <c r="D1016" s="5"/>
      <c r="E1016" s="8"/>
      <c r="F1016" s="9"/>
      <c r="G1016" s="5"/>
      <c r="H1016" s="28" t="str">
        <f>IFERROR(IF(AND(COUNTIF(RegistroPago!$A$1:$A$2000,Consolidado!B1016)&gt;0,INDEX(RegistroPago!$E$1:$E$2000,MATCH(Consolidado!B1016,RegistroPago!$A$1:$A$2000,0))&lt;&gt;""),"PAGADA",IF(I1016&lt;&gt;"","PENDIENTE","SIN EMITIR")),"")</f>
        <v/>
      </c>
      <c r="I1016" s="10"/>
      <c r="J1016" s="2"/>
      <c r="K1016" s="29"/>
      <c r="L1016" s="29"/>
    </row>
    <row r="1017" spans="1:12" ht="15.75" x14ac:dyDescent="0.25">
      <c r="A1017" s="5"/>
      <c r="B1017" s="7"/>
      <c r="C1017" s="5"/>
      <c r="D1017" s="5"/>
      <c r="E1017" s="8"/>
      <c r="F1017" s="9"/>
      <c r="G1017" s="5"/>
      <c r="H1017" s="28" t="str">
        <f>IFERROR(IF(AND(COUNTIF(RegistroPago!$A$1:$A$2000,Consolidado!B1017)&gt;0,INDEX(RegistroPago!$E$1:$E$2000,MATCH(Consolidado!B1017,RegistroPago!$A$1:$A$2000,0))&lt;&gt;""),"PAGADA",IF(I1017&lt;&gt;"","PENDIENTE","SIN EMITIR")),"")</f>
        <v/>
      </c>
      <c r="I1017" s="10"/>
      <c r="J1017" s="2"/>
      <c r="K1017" s="29"/>
      <c r="L1017" s="29"/>
    </row>
    <row r="1018" spans="1:12" ht="15.75" x14ac:dyDescent="0.25">
      <c r="A1018" s="5"/>
      <c r="B1018" s="7"/>
      <c r="C1018" s="5"/>
      <c r="D1018" s="5"/>
      <c r="E1018" s="8"/>
      <c r="F1018" s="9"/>
      <c r="G1018" s="5"/>
      <c r="H1018" s="28" t="str">
        <f>IFERROR(IF(AND(COUNTIF(RegistroPago!$A$1:$A$2000,Consolidado!B1018)&gt;0,INDEX(RegistroPago!$E$1:$E$2000,MATCH(Consolidado!B1018,RegistroPago!$A$1:$A$2000,0))&lt;&gt;""),"PAGADA",IF(I1018&lt;&gt;"","PENDIENTE","SIN EMITIR")),"")</f>
        <v/>
      </c>
      <c r="I1018" s="10"/>
      <c r="J1018" s="2"/>
      <c r="K1018" s="29"/>
      <c r="L1018" s="29"/>
    </row>
    <row r="1019" spans="1:12" ht="15.75" x14ac:dyDescent="0.25">
      <c r="A1019" s="5"/>
      <c r="B1019" s="7"/>
      <c r="C1019" s="5"/>
      <c r="D1019" s="5"/>
      <c r="E1019" s="8"/>
      <c r="F1019" s="9"/>
      <c r="G1019" s="5"/>
      <c r="H1019" s="28" t="str">
        <f>IFERROR(IF(AND(COUNTIF(RegistroPago!$A$1:$A$2000,Consolidado!B1019)&gt;0,INDEX(RegistroPago!$E$1:$E$2000,MATCH(Consolidado!B1019,RegistroPago!$A$1:$A$2000,0))&lt;&gt;""),"PAGADA",IF(I1019&lt;&gt;"","PENDIENTE","SIN EMITIR")),"")</f>
        <v/>
      </c>
      <c r="I1019" s="10"/>
      <c r="J1019" s="2"/>
      <c r="K1019" s="29"/>
      <c r="L1019" s="29"/>
    </row>
    <row r="1020" spans="1:12" ht="15.75" x14ac:dyDescent="0.25">
      <c r="A1020" s="5"/>
      <c r="B1020" s="7"/>
      <c r="C1020" s="5"/>
      <c r="D1020" s="5"/>
      <c r="E1020" s="8"/>
      <c r="F1020" s="9"/>
      <c r="G1020" s="5"/>
      <c r="H1020" s="28" t="str">
        <f>IFERROR(IF(AND(COUNTIF(RegistroPago!$A$1:$A$2000,Consolidado!B1020)&gt;0,INDEX(RegistroPago!$E$1:$E$2000,MATCH(Consolidado!B1020,RegistroPago!$A$1:$A$2000,0))&lt;&gt;""),"PAGADA",IF(I1020&lt;&gt;"","PENDIENTE","SIN EMITIR")),"")</f>
        <v/>
      </c>
      <c r="I1020" s="10"/>
      <c r="J1020" s="2"/>
      <c r="K1020" s="29"/>
      <c r="L1020" s="29"/>
    </row>
    <row r="1021" spans="1:12" ht="15.75" x14ac:dyDescent="0.25">
      <c r="A1021" s="5"/>
      <c r="B1021" s="7"/>
      <c r="C1021" s="5"/>
      <c r="D1021" s="5"/>
      <c r="E1021" s="8"/>
      <c r="F1021" s="9"/>
      <c r="G1021" s="5"/>
      <c r="H1021" s="28" t="str">
        <f>IFERROR(IF(AND(COUNTIF(RegistroPago!$A$1:$A$2000,Consolidado!B1021)&gt;0,INDEX(RegistroPago!$E$1:$E$2000,MATCH(Consolidado!B1021,RegistroPago!$A$1:$A$2000,0))&lt;&gt;""),"PAGADA",IF(I1021&lt;&gt;"","PENDIENTE","SIN EMITIR")),"")</f>
        <v/>
      </c>
      <c r="I1021" s="10"/>
      <c r="J1021" s="2"/>
      <c r="K1021" s="29"/>
      <c r="L1021" s="29"/>
    </row>
    <row r="1022" spans="1:12" ht="15.75" x14ac:dyDescent="0.25">
      <c r="A1022" s="5"/>
      <c r="B1022" s="7"/>
      <c r="C1022" s="5"/>
      <c r="D1022" s="5"/>
      <c r="E1022" s="8"/>
      <c r="F1022" s="9"/>
      <c r="G1022" s="5"/>
      <c r="H1022" s="28" t="str">
        <f>IFERROR(IF(AND(COUNTIF(RegistroPago!$A$1:$A$2000,Consolidado!B1022)&gt;0,INDEX(RegistroPago!$E$1:$E$2000,MATCH(Consolidado!B1022,RegistroPago!$A$1:$A$2000,0))&lt;&gt;""),"PAGADA",IF(I1022&lt;&gt;"","PENDIENTE","SIN EMITIR")),"")</f>
        <v/>
      </c>
      <c r="I1022" s="10"/>
      <c r="J1022" s="2"/>
      <c r="K1022" s="29"/>
      <c r="L1022" s="29"/>
    </row>
    <row r="1023" spans="1:12" ht="15.75" x14ac:dyDescent="0.25">
      <c r="A1023" s="5"/>
      <c r="B1023" s="7"/>
      <c r="C1023" s="5"/>
      <c r="D1023" s="5"/>
      <c r="E1023" s="8"/>
      <c r="F1023" s="9"/>
      <c r="G1023" s="5"/>
      <c r="H1023" s="28" t="str">
        <f>IFERROR(IF(AND(COUNTIF(RegistroPago!$A$1:$A$2000,Consolidado!B1023)&gt;0,INDEX(RegistroPago!$E$1:$E$2000,MATCH(Consolidado!B1023,RegistroPago!$A$1:$A$2000,0))&lt;&gt;""),"PAGADA",IF(I1023&lt;&gt;"","PENDIENTE","SIN EMITIR")),"")</f>
        <v/>
      </c>
      <c r="I1023" s="10"/>
      <c r="J1023" s="2"/>
      <c r="K1023" s="29"/>
      <c r="L1023" s="29"/>
    </row>
    <row r="1024" spans="1:12" ht="15.75" x14ac:dyDescent="0.25">
      <c r="A1024" s="5"/>
      <c r="B1024" s="7"/>
      <c r="C1024" s="5"/>
      <c r="D1024" s="5"/>
      <c r="E1024" s="8"/>
      <c r="F1024" s="9"/>
      <c r="G1024" s="5"/>
      <c r="H1024" s="28" t="str">
        <f>IFERROR(IF(AND(COUNTIF(RegistroPago!$A$1:$A$2000,Consolidado!B1024)&gt;0,INDEX(RegistroPago!$E$1:$E$2000,MATCH(Consolidado!B1024,RegistroPago!$A$1:$A$2000,0))&lt;&gt;""),"PAGADA",IF(I1024&lt;&gt;"","PENDIENTE","SIN EMITIR")),"")</f>
        <v/>
      </c>
      <c r="I1024" s="10"/>
      <c r="J1024" s="2"/>
      <c r="K1024" s="29"/>
      <c r="L1024" s="29"/>
    </row>
    <row r="1025" spans="1:12" ht="15.75" x14ac:dyDescent="0.25">
      <c r="A1025" s="5"/>
      <c r="B1025" s="7"/>
      <c r="C1025" s="5"/>
      <c r="D1025" s="5"/>
      <c r="E1025" s="8"/>
      <c r="F1025" s="9"/>
      <c r="G1025" s="5"/>
      <c r="H1025" s="28" t="str">
        <f>IFERROR(IF(AND(COUNTIF(RegistroPago!$A$1:$A$2000,Consolidado!B1025)&gt;0,INDEX(RegistroPago!$E$1:$E$2000,MATCH(Consolidado!B1025,RegistroPago!$A$1:$A$2000,0))&lt;&gt;""),"PAGADA",IF(I1025&lt;&gt;"","PENDIENTE","SIN EMITIR")),"")</f>
        <v/>
      </c>
      <c r="I1025" s="10"/>
      <c r="J1025" s="2"/>
      <c r="K1025" s="29"/>
      <c r="L1025" s="29"/>
    </row>
    <row r="1026" spans="1:12" ht="15.75" x14ac:dyDescent="0.25">
      <c r="A1026" s="5"/>
      <c r="B1026" s="7"/>
      <c r="C1026" s="5"/>
      <c r="D1026" s="5"/>
      <c r="E1026" s="8"/>
      <c r="F1026" s="9"/>
      <c r="G1026" s="5"/>
      <c r="H1026" s="28" t="str">
        <f>IFERROR(IF(AND(COUNTIF(RegistroPago!$A$1:$A$2000,Consolidado!B1026)&gt;0,INDEX(RegistroPago!$E$1:$E$2000,MATCH(Consolidado!B1026,RegistroPago!$A$1:$A$2000,0))&lt;&gt;""),"PAGADA",IF(I1026&lt;&gt;"","PENDIENTE","SIN EMITIR")),"")</f>
        <v/>
      </c>
      <c r="I1026" s="10"/>
      <c r="J1026" s="2"/>
      <c r="K1026" s="29"/>
      <c r="L1026" s="29"/>
    </row>
    <row r="1027" spans="1:12" ht="15.75" x14ac:dyDescent="0.25">
      <c r="A1027" s="5"/>
      <c r="B1027" s="7"/>
      <c r="C1027" s="5"/>
      <c r="D1027" s="5"/>
      <c r="E1027" s="8"/>
      <c r="F1027" s="9"/>
      <c r="G1027" s="5"/>
      <c r="H1027" s="28" t="str">
        <f>IFERROR(IF(AND(COUNTIF(RegistroPago!$A$1:$A$2000,Consolidado!B1027)&gt;0,INDEX(RegistroPago!$E$1:$E$2000,MATCH(Consolidado!B1027,RegistroPago!$A$1:$A$2000,0))&lt;&gt;""),"PAGADA",IF(I1027&lt;&gt;"","PENDIENTE","SIN EMITIR")),"")</f>
        <v/>
      </c>
      <c r="I1027" s="10"/>
      <c r="J1027" s="2"/>
      <c r="K1027" s="29"/>
      <c r="L1027" s="29"/>
    </row>
    <row r="1028" spans="1:12" ht="15.75" x14ac:dyDescent="0.25">
      <c r="A1028" s="5"/>
      <c r="B1028" s="7"/>
      <c r="C1028" s="5"/>
      <c r="D1028" s="5"/>
      <c r="E1028" s="8"/>
      <c r="F1028" s="9"/>
      <c r="G1028" s="5"/>
      <c r="H1028" s="28" t="str">
        <f>IFERROR(IF(AND(COUNTIF(RegistroPago!$A$1:$A$2000,Consolidado!B1028)&gt;0,INDEX(RegistroPago!$E$1:$E$2000,MATCH(Consolidado!B1028,RegistroPago!$A$1:$A$2000,0))&lt;&gt;""),"PAGADA",IF(I1028&lt;&gt;"","PENDIENTE","SIN EMITIR")),"")</f>
        <v/>
      </c>
      <c r="I1028" s="10"/>
      <c r="J1028" s="2"/>
      <c r="K1028" s="29"/>
      <c r="L1028" s="29"/>
    </row>
    <row r="1029" spans="1:12" ht="15.75" x14ac:dyDescent="0.25">
      <c r="A1029" s="5"/>
      <c r="B1029" s="7"/>
      <c r="C1029" s="5"/>
      <c r="D1029" s="5"/>
      <c r="E1029" s="8"/>
      <c r="F1029" s="9"/>
      <c r="G1029" s="5"/>
      <c r="H1029" s="28" t="str">
        <f>IFERROR(IF(AND(COUNTIF(RegistroPago!$A$1:$A$2000,Consolidado!B1029)&gt;0,INDEX(RegistroPago!$E$1:$E$2000,MATCH(Consolidado!B1029,RegistroPago!$A$1:$A$2000,0))&lt;&gt;""),"PAGADA",IF(I1029&lt;&gt;"","PENDIENTE","SIN EMITIR")),"")</f>
        <v/>
      </c>
      <c r="I1029" s="10"/>
      <c r="J1029" s="2"/>
      <c r="K1029" s="29"/>
      <c r="L1029" s="29"/>
    </row>
    <row r="1030" spans="1:12" ht="15.75" x14ac:dyDescent="0.25">
      <c r="A1030" s="5"/>
      <c r="B1030" s="7"/>
      <c r="C1030" s="5"/>
      <c r="D1030" s="5"/>
      <c r="E1030" s="8"/>
      <c r="F1030" s="9"/>
      <c r="G1030" s="5"/>
      <c r="H1030" s="28" t="str">
        <f>IFERROR(IF(AND(COUNTIF(RegistroPago!$A$1:$A$2000,Consolidado!B1030)&gt;0,INDEX(RegistroPago!$E$1:$E$2000,MATCH(Consolidado!B1030,RegistroPago!$A$1:$A$2000,0))&lt;&gt;""),"PAGADA",IF(I1030&lt;&gt;"","PENDIENTE","SIN EMITIR")),"")</f>
        <v/>
      </c>
      <c r="I1030" s="10"/>
      <c r="J1030" s="2"/>
      <c r="K1030" s="29"/>
      <c r="L1030" s="29"/>
    </row>
    <row r="1031" spans="1:12" ht="15.75" x14ac:dyDescent="0.25">
      <c r="A1031" s="5"/>
      <c r="B1031" s="7"/>
      <c r="C1031" s="5"/>
      <c r="D1031" s="5"/>
      <c r="E1031" s="8"/>
      <c r="F1031" s="9"/>
      <c r="G1031" s="5"/>
      <c r="H1031" s="28" t="str">
        <f>IFERROR(IF(AND(COUNTIF(RegistroPago!$A$1:$A$2000,Consolidado!B1031)&gt;0,INDEX(RegistroPago!$E$1:$E$2000,MATCH(Consolidado!B1031,RegistroPago!$A$1:$A$2000,0))&lt;&gt;""),"PAGADA",IF(I1031&lt;&gt;"","PENDIENTE","SIN EMITIR")),"")</f>
        <v/>
      </c>
      <c r="I1031" s="10"/>
      <c r="J1031" s="2"/>
      <c r="K1031" s="29"/>
      <c r="L1031" s="29"/>
    </row>
    <row r="1032" spans="1:12" ht="15.75" x14ac:dyDescent="0.25">
      <c r="A1032" s="5"/>
      <c r="B1032" s="7"/>
      <c r="C1032" s="5"/>
      <c r="D1032" s="5"/>
      <c r="E1032" s="8"/>
      <c r="F1032" s="9"/>
      <c r="G1032" s="5"/>
      <c r="H1032" s="28" t="str">
        <f>IFERROR(IF(AND(COUNTIF(RegistroPago!$A$1:$A$2000,Consolidado!B1032)&gt;0,INDEX(RegistroPago!$E$1:$E$2000,MATCH(Consolidado!B1032,RegistroPago!$A$1:$A$2000,0))&lt;&gt;""),"PAGADA",IF(I1032&lt;&gt;"","PENDIENTE","SIN EMITIR")),"")</f>
        <v/>
      </c>
      <c r="I1032" s="10"/>
      <c r="J1032" s="2"/>
      <c r="K1032" s="29"/>
      <c r="L1032" s="29"/>
    </row>
    <row r="1033" spans="1:12" ht="15.75" x14ac:dyDescent="0.25">
      <c r="A1033" s="5"/>
      <c r="B1033" s="7"/>
      <c r="C1033" s="5"/>
      <c r="D1033" s="5"/>
      <c r="E1033" s="8"/>
      <c r="F1033" s="9"/>
      <c r="G1033" s="5"/>
      <c r="H1033" s="28" t="str">
        <f>IFERROR(IF(AND(COUNTIF(RegistroPago!$A$1:$A$2000,Consolidado!B1033)&gt;0,INDEX(RegistroPago!$E$1:$E$2000,MATCH(Consolidado!B1033,RegistroPago!$A$1:$A$2000,0))&lt;&gt;""),"PAGADA",IF(I1033&lt;&gt;"","PENDIENTE","SIN EMITIR")),"")</f>
        <v/>
      </c>
      <c r="I1033" s="10"/>
      <c r="J1033" s="2"/>
      <c r="K1033" s="29"/>
      <c r="L1033" s="29"/>
    </row>
    <row r="1034" spans="1:12" ht="15.75" x14ac:dyDescent="0.25">
      <c r="A1034" s="5"/>
      <c r="B1034" s="7"/>
      <c r="C1034" s="5"/>
      <c r="D1034" s="5"/>
      <c r="E1034" s="8"/>
      <c r="F1034" s="9"/>
      <c r="G1034" s="5"/>
      <c r="H1034" s="28" t="str">
        <f>IFERROR(IF(AND(COUNTIF(RegistroPago!$A$1:$A$2000,Consolidado!B1034)&gt;0,INDEX(RegistroPago!$E$1:$E$2000,MATCH(Consolidado!B1034,RegistroPago!$A$1:$A$2000,0))&lt;&gt;""),"PAGADA",IF(I1034&lt;&gt;"","PENDIENTE","SIN EMITIR")),"")</f>
        <v/>
      </c>
      <c r="I1034" s="10"/>
      <c r="J1034" s="2"/>
      <c r="K1034" s="29"/>
      <c r="L1034" s="29"/>
    </row>
    <row r="1035" spans="1:12" ht="15.75" x14ac:dyDescent="0.25">
      <c r="A1035" s="5"/>
      <c r="B1035" s="7"/>
      <c r="C1035" s="5"/>
      <c r="D1035" s="5"/>
      <c r="E1035" s="8"/>
      <c r="F1035" s="9"/>
      <c r="G1035" s="5"/>
      <c r="H1035" s="28" t="str">
        <f>IFERROR(IF(AND(COUNTIF(RegistroPago!$A$1:$A$2000,Consolidado!B1035)&gt;0,INDEX(RegistroPago!$E$1:$E$2000,MATCH(Consolidado!B1035,RegistroPago!$A$1:$A$2000,0))&lt;&gt;""),"PAGADA",IF(I1035&lt;&gt;"","PENDIENTE","SIN EMITIR")),"")</f>
        <v/>
      </c>
      <c r="I1035" s="10"/>
      <c r="J1035" s="2"/>
      <c r="K1035" s="29"/>
      <c r="L1035" s="29"/>
    </row>
    <row r="1036" spans="1:12" ht="15.75" x14ac:dyDescent="0.25">
      <c r="A1036" s="5"/>
      <c r="B1036" s="7"/>
      <c r="C1036" s="5"/>
      <c r="D1036" s="5"/>
      <c r="E1036" s="8"/>
      <c r="F1036" s="9"/>
      <c r="G1036" s="5"/>
      <c r="H1036" s="28" t="str">
        <f>IFERROR(IF(AND(COUNTIF(RegistroPago!$A$1:$A$2000,Consolidado!B1036)&gt;0,INDEX(RegistroPago!$E$1:$E$2000,MATCH(Consolidado!B1036,RegistroPago!$A$1:$A$2000,0))&lt;&gt;""),"PAGADA",IF(I1036&lt;&gt;"","PENDIENTE","SIN EMITIR")),"")</f>
        <v/>
      </c>
      <c r="I1036" s="10"/>
      <c r="J1036" s="2"/>
      <c r="K1036" s="29"/>
      <c r="L1036" s="29"/>
    </row>
    <row r="1037" spans="1:12" ht="15.75" x14ac:dyDescent="0.25">
      <c r="A1037" s="5"/>
      <c r="B1037" s="7"/>
      <c r="C1037" s="5"/>
      <c r="D1037" s="5"/>
      <c r="E1037" s="8"/>
      <c r="F1037" s="9"/>
      <c r="G1037" s="5"/>
      <c r="H1037" s="28" t="str">
        <f>IFERROR(IF(AND(COUNTIF(RegistroPago!$A$1:$A$2000,Consolidado!B1037)&gt;0,INDEX(RegistroPago!$E$1:$E$2000,MATCH(Consolidado!B1037,RegistroPago!$A$1:$A$2000,0))&lt;&gt;""),"PAGADA",IF(I1037&lt;&gt;"","PENDIENTE","SIN EMITIR")),"")</f>
        <v/>
      </c>
      <c r="I1037" s="10"/>
      <c r="J1037" s="2"/>
      <c r="K1037" s="29"/>
      <c r="L1037" s="29"/>
    </row>
    <row r="1038" spans="1:12" ht="15.75" x14ac:dyDescent="0.25">
      <c r="A1038" s="5"/>
      <c r="B1038" s="7"/>
      <c r="C1038" s="5"/>
      <c r="D1038" s="5"/>
      <c r="E1038" s="8"/>
      <c r="F1038" s="9"/>
      <c r="G1038" s="5"/>
      <c r="H1038" s="28" t="str">
        <f>IFERROR(IF(AND(COUNTIF(RegistroPago!$A$1:$A$2000,Consolidado!B1038)&gt;0,INDEX(RegistroPago!$E$1:$E$2000,MATCH(Consolidado!B1038,RegistroPago!$A$1:$A$2000,0))&lt;&gt;""),"PAGADA",IF(I1038&lt;&gt;"","PENDIENTE","SIN EMITIR")),"")</f>
        <v/>
      </c>
      <c r="I1038" s="10"/>
      <c r="J1038" s="2"/>
      <c r="K1038" s="29"/>
      <c r="L1038" s="29"/>
    </row>
    <row r="1039" spans="1:12" ht="15.75" x14ac:dyDescent="0.25">
      <c r="A1039" s="5"/>
      <c r="B1039" s="7"/>
      <c r="C1039" s="5"/>
      <c r="D1039" s="5"/>
      <c r="E1039" s="8"/>
      <c r="F1039" s="9"/>
      <c r="G1039" s="5"/>
      <c r="H1039" s="28" t="str">
        <f>IFERROR(IF(AND(COUNTIF(RegistroPago!$A$1:$A$2000,Consolidado!B1039)&gt;0,INDEX(RegistroPago!$E$1:$E$2000,MATCH(Consolidado!B1039,RegistroPago!$A$1:$A$2000,0))&lt;&gt;""),"PAGADA",IF(I1039&lt;&gt;"","PENDIENTE","SIN EMITIR")),"")</f>
        <v/>
      </c>
      <c r="I1039" s="10"/>
      <c r="J1039" s="2"/>
      <c r="K1039" s="29"/>
      <c r="L1039" s="29"/>
    </row>
    <row r="1040" spans="1:12" ht="15.75" x14ac:dyDescent="0.25">
      <c r="A1040" s="5"/>
      <c r="B1040" s="7"/>
      <c r="C1040" s="5"/>
      <c r="D1040" s="5"/>
      <c r="E1040" s="8"/>
      <c r="F1040" s="9"/>
      <c r="G1040" s="5"/>
      <c r="H1040" s="28" t="str">
        <f>IFERROR(IF(AND(COUNTIF(RegistroPago!$A$1:$A$2000,Consolidado!B1040)&gt;0,INDEX(RegistroPago!$E$1:$E$2000,MATCH(Consolidado!B1040,RegistroPago!$A$1:$A$2000,0))&lt;&gt;""),"PAGADA",IF(I1040&lt;&gt;"","PENDIENTE","SIN EMITIR")),"")</f>
        <v/>
      </c>
      <c r="I1040" s="10"/>
      <c r="J1040" s="2"/>
      <c r="K1040" s="29"/>
      <c r="L1040" s="29"/>
    </row>
    <row r="1041" spans="1:12" ht="15.75" x14ac:dyDescent="0.25">
      <c r="A1041" s="5"/>
      <c r="B1041" s="7"/>
      <c r="C1041" s="5"/>
      <c r="D1041" s="5"/>
      <c r="E1041" s="8"/>
      <c r="F1041" s="9"/>
      <c r="G1041" s="5"/>
      <c r="H1041" s="28" t="str">
        <f>IFERROR(IF(AND(COUNTIF(RegistroPago!$A$1:$A$2000,Consolidado!B1041)&gt;0,INDEX(RegistroPago!$E$1:$E$2000,MATCH(Consolidado!B1041,RegistroPago!$A$1:$A$2000,0))&lt;&gt;""),"PAGADA",IF(I1041&lt;&gt;"","PENDIENTE","SIN EMITIR")),"")</f>
        <v/>
      </c>
      <c r="I1041" s="10"/>
      <c r="J1041" s="2"/>
      <c r="K1041" s="29"/>
      <c r="L1041" s="29"/>
    </row>
    <row r="1042" spans="1:12" ht="15.75" x14ac:dyDescent="0.25">
      <c r="A1042" s="5"/>
      <c r="B1042" s="7"/>
      <c r="C1042" s="5"/>
      <c r="D1042" s="5"/>
      <c r="E1042" s="8"/>
      <c r="F1042" s="9"/>
      <c r="G1042" s="5"/>
      <c r="H1042" s="28" t="str">
        <f>IFERROR(IF(AND(COUNTIF(RegistroPago!$A$1:$A$2000,Consolidado!B1042)&gt;0,INDEX(RegistroPago!$E$1:$E$2000,MATCH(Consolidado!B1042,RegistroPago!$A$1:$A$2000,0))&lt;&gt;""),"PAGADA",IF(I1042&lt;&gt;"","PENDIENTE","SIN EMITIR")),"")</f>
        <v/>
      </c>
      <c r="I1042" s="10"/>
      <c r="J1042" s="2"/>
      <c r="K1042" s="29"/>
      <c r="L1042" s="29"/>
    </row>
    <row r="1043" spans="1:12" ht="15.75" x14ac:dyDescent="0.25">
      <c r="A1043" s="5"/>
      <c r="B1043" s="7"/>
      <c r="C1043" s="5"/>
      <c r="D1043" s="5"/>
      <c r="E1043" s="8"/>
      <c r="F1043" s="9"/>
      <c r="G1043" s="5"/>
      <c r="H1043" s="28" t="str">
        <f>IFERROR(IF(AND(COUNTIF(RegistroPago!$A$1:$A$2000,Consolidado!B1043)&gt;0,INDEX(RegistroPago!$E$1:$E$2000,MATCH(Consolidado!B1043,RegistroPago!$A$1:$A$2000,0))&lt;&gt;""),"PAGADA",IF(I1043&lt;&gt;"","PENDIENTE","SIN EMITIR")),"")</f>
        <v/>
      </c>
      <c r="I1043" s="10"/>
      <c r="J1043" s="2"/>
      <c r="K1043" s="29"/>
      <c r="L1043" s="29"/>
    </row>
    <row r="1044" spans="1:12" ht="15.75" x14ac:dyDescent="0.25">
      <c r="A1044" s="5"/>
      <c r="B1044" s="7"/>
      <c r="C1044" s="5"/>
      <c r="D1044" s="5"/>
      <c r="E1044" s="8"/>
      <c r="F1044" s="9"/>
      <c r="G1044" s="5"/>
      <c r="H1044" s="28" t="str">
        <f>IFERROR(IF(AND(COUNTIF(RegistroPago!$A$1:$A$2000,Consolidado!B1044)&gt;0,INDEX(RegistroPago!$E$1:$E$2000,MATCH(Consolidado!B1044,RegistroPago!$A$1:$A$2000,0))&lt;&gt;""),"PAGADA",IF(I1044&lt;&gt;"","PENDIENTE","SIN EMITIR")),"")</f>
        <v/>
      </c>
      <c r="I1044" s="10"/>
      <c r="J1044" s="2"/>
      <c r="K1044" s="29"/>
      <c r="L1044" s="29"/>
    </row>
    <row r="1045" spans="1:12" ht="15.75" x14ac:dyDescent="0.25">
      <c r="A1045" s="5"/>
      <c r="B1045" s="7"/>
      <c r="C1045" s="5"/>
      <c r="D1045" s="5"/>
      <c r="E1045" s="8"/>
      <c r="F1045" s="9"/>
      <c r="G1045" s="5"/>
      <c r="H1045" s="28" t="str">
        <f>IFERROR(IF(AND(COUNTIF(RegistroPago!$A$1:$A$2000,Consolidado!B1045)&gt;0,INDEX(RegistroPago!$E$1:$E$2000,MATCH(Consolidado!B1045,RegistroPago!$A$1:$A$2000,0))&lt;&gt;""),"PAGADA",IF(I1045&lt;&gt;"","PENDIENTE","SIN EMITIR")),"")</f>
        <v/>
      </c>
      <c r="I1045" s="10"/>
      <c r="J1045" s="2"/>
      <c r="K1045" s="29"/>
      <c r="L1045" s="29"/>
    </row>
    <row r="1046" spans="1:12" ht="15.75" x14ac:dyDescent="0.25">
      <c r="A1046" s="5"/>
      <c r="B1046" s="7"/>
      <c r="C1046" s="5"/>
      <c r="D1046" s="5"/>
      <c r="E1046" s="8"/>
      <c r="F1046" s="9"/>
      <c r="G1046" s="5"/>
      <c r="H1046" s="28" t="str">
        <f>IFERROR(IF(AND(COUNTIF(RegistroPago!$A$1:$A$2000,Consolidado!B1046)&gt;0,INDEX(RegistroPago!$E$1:$E$2000,MATCH(Consolidado!B1046,RegistroPago!$A$1:$A$2000,0))&lt;&gt;""),"PAGADA",IF(I1046&lt;&gt;"","PENDIENTE","SIN EMITIR")),"")</f>
        <v/>
      </c>
      <c r="I1046" s="10"/>
      <c r="J1046" s="2"/>
      <c r="K1046" s="29"/>
      <c r="L1046" s="29"/>
    </row>
    <row r="1047" spans="1:12" ht="15.75" x14ac:dyDescent="0.25">
      <c r="A1047" s="5"/>
      <c r="B1047" s="7"/>
      <c r="C1047" s="5"/>
      <c r="D1047" s="5"/>
      <c r="E1047" s="8"/>
      <c r="F1047" s="9"/>
      <c r="G1047" s="5"/>
      <c r="H1047" s="28" t="str">
        <f>IFERROR(IF(AND(COUNTIF(RegistroPago!$A$1:$A$2000,Consolidado!B1047)&gt;0,INDEX(RegistroPago!$E$1:$E$2000,MATCH(Consolidado!B1047,RegistroPago!$A$1:$A$2000,0))&lt;&gt;""),"PAGADA",IF(I1047&lt;&gt;"","PENDIENTE","SIN EMITIR")),"")</f>
        <v/>
      </c>
      <c r="I1047" s="10"/>
      <c r="J1047" s="2"/>
      <c r="K1047" s="29"/>
      <c r="L1047" s="29"/>
    </row>
    <row r="1048" spans="1:12" ht="15.75" x14ac:dyDescent="0.25">
      <c r="A1048" s="5"/>
      <c r="B1048" s="7"/>
      <c r="C1048" s="5"/>
      <c r="D1048" s="5"/>
      <c r="E1048" s="8"/>
      <c r="F1048" s="9"/>
      <c r="G1048" s="5"/>
      <c r="H1048" s="28" t="str">
        <f>IFERROR(IF(AND(COUNTIF(RegistroPago!$A$1:$A$2000,Consolidado!B1048)&gt;0,INDEX(RegistroPago!$E$1:$E$2000,MATCH(Consolidado!B1048,RegistroPago!$A$1:$A$2000,0))&lt;&gt;""),"PAGADA",IF(I1048&lt;&gt;"","PENDIENTE","SIN EMITIR")),"")</f>
        <v/>
      </c>
      <c r="I1048" s="10"/>
      <c r="J1048" s="2"/>
      <c r="K1048" s="29"/>
      <c r="L1048" s="29"/>
    </row>
    <row r="1049" spans="1:12" ht="15.75" x14ac:dyDescent="0.25">
      <c r="A1049" s="5"/>
      <c r="B1049" s="7"/>
      <c r="C1049" s="5"/>
      <c r="D1049" s="5"/>
      <c r="E1049" s="8"/>
      <c r="F1049" s="9"/>
      <c r="G1049" s="5"/>
      <c r="H1049" s="28" t="str">
        <f>IFERROR(IF(AND(COUNTIF(RegistroPago!$A$1:$A$2000,Consolidado!B1049)&gt;0,INDEX(RegistroPago!$E$1:$E$2000,MATCH(Consolidado!B1049,RegistroPago!$A$1:$A$2000,0))&lt;&gt;""),"PAGADA",IF(I1049&lt;&gt;"","PENDIENTE","SIN EMITIR")),"")</f>
        <v/>
      </c>
      <c r="I1049" s="10"/>
      <c r="J1049" s="2"/>
      <c r="K1049" s="29"/>
      <c r="L1049" s="29"/>
    </row>
    <row r="1050" spans="1:12" ht="15.75" x14ac:dyDescent="0.25">
      <c r="A1050" s="5"/>
      <c r="B1050" s="7"/>
      <c r="C1050" s="5"/>
      <c r="D1050" s="5"/>
      <c r="E1050" s="8"/>
      <c r="F1050" s="9"/>
      <c r="G1050" s="5"/>
      <c r="H1050" s="28" t="str">
        <f>IFERROR(IF(AND(COUNTIF(RegistroPago!$A$1:$A$2000,Consolidado!B1050)&gt;0,INDEX(RegistroPago!$E$1:$E$2000,MATCH(Consolidado!B1050,RegistroPago!$A$1:$A$2000,0))&lt;&gt;""),"PAGADA",IF(I1050&lt;&gt;"","PENDIENTE","SIN EMITIR")),"")</f>
        <v/>
      </c>
      <c r="I1050" s="10"/>
      <c r="J1050" s="2"/>
      <c r="K1050" s="29"/>
      <c r="L1050" s="29"/>
    </row>
    <row r="1051" spans="1:12" ht="15.75" x14ac:dyDescent="0.25">
      <c r="A1051" s="5"/>
      <c r="B1051" s="7"/>
      <c r="C1051" s="5"/>
      <c r="D1051" s="5"/>
      <c r="E1051" s="8"/>
      <c r="F1051" s="9"/>
      <c r="G1051" s="5"/>
      <c r="H1051" s="28" t="str">
        <f>IFERROR(IF(AND(COUNTIF(RegistroPago!$A$1:$A$2000,Consolidado!B1051)&gt;0,INDEX(RegistroPago!$E$1:$E$2000,MATCH(Consolidado!B1051,RegistroPago!$A$1:$A$2000,0))&lt;&gt;""),"PAGADA",IF(I1051&lt;&gt;"","PENDIENTE","SIN EMITIR")),"")</f>
        <v/>
      </c>
      <c r="I1051" s="10"/>
      <c r="J1051" s="2"/>
      <c r="K1051" s="29"/>
      <c r="L1051" s="29"/>
    </row>
    <row r="1052" spans="1:12" ht="15.75" x14ac:dyDescent="0.25">
      <c r="A1052" s="5"/>
      <c r="B1052" s="7"/>
      <c r="C1052" s="5"/>
      <c r="D1052" s="5"/>
      <c r="E1052" s="8"/>
      <c r="F1052" s="9"/>
      <c r="G1052" s="5"/>
      <c r="H1052" s="28" t="str">
        <f>IFERROR(IF(AND(COUNTIF(RegistroPago!$A$1:$A$2000,Consolidado!B1052)&gt;0,INDEX(RegistroPago!$E$1:$E$2000,MATCH(Consolidado!B1052,RegistroPago!$A$1:$A$2000,0))&lt;&gt;""),"PAGADA",IF(I1052&lt;&gt;"","PENDIENTE","SIN EMITIR")),"")</f>
        <v/>
      </c>
      <c r="I1052" s="10"/>
      <c r="J1052" s="2"/>
      <c r="K1052" s="29"/>
      <c r="L1052" s="29"/>
    </row>
    <row r="1053" spans="1:12" ht="15.75" x14ac:dyDescent="0.25">
      <c r="A1053" s="5"/>
      <c r="B1053" s="7"/>
      <c r="C1053" s="5"/>
      <c r="D1053" s="5"/>
      <c r="E1053" s="8"/>
      <c r="F1053" s="9"/>
      <c r="G1053" s="5"/>
      <c r="H1053" s="28" t="str">
        <f>IFERROR(IF(AND(COUNTIF(RegistroPago!$A$1:$A$2000,Consolidado!B1053)&gt;0,INDEX(RegistroPago!$E$1:$E$2000,MATCH(Consolidado!B1053,RegistroPago!$A$1:$A$2000,0))&lt;&gt;""),"PAGADA",IF(I1053&lt;&gt;"","PENDIENTE","SIN EMITIR")),"")</f>
        <v/>
      </c>
      <c r="I1053" s="10"/>
      <c r="J1053" s="2"/>
      <c r="K1053" s="29"/>
      <c r="L1053" s="29"/>
    </row>
    <row r="1054" spans="1:12" ht="15.75" x14ac:dyDescent="0.25">
      <c r="A1054" s="5"/>
      <c r="B1054" s="7"/>
      <c r="C1054" s="5"/>
      <c r="D1054" s="5"/>
      <c r="E1054" s="8"/>
      <c r="F1054" s="9"/>
      <c r="G1054" s="5"/>
      <c r="H1054" s="28" t="str">
        <f>IFERROR(IF(AND(COUNTIF(RegistroPago!$A$1:$A$2000,Consolidado!B1054)&gt;0,INDEX(RegistroPago!$E$1:$E$2000,MATCH(Consolidado!B1054,RegistroPago!$A$1:$A$2000,0))&lt;&gt;""),"PAGADA",IF(I1054&lt;&gt;"","PENDIENTE","SIN EMITIR")),"")</f>
        <v/>
      </c>
      <c r="I1054" s="10"/>
      <c r="J1054" s="2"/>
      <c r="K1054" s="29"/>
      <c r="L1054" s="29"/>
    </row>
    <row r="1055" spans="1:12" ht="15.75" x14ac:dyDescent="0.25">
      <c r="A1055" s="5"/>
      <c r="B1055" s="7"/>
      <c r="C1055" s="5"/>
      <c r="D1055" s="5"/>
      <c r="E1055" s="8"/>
      <c r="F1055" s="9"/>
      <c r="G1055" s="5"/>
      <c r="H1055" s="28" t="str">
        <f>IFERROR(IF(AND(COUNTIF(RegistroPago!$A$1:$A$2000,Consolidado!B1055)&gt;0,INDEX(RegistroPago!$E$1:$E$2000,MATCH(Consolidado!B1055,RegistroPago!$A$1:$A$2000,0))&lt;&gt;""),"PAGADA",IF(I1055&lt;&gt;"","PENDIENTE","SIN EMITIR")),"")</f>
        <v/>
      </c>
      <c r="I1055" s="10"/>
      <c r="J1055" s="2"/>
      <c r="K1055" s="29"/>
      <c r="L1055" s="29"/>
    </row>
    <row r="1056" spans="1:12" ht="15.75" x14ac:dyDescent="0.25">
      <c r="A1056" s="5"/>
      <c r="B1056" s="7"/>
      <c r="C1056" s="5"/>
      <c r="D1056" s="5"/>
      <c r="E1056" s="8"/>
      <c r="F1056" s="9"/>
      <c r="G1056" s="5"/>
      <c r="H1056" s="28" t="str">
        <f>IFERROR(IF(AND(COUNTIF(RegistroPago!$A$1:$A$2000,Consolidado!B1056)&gt;0,INDEX(RegistroPago!$E$1:$E$2000,MATCH(Consolidado!B1056,RegistroPago!$A$1:$A$2000,0))&lt;&gt;""),"PAGADA",IF(I1056&lt;&gt;"","PENDIENTE","SIN EMITIR")),"")</f>
        <v/>
      </c>
      <c r="I1056" s="10"/>
      <c r="J1056" s="2"/>
      <c r="K1056" s="29"/>
      <c r="L1056" s="29"/>
    </row>
    <row r="1057" spans="1:12" ht="15.75" x14ac:dyDescent="0.25">
      <c r="A1057" s="5"/>
      <c r="B1057" s="7"/>
      <c r="C1057" s="5"/>
      <c r="D1057" s="5"/>
      <c r="E1057" s="8"/>
      <c r="F1057" s="9"/>
      <c r="G1057" s="5"/>
      <c r="H1057" s="28" t="str">
        <f>IFERROR(IF(AND(COUNTIF(RegistroPago!$A$1:$A$2000,Consolidado!B1057)&gt;0,INDEX(RegistroPago!$E$1:$E$2000,MATCH(Consolidado!B1057,RegistroPago!$A$1:$A$2000,0))&lt;&gt;""),"PAGADA",IF(I1057&lt;&gt;"","PENDIENTE","SIN EMITIR")),"")</f>
        <v/>
      </c>
      <c r="I1057" s="10"/>
      <c r="J1057" s="2"/>
      <c r="K1057" s="29"/>
      <c r="L1057" s="29"/>
    </row>
    <row r="1058" spans="1:12" ht="15.75" x14ac:dyDescent="0.25">
      <c r="A1058" s="5"/>
      <c r="B1058" s="7"/>
      <c r="C1058" s="5"/>
      <c r="D1058" s="5"/>
      <c r="E1058" s="8"/>
      <c r="F1058" s="9"/>
      <c r="G1058" s="5"/>
      <c r="H1058" s="28" t="str">
        <f>IFERROR(IF(AND(COUNTIF(RegistroPago!$A$1:$A$2000,Consolidado!B1058)&gt;0,INDEX(RegistroPago!$E$1:$E$2000,MATCH(Consolidado!B1058,RegistroPago!$A$1:$A$2000,0))&lt;&gt;""),"PAGADA",IF(I1058&lt;&gt;"","PENDIENTE","SIN EMITIR")),"")</f>
        <v/>
      </c>
      <c r="I1058" s="10"/>
      <c r="J1058" s="2"/>
      <c r="K1058" s="29"/>
      <c r="L1058" s="29"/>
    </row>
    <row r="1059" spans="1:12" ht="15.75" x14ac:dyDescent="0.25">
      <c r="A1059" s="5"/>
      <c r="B1059" s="7"/>
      <c r="C1059" s="5"/>
      <c r="D1059" s="5"/>
      <c r="E1059" s="8"/>
      <c r="F1059" s="9"/>
      <c r="G1059" s="5"/>
      <c r="H1059" s="28" t="str">
        <f>IFERROR(IF(AND(COUNTIF(RegistroPago!$A$1:$A$2000,Consolidado!B1059)&gt;0,INDEX(RegistroPago!$E$1:$E$2000,MATCH(Consolidado!B1059,RegistroPago!$A$1:$A$2000,0))&lt;&gt;""),"PAGADA",IF(I1059&lt;&gt;"","PENDIENTE","SIN EMITIR")),"")</f>
        <v/>
      </c>
      <c r="I1059" s="10"/>
      <c r="J1059" s="2"/>
      <c r="K1059" s="29"/>
      <c r="L1059" s="29"/>
    </row>
    <row r="1060" spans="1:12" ht="15.75" x14ac:dyDescent="0.25">
      <c r="A1060" s="5"/>
      <c r="B1060" s="7"/>
      <c r="C1060" s="5"/>
      <c r="D1060" s="5"/>
      <c r="E1060" s="8"/>
      <c r="F1060" s="9"/>
      <c r="G1060" s="5"/>
      <c r="H1060" s="28" t="str">
        <f>IFERROR(IF(AND(COUNTIF(RegistroPago!$A$1:$A$2000,Consolidado!B1060)&gt;0,INDEX(RegistroPago!$E$1:$E$2000,MATCH(Consolidado!B1060,RegistroPago!$A$1:$A$2000,0))&lt;&gt;""),"PAGADA",IF(I1060&lt;&gt;"","PENDIENTE","SIN EMITIR")),"")</f>
        <v/>
      </c>
      <c r="I1060" s="10"/>
      <c r="J1060" s="2"/>
      <c r="K1060" s="29"/>
      <c r="L1060" s="29"/>
    </row>
    <row r="1061" spans="1:12" ht="15.75" x14ac:dyDescent="0.25">
      <c r="A1061" s="5"/>
      <c r="B1061" s="7"/>
      <c r="C1061" s="5"/>
      <c r="D1061" s="5"/>
      <c r="E1061" s="8"/>
      <c r="F1061" s="9"/>
      <c r="G1061" s="5"/>
      <c r="H1061" s="28" t="str">
        <f>IFERROR(IF(AND(COUNTIF(RegistroPago!$A$1:$A$2000,Consolidado!B1061)&gt;0,INDEX(RegistroPago!$E$1:$E$2000,MATCH(Consolidado!B1061,RegistroPago!$A$1:$A$2000,0))&lt;&gt;""),"PAGADA",IF(I1061&lt;&gt;"","PENDIENTE","SIN EMITIR")),"")</f>
        <v/>
      </c>
      <c r="I1061" s="10"/>
      <c r="J1061" s="2"/>
      <c r="K1061" s="29"/>
      <c r="L1061" s="29"/>
    </row>
    <row r="1062" spans="1:12" ht="15.75" x14ac:dyDescent="0.25">
      <c r="A1062" s="5"/>
      <c r="B1062" s="7"/>
      <c r="C1062" s="5"/>
      <c r="D1062" s="5"/>
      <c r="E1062" s="8"/>
      <c r="F1062" s="9"/>
      <c r="G1062" s="5"/>
      <c r="H1062" s="28" t="str">
        <f>IFERROR(IF(AND(COUNTIF(RegistroPago!$A$1:$A$2000,Consolidado!B1062)&gt;0,INDEX(RegistroPago!$E$1:$E$2000,MATCH(Consolidado!B1062,RegistroPago!$A$1:$A$2000,0))&lt;&gt;""),"PAGADA",IF(I1062&lt;&gt;"","PENDIENTE","SIN EMITIR")),"")</f>
        <v/>
      </c>
      <c r="I1062" s="10"/>
      <c r="J1062" s="2"/>
      <c r="K1062" s="29"/>
      <c r="L1062" s="29"/>
    </row>
    <row r="1063" spans="1:12" ht="15.75" x14ac:dyDescent="0.25">
      <c r="A1063" s="5"/>
      <c r="B1063" s="7"/>
      <c r="C1063" s="5"/>
      <c r="D1063" s="5"/>
      <c r="E1063" s="8"/>
      <c r="F1063" s="9"/>
      <c r="G1063" s="5"/>
      <c r="H1063" s="28" t="str">
        <f>IFERROR(IF(AND(COUNTIF(RegistroPago!$A$1:$A$2000,Consolidado!B1063)&gt;0,INDEX(RegistroPago!$E$1:$E$2000,MATCH(Consolidado!B1063,RegistroPago!$A$1:$A$2000,0))&lt;&gt;""),"PAGADA",IF(I1063&lt;&gt;"","PENDIENTE","SIN EMITIR")),"")</f>
        <v/>
      </c>
      <c r="I1063" s="10"/>
      <c r="J1063" s="2"/>
      <c r="K1063" s="29"/>
      <c r="L1063" s="29"/>
    </row>
    <row r="1064" spans="1:12" ht="15.75" x14ac:dyDescent="0.25">
      <c r="A1064" s="5"/>
      <c r="B1064" s="7"/>
      <c r="C1064" s="5"/>
      <c r="D1064" s="5"/>
      <c r="E1064" s="8"/>
      <c r="F1064" s="9"/>
      <c r="G1064" s="5"/>
      <c r="H1064" s="28" t="str">
        <f>IFERROR(IF(AND(COUNTIF(RegistroPago!$A$1:$A$2000,Consolidado!B1064)&gt;0,INDEX(RegistroPago!$E$1:$E$2000,MATCH(Consolidado!B1064,RegistroPago!$A$1:$A$2000,0))&lt;&gt;""),"PAGADA",IF(I1064&lt;&gt;"","PENDIENTE","SIN EMITIR")),"")</f>
        <v/>
      </c>
      <c r="I1064" s="10"/>
      <c r="J1064" s="2"/>
      <c r="K1064" s="29"/>
      <c r="L1064" s="29"/>
    </row>
    <row r="1065" spans="1:12" ht="15.75" x14ac:dyDescent="0.25">
      <c r="A1065" s="5"/>
      <c r="B1065" s="7"/>
      <c r="C1065" s="5"/>
      <c r="D1065" s="5"/>
      <c r="E1065" s="8"/>
      <c r="F1065" s="9"/>
      <c r="G1065" s="5"/>
      <c r="H1065" s="28" t="str">
        <f>IFERROR(IF(AND(COUNTIF(RegistroPago!$A$1:$A$2000,Consolidado!B1065)&gt;0,INDEX(RegistroPago!$E$1:$E$2000,MATCH(Consolidado!B1065,RegistroPago!$A$1:$A$2000,0))&lt;&gt;""),"PAGADA",IF(I1065&lt;&gt;"","PENDIENTE","SIN EMITIR")),"")</f>
        <v/>
      </c>
      <c r="I1065" s="10"/>
      <c r="J1065" s="2"/>
      <c r="K1065" s="29"/>
      <c r="L1065" s="29"/>
    </row>
    <row r="1066" spans="1:12" ht="15.75" x14ac:dyDescent="0.25">
      <c r="A1066" s="5"/>
      <c r="B1066" s="7"/>
      <c r="C1066" s="5"/>
      <c r="D1066" s="5"/>
      <c r="E1066" s="8"/>
      <c r="F1066" s="9"/>
      <c r="G1066" s="5"/>
      <c r="H1066" s="28" t="str">
        <f>IFERROR(IF(AND(COUNTIF(RegistroPago!$A$1:$A$2000,Consolidado!B1066)&gt;0,INDEX(RegistroPago!$E$1:$E$2000,MATCH(Consolidado!B1066,RegistroPago!$A$1:$A$2000,0))&lt;&gt;""),"PAGADA",IF(I1066&lt;&gt;"","PENDIENTE","SIN EMITIR")),"")</f>
        <v/>
      </c>
      <c r="I1066" s="10"/>
      <c r="J1066" s="2"/>
      <c r="K1066" s="29"/>
      <c r="L1066" s="29"/>
    </row>
    <row r="1067" spans="1:12" ht="15.75" x14ac:dyDescent="0.25">
      <c r="A1067" s="5"/>
      <c r="B1067" s="7"/>
      <c r="C1067" s="5"/>
      <c r="D1067" s="5"/>
      <c r="E1067" s="8"/>
      <c r="F1067" s="9"/>
      <c r="G1067" s="5"/>
      <c r="H1067" s="28" t="str">
        <f>IFERROR(IF(AND(COUNTIF(RegistroPago!$A$1:$A$2000,Consolidado!B1067)&gt;0,INDEX(RegistroPago!$E$1:$E$2000,MATCH(Consolidado!B1067,RegistroPago!$A$1:$A$2000,0))&lt;&gt;""),"PAGADA",IF(I1067&lt;&gt;"","PENDIENTE","SIN EMITIR")),"")</f>
        <v/>
      </c>
      <c r="I1067" s="10"/>
      <c r="J1067" s="2"/>
      <c r="K1067" s="29"/>
      <c r="L1067" s="29"/>
    </row>
    <row r="1068" spans="1:12" ht="15.75" x14ac:dyDescent="0.25">
      <c r="A1068" s="5"/>
      <c r="B1068" s="7"/>
      <c r="C1068" s="5"/>
      <c r="D1068" s="5"/>
      <c r="E1068" s="8"/>
      <c r="F1068" s="9"/>
      <c r="G1068" s="5"/>
      <c r="H1068" s="28" t="str">
        <f>IFERROR(IF(AND(COUNTIF(RegistroPago!$A$1:$A$2000,Consolidado!B1068)&gt;0,INDEX(RegistroPago!$E$1:$E$2000,MATCH(Consolidado!B1068,RegistroPago!$A$1:$A$2000,0))&lt;&gt;""),"PAGADA",IF(I1068&lt;&gt;"","PENDIENTE","SIN EMITIR")),"")</f>
        <v/>
      </c>
      <c r="I1068" s="10"/>
      <c r="J1068" s="2"/>
      <c r="K1068" s="29"/>
      <c r="L1068" s="29"/>
    </row>
    <row r="1069" spans="1:12" ht="15.75" x14ac:dyDescent="0.25">
      <c r="A1069" s="5"/>
      <c r="B1069" s="7"/>
      <c r="C1069" s="5"/>
      <c r="D1069" s="5"/>
      <c r="E1069" s="8"/>
      <c r="F1069" s="9"/>
      <c r="G1069" s="5"/>
      <c r="H1069" s="28" t="str">
        <f>IFERROR(IF(AND(COUNTIF(RegistroPago!$A$1:$A$2000,Consolidado!B1069)&gt;0,INDEX(RegistroPago!$E$1:$E$2000,MATCH(Consolidado!B1069,RegistroPago!$A$1:$A$2000,0))&lt;&gt;""),"PAGADA",IF(I1069&lt;&gt;"","PENDIENTE","SIN EMITIR")),"")</f>
        <v/>
      </c>
      <c r="I1069" s="10"/>
      <c r="J1069" s="2"/>
      <c r="K1069" s="29"/>
      <c r="L1069" s="29"/>
    </row>
    <row r="1070" spans="1:12" ht="15.75" x14ac:dyDescent="0.25">
      <c r="A1070" s="5"/>
      <c r="B1070" s="7"/>
      <c r="C1070" s="5"/>
      <c r="D1070" s="5"/>
      <c r="E1070" s="8"/>
      <c r="F1070" s="9"/>
      <c r="G1070" s="5"/>
      <c r="H1070" s="28" t="str">
        <f>IFERROR(IF(AND(COUNTIF(RegistroPago!$A$1:$A$2000,Consolidado!B1070)&gt;0,INDEX(RegistroPago!$E$1:$E$2000,MATCH(Consolidado!B1070,RegistroPago!$A$1:$A$2000,0))&lt;&gt;""),"PAGADA",IF(I1070&lt;&gt;"","PENDIENTE","SIN EMITIR")),"")</f>
        <v/>
      </c>
      <c r="I1070" s="10"/>
      <c r="J1070" s="2"/>
      <c r="K1070" s="29"/>
      <c r="L1070" s="29"/>
    </row>
    <row r="1071" spans="1:12" ht="15.75" x14ac:dyDescent="0.25">
      <c r="A1071" s="5"/>
      <c r="B1071" s="7"/>
      <c r="C1071" s="5"/>
      <c r="D1071" s="5"/>
      <c r="E1071" s="8"/>
      <c r="F1071" s="9"/>
      <c r="G1071" s="5"/>
      <c r="H1071" s="28" t="str">
        <f>IFERROR(IF(AND(COUNTIF(RegistroPago!$A$1:$A$2000,Consolidado!B1071)&gt;0,INDEX(RegistroPago!$E$1:$E$2000,MATCH(Consolidado!B1071,RegistroPago!$A$1:$A$2000,0))&lt;&gt;""),"PAGADA",IF(I1071&lt;&gt;"","PENDIENTE","SIN EMITIR")),"")</f>
        <v/>
      </c>
      <c r="I1071" s="10"/>
      <c r="J1071" s="2"/>
      <c r="K1071" s="29"/>
      <c r="L1071" s="29"/>
    </row>
    <row r="1072" spans="1:12" ht="15.75" x14ac:dyDescent="0.25">
      <c r="A1072" s="5"/>
      <c r="B1072" s="7"/>
      <c r="C1072" s="5"/>
      <c r="D1072" s="5"/>
      <c r="E1072" s="8"/>
      <c r="F1072" s="9"/>
      <c r="G1072" s="5"/>
      <c r="H1072" s="28" t="str">
        <f>IFERROR(IF(AND(COUNTIF(RegistroPago!$A$1:$A$2000,Consolidado!B1072)&gt;0,INDEX(RegistroPago!$E$1:$E$2000,MATCH(Consolidado!B1072,RegistroPago!$A$1:$A$2000,0))&lt;&gt;""),"PAGADA",IF(I1072&lt;&gt;"","PENDIENTE","SIN EMITIR")),"")</f>
        <v/>
      </c>
      <c r="I1072" s="10"/>
      <c r="J1072" s="2"/>
      <c r="K1072" s="29"/>
      <c r="L1072" s="29"/>
    </row>
    <row r="1073" spans="1:12" ht="15.75" x14ac:dyDescent="0.25">
      <c r="A1073" s="5"/>
      <c r="B1073" s="7"/>
      <c r="C1073" s="5"/>
      <c r="D1073" s="5"/>
      <c r="E1073" s="8"/>
      <c r="F1073" s="9"/>
      <c r="G1073" s="5"/>
      <c r="H1073" s="28" t="str">
        <f>IFERROR(IF(AND(COUNTIF(RegistroPago!$A$1:$A$2000,Consolidado!B1073)&gt;0,INDEX(RegistroPago!$E$1:$E$2000,MATCH(Consolidado!B1073,RegistroPago!$A$1:$A$2000,0))&lt;&gt;""),"PAGADA",IF(I1073&lt;&gt;"","PENDIENTE","SIN EMITIR")),"")</f>
        <v/>
      </c>
      <c r="I1073" s="10"/>
      <c r="J1073" s="2"/>
      <c r="K1073" s="29"/>
      <c r="L1073" s="29"/>
    </row>
    <row r="1074" spans="1:12" ht="15.75" x14ac:dyDescent="0.25">
      <c r="A1074" s="5"/>
      <c r="B1074" s="7"/>
      <c r="C1074" s="5"/>
      <c r="D1074" s="5"/>
      <c r="E1074" s="8"/>
      <c r="F1074" s="9"/>
      <c r="G1074" s="5"/>
      <c r="H1074" s="28" t="str">
        <f>IFERROR(IF(AND(COUNTIF(RegistroPago!$A$1:$A$2000,Consolidado!B1074)&gt;0,INDEX(RegistroPago!$E$1:$E$2000,MATCH(Consolidado!B1074,RegistroPago!$A$1:$A$2000,0))&lt;&gt;""),"PAGADA",IF(I1074&lt;&gt;"","PENDIENTE","SIN EMITIR")),"")</f>
        <v/>
      </c>
      <c r="I1074" s="10"/>
      <c r="J1074" s="2"/>
      <c r="K1074" s="29"/>
      <c r="L1074" s="29"/>
    </row>
    <row r="1075" spans="1:12" ht="15.75" x14ac:dyDescent="0.25">
      <c r="A1075" s="5"/>
      <c r="B1075" s="7"/>
      <c r="C1075" s="5"/>
      <c r="D1075" s="5"/>
      <c r="E1075" s="8"/>
      <c r="F1075" s="9"/>
      <c r="G1075" s="5"/>
      <c r="H1075" s="28" t="str">
        <f>IFERROR(IF(AND(COUNTIF(RegistroPago!$A$1:$A$2000,Consolidado!B1075)&gt;0,INDEX(RegistroPago!$E$1:$E$2000,MATCH(Consolidado!B1075,RegistroPago!$A$1:$A$2000,0))&lt;&gt;""),"PAGADA",IF(I1075&lt;&gt;"","PENDIENTE","SIN EMITIR")),"")</f>
        <v/>
      </c>
      <c r="I1075" s="10"/>
      <c r="J1075" s="2"/>
      <c r="K1075" s="29"/>
      <c r="L1075" s="29"/>
    </row>
    <row r="1076" spans="1:12" ht="15.75" x14ac:dyDescent="0.25">
      <c r="A1076" s="5"/>
      <c r="B1076" s="7"/>
      <c r="C1076" s="5"/>
      <c r="D1076" s="5"/>
      <c r="E1076" s="8"/>
      <c r="F1076" s="9"/>
      <c r="G1076" s="5"/>
      <c r="H1076" s="28" t="str">
        <f>IFERROR(IF(AND(COUNTIF(RegistroPago!$A$1:$A$2000,Consolidado!B1076)&gt;0,INDEX(RegistroPago!$E$1:$E$2000,MATCH(Consolidado!B1076,RegistroPago!$A$1:$A$2000,0))&lt;&gt;""),"PAGADA",IF(I1076&lt;&gt;"","PENDIENTE","SIN EMITIR")),"")</f>
        <v/>
      </c>
      <c r="I1076" s="10"/>
      <c r="J1076" s="2"/>
      <c r="K1076" s="29"/>
      <c r="L1076" s="29"/>
    </row>
    <row r="1077" spans="1:12" ht="15.75" x14ac:dyDescent="0.25">
      <c r="A1077" s="5"/>
      <c r="B1077" s="7"/>
      <c r="C1077" s="5"/>
      <c r="D1077" s="5"/>
      <c r="E1077" s="8"/>
      <c r="F1077" s="9"/>
      <c r="G1077" s="5"/>
      <c r="H1077" s="28" t="str">
        <f>IFERROR(IF(AND(COUNTIF(RegistroPago!$A$1:$A$2000,Consolidado!B1077)&gt;0,INDEX(RegistroPago!$E$1:$E$2000,MATCH(Consolidado!B1077,RegistroPago!$A$1:$A$2000,0))&lt;&gt;""),"PAGADA",IF(I1077&lt;&gt;"","PENDIENTE","SIN EMITIR")),"")</f>
        <v/>
      </c>
      <c r="I1077" s="10"/>
      <c r="J1077" s="2"/>
      <c r="K1077" s="29"/>
      <c r="L1077" s="29"/>
    </row>
    <row r="1078" spans="1:12" ht="15.75" x14ac:dyDescent="0.25">
      <c r="A1078" s="5"/>
      <c r="B1078" s="7"/>
      <c r="C1078" s="5"/>
      <c r="D1078" s="5"/>
      <c r="E1078" s="8"/>
      <c r="F1078" s="9"/>
      <c r="G1078" s="5"/>
      <c r="H1078" s="28" t="str">
        <f>IFERROR(IF(AND(COUNTIF(RegistroPago!$A$1:$A$2000,Consolidado!B1078)&gt;0,INDEX(RegistroPago!$E$1:$E$2000,MATCH(Consolidado!B1078,RegistroPago!$A$1:$A$2000,0))&lt;&gt;""),"PAGADA",IF(I1078&lt;&gt;"","PENDIENTE","SIN EMITIR")),"")</f>
        <v/>
      </c>
      <c r="I1078" s="10"/>
      <c r="J1078" s="2"/>
      <c r="K1078" s="29"/>
      <c r="L1078" s="29"/>
    </row>
    <row r="1079" spans="1:12" ht="15.75" x14ac:dyDescent="0.25">
      <c r="A1079" s="5"/>
      <c r="B1079" s="7"/>
      <c r="C1079" s="5"/>
      <c r="D1079" s="5"/>
      <c r="E1079" s="8"/>
      <c r="F1079" s="9"/>
      <c r="G1079" s="5"/>
      <c r="H1079" s="28" t="str">
        <f>IFERROR(IF(AND(COUNTIF(RegistroPago!$A$1:$A$2000,Consolidado!B1079)&gt;0,INDEX(RegistroPago!$E$1:$E$2000,MATCH(Consolidado!B1079,RegistroPago!$A$1:$A$2000,0))&lt;&gt;""),"PAGADA",IF(I1079&lt;&gt;"","PENDIENTE","SIN EMITIR")),"")</f>
        <v/>
      </c>
      <c r="I1079" s="10"/>
      <c r="J1079" s="2"/>
      <c r="K1079" s="29"/>
      <c r="L1079" s="29"/>
    </row>
    <row r="1080" spans="1:12" ht="15.75" x14ac:dyDescent="0.25">
      <c r="A1080" s="5"/>
      <c r="B1080" s="7"/>
      <c r="C1080" s="5"/>
      <c r="D1080" s="5"/>
      <c r="E1080" s="8"/>
      <c r="F1080" s="9"/>
      <c r="G1080" s="5"/>
      <c r="H1080" s="28" t="str">
        <f>IFERROR(IF(AND(COUNTIF(RegistroPago!$A$1:$A$2000,Consolidado!B1080)&gt;0,INDEX(RegistroPago!$E$1:$E$2000,MATCH(Consolidado!B1080,RegistroPago!$A$1:$A$2000,0))&lt;&gt;""),"PAGADA",IF(I1080&lt;&gt;"","PENDIENTE","SIN EMITIR")),"")</f>
        <v/>
      </c>
      <c r="I1080" s="10"/>
      <c r="J1080" s="2"/>
      <c r="K1080" s="29"/>
      <c r="L1080" s="29"/>
    </row>
    <row r="1081" spans="1:12" ht="15.75" x14ac:dyDescent="0.25">
      <c r="A1081" s="5"/>
      <c r="B1081" s="7"/>
      <c r="C1081" s="5"/>
      <c r="D1081" s="5"/>
      <c r="E1081" s="8"/>
      <c r="F1081" s="9"/>
      <c r="G1081" s="5"/>
      <c r="H1081" s="28" t="str">
        <f>IFERROR(IF(AND(COUNTIF(RegistroPago!$A$1:$A$2000,Consolidado!B1081)&gt;0,INDEX(RegistroPago!$E$1:$E$2000,MATCH(Consolidado!B1081,RegistroPago!$A$1:$A$2000,0))&lt;&gt;""),"PAGADA",IF(I1081&lt;&gt;"","PENDIENTE","SIN EMITIR")),"")</f>
        <v/>
      </c>
      <c r="I1081" s="10"/>
      <c r="J1081" s="2"/>
      <c r="K1081" s="29"/>
      <c r="L1081" s="29"/>
    </row>
    <row r="1082" spans="1:12" ht="15.75" x14ac:dyDescent="0.25">
      <c r="A1082" s="5"/>
      <c r="B1082" s="7"/>
      <c r="C1082" s="5"/>
      <c r="D1082" s="5"/>
      <c r="E1082" s="8"/>
      <c r="F1082" s="9"/>
      <c r="G1082" s="5"/>
      <c r="H1082" s="28" t="str">
        <f>IFERROR(IF(AND(COUNTIF(RegistroPago!$A$1:$A$2000,Consolidado!B1082)&gt;0,INDEX(RegistroPago!$E$1:$E$2000,MATCH(Consolidado!B1082,RegistroPago!$A$1:$A$2000,0))&lt;&gt;""),"PAGADA",IF(I1082&lt;&gt;"","PENDIENTE","SIN EMITIR")),"")</f>
        <v/>
      </c>
      <c r="I1082" s="10"/>
      <c r="J1082" s="2"/>
      <c r="K1082" s="29"/>
      <c r="L1082" s="29"/>
    </row>
    <row r="1083" spans="1:12" ht="15.75" x14ac:dyDescent="0.25">
      <c r="A1083" s="5"/>
      <c r="B1083" s="7"/>
      <c r="C1083" s="5"/>
      <c r="D1083" s="5"/>
      <c r="E1083" s="8"/>
      <c r="F1083" s="9"/>
      <c r="G1083" s="5"/>
      <c r="H1083" s="28" t="str">
        <f>IFERROR(IF(AND(COUNTIF(RegistroPago!$A$1:$A$2000,Consolidado!B1083)&gt;0,INDEX(RegistroPago!$E$1:$E$2000,MATCH(Consolidado!B1083,RegistroPago!$A$1:$A$2000,0))&lt;&gt;""),"PAGADA",IF(I1083&lt;&gt;"","PENDIENTE","SIN EMITIR")),"")</f>
        <v/>
      </c>
      <c r="I1083" s="10"/>
      <c r="J1083" s="2"/>
      <c r="K1083" s="29"/>
      <c r="L1083" s="29"/>
    </row>
    <row r="1084" spans="1:12" ht="15.75" x14ac:dyDescent="0.25">
      <c r="A1084" s="5"/>
      <c r="B1084" s="7"/>
      <c r="C1084" s="5"/>
      <c r="D1084" s="5"/>
      <c r="E1084" s="8"/>
      <c r="F1084" s="9"/>
      <c r="G1084" s="5"/>
      <c r="H1084" s="28" t="str">
        <f>IFERROR(IF(AND(COUNTIF(RegistroPago!$A$1:$A$2000,Consolidado!B1084)&gt;0,INDEX(RegistroPago!$E$1:$E$2000,MATCH(Consolidado!B1084,RegistroPago!$A$1:$A$2000,0))&lt;&gt;""),"PAGADA",IF(I1084&lt;&gt;"","PENDIENTE","SIN EMITIR")),"")</f>
        <v/>
      </c>
      <c r="I1084" s="10"/>
      <c r="J1084" s="2"/>
      <c r="K1084" s="29"/>
      <c r="L1084" s="29"/>
    </row>
    <row r="1085" spans="1:12" ht="15.75" x14ac:dyDescent="0.25">
      <c r="A1085" s="5"/>
      <c r="B1085" s="7"/>
      <c r="C1085" s="5"/>
      <c r="D1085" s="5"/>
      <c r="E1085" s="8"/>
      <c r="F1085" s="9"/>
      <c r="G1085" s="5"/>
      <c r="H1085" s="28" t="str">
        <f>IFERROR(IF(AND(COUNTIF(RegistroPago!$A$1:$A$2000,Consolidado!B1085)&gt;0,INDEX(RegistroPago!$E$1:$E$2000,MATCH(Consolidado!B1085,RegistroPago!$A$1:$A$2000,0))&lt;&gt;""),"PAGADA",IF(I1085&lt;&gt;"","PENDIENTE","SIN EMITIR")),"")</f>
        <v/>
      </c>
      <c r="I1085" s="10"/>
      <c r="J1085" s="2"/>
      <c r="K1085" s="29"/>
      <c r="L1085" s="29"/>
    </row>
    <row r="1086" spans="1:12" ht="15.75" x14ac:dyDescent="0.25">
      <c r="A1086" s="5"/>
      <c r="B1086" s="7"/>
      <c r="C1086" s="5"/>
      <c r="D1086" s="5"/>
      <c r="E1086" s="8"/>
      <c r="F1086" s="9"/>
      <c r="G1086" s="5"/>
      <c r="H1086" s="28" t="str">
        <f>IFERROR(IF(AND(COUNTIF(RegistroPago!$A$1:$A$2000,Consolidado!B1086)&gt;0,INDEX(RegistroPago!$E$1:$E$2000,MATCH(Consolidado!B1086,RegistroPago!$A$1:$A$2000,0))&lt;&gt;""),"PAGADA",IF(I1086&lt;&gt;"","PENDIENTE","SIN EMITIR")),"")</f>
        <v/>
      </c>
      <c r="I1086" s="10"/>
      <c r="J1086" s="2"/>
      <c r="K1086" s="29"/>
      <c r="L1086" s="29"/>
    </row>
    <row r="1087" spans="1:12" ht="15.75" x14ac:dyDescent="0.25">
      <c r="A1087" s="5"/>
      <c r="B1087" s="7"/>
      <c r="C1087" s="5"/>
      <c r="D1087" s="5"/>
      <c r="E1087" s="8"/>
      <c r="F1087" s="9"/>
      <c r="G1087" s="5"/>
      <c r="H1087" s="28" t="str">
        <f>IFERROR(IF(AND(COUNTIF(RegistroPago!$A$1:$A$2000,Consolidado!B1087)&gt;0,INDEX(RegistroPago!$E$1:$E$2000,MATCH(Consolidado!B1087,RegistroPago!$A$1:$A$2000,0))&lt;&gt;""),"PAGADA",IF(I1087&lt;&gt;"","PENDIENTE","SIN EMITIR")),"")</f>
        <v/>
      </c>
      <c r="I1087" s="10"/>
      <c r="J1087" s="2"/>
      <c r="K1087" s="29"/>
      <c r="L1087" s="29"/>
    </row>
    <row r="1088" spans="1:12" ht="15.75" x14ac:dyDescent="0.25">
      <c r="A1088" s="5"/>
      <c r="B1088" s="7"/>
      <c r="C1088" s="5"/>
      <c r="D1088" s="5"/>
      <c r="E1088" s="8"/>
      <c r="F1088" s="9"/>
      <c r="G1088" s="5"/>
      <c r="H1088" s="28" t="str">
        <f>IFERROR(IF(AND(COUNTIF(RegistroPago!$A$1:$A$2000,Consolidado!B1088)&gt;0,INDEX(RegistroPago!$E$1:$E$2000,MATCH(Consolidado!B1088,RegistroPago!$A$1:$A$2000,0))&lt;&gt;""),"PAGADA",IF(I1088&lt;&gt;"","PENDIENTE","SIN EMITIR")),"")</f>
        <v/>
      </c>
      <c r="I1088" s="10"/>
      <c r="J1088" s="2"/>
      <c r="K1088" s="29"/>
      <c r="L1088" s="29"/>
    </row>
    <row r="1089" spans="1:12" ht="15.75" x14ac:dyDescent="0.25">
      <c r="A1089" s="5"/>
      <c r="B1089" s="7"/>
      <c r="C1089" s="5"/>
      <c r="D1089" s="5"/>
      <c r="E1089" s="8"/>
      <c r="F1089" s="9"/>
      <c r="G1089" s="5"/>
      <c r="H1089" s="28" t="str">
        <f>IFERROR(IF(AND(COUNTIF(RegistroPago!$A$1:$A$2000,Consolidado!B1089)&gt;0,INDEX(RegistroPago!$E$1:$E$2000,MATCH(Consolidado!B1089,RegistroPago!$A$1:$A$2000,0))&lt;&gt;""),"PAGADA",IF(I1089&lt;&gt;"","PENDIENTE","SIN EMITIR")),"")</f>
        <v/>
      </c>
      <c r="I1089" s="10"/>
      <c r="J1089" s="2"/>
      <c r="K1089" s="29"/>
      <c r="L1089" s="29"/>
    </row>
    <row r="1090" spans="1:12" ht="15.75" x14ac:dyDescent="0.25">
      <c r="A1090" s="5"/>
      <c r="B1090" s="7"/>
      <c r="C1090" s="5"/>
      <c r="D1090" s="5"/>
      <c r="E1090" s="8"/>
      <c r="F1090" s="9"/>
      <c r="G1090" s="5"/>
      <c r="H1090" s="28" t="str">
        <f>IFERROR(IF(AND(COUNTIF(RegistroPago!$A$1:$A$2000,Consolidado!B1090)&gt;0,INDEX(RegistroPago!$E$1:$E$2000,MATCH(Consolidado!B1090,RegistroPago!$A$1:$A$2000,0))&lt;&gt;""),"PAGADA",IF(I1090&lt;&gt;"","PENDIENTE","SIN EMITIR")),"")</f>
        <v/>
      </c>
      <c r="I1090" s="10"/>
      <c r="J1090" s="2"/>
      <c r="K1090" s="29"/>
      <c r="L1090" s="29"/>
    </row>
    <row r="1091" spans="1:12" ht="15.75" x14ac:dyDescent="0.25">
      <c r="A1091" s="5"/>
      <c r="B1091" s="7"/>
      <c r="C1091" s="5"/>
      <c r="D1091" s="5"/>
      <c r="E1091" s="8"/>
      <c r="F1091" s="9"/>
      <c r="G1091" s="5"/>
      <c r="H1091" s="28" t="str">
        <f>IFERROR(IF(AND(COUNTIF(RegistroPago!$A$1:$A$2000,Consolidado!B1091)&gt;0,INDEX(RegistroPago!$E$1:$E$2000,MATCH(Consolidado!B1091,RegistroPago!$A$1:$A$2000,0))&lt;&gt;""),"PAGADA",IF(I1091&lt;&gt;"","PENDIENTE","SIN EMITIR")),"")</f>
        <v/>
      </c>
      <c r="I1091" s="10"/>
      <c r="J1091" s="2"/>
      <c r="K1091" s="29"/>
      <c r="L1091" s="29"/>
    </row>
    <row r="1092" spans="1:12" ht="15.75" x14ac:dyDescent="0.25">
      <c r="A1092" s="5"/>
      <c r="B1092" s="7"/>
      <c r="C1092" s="5"/>
      <c r="D1092" s="5"/>
      <c r="E1092" s="8"/>
      <c r="F1092" s="9"/>
      <c r="G1092" s="5"/>
      <c r="H1092" s="28" t="str">
        <f>IFERROR(IF(AND(COUNTIF(RegistroPago!$A$1:$A$2000,Consolidado!B1092)&gt;0,INDEX(RegistroPago!$E$1:$E$2000,MATCH(Consolidado!B1092,RegistroPago!$A$1:$A$2000,0))&lt;&gt;""),"PAGADA",IF(I1092&lt;&gt;"","PENDIENTE","SIN EMITIR")),"")</f>
        <v/>
      </c>
      <c r="I1092" s="10"/>
      <c r="J1092" s="2"/>
      <c r="K1092" s="29"/>
      <c r="L1092" s="29"/>
    </row>
    <row r="1093" spans="1:12" ht="15.75" x14ac:dyDescent="0.25">
      <c r="A1093" s="5"/>
      <c r="B1093" s="7"/>
      <c r="C1093" s="5"/>
      <c r="D1093" s="5"/>
      <c r="E1093" s="8"/>
      <c r="F1093" s="9"/>
      <c r="G1093" s="5"/>
      <c r="H1093" s="28" t="str">
        <f>IFERROR(IF(AND(COUNTIF(RegistroPago!$A$1:$A$2000,Consolidado!B1093)&gt;0,INDEX(RegistroPago!$E$1:$E$2000,MATCH(Consolidado!B1093,RegistroPago!$A$1:$A$2000,0))&lt;&gt;""),"PAGADA",IF(I1093&lt;&gt;"","PENDIENTE","SIN EMITIR")),"")</f>
        <v/>
      </c>
      <c r="I1093" s="10"/>
      <c r="J1093" s="2"/>
      <c r="K1093" s="29"/>
      <c r="L1093" s="29"/>
    </row>
    <row r="1094" spans="1:12" ht="15.75" x14ac:dyDescent="0.25">
      <c r="A1094" s="5"/>
      <c r="B1094" s="7"/>
      <c r="C1094" s="5"/>
      <c r="D1094" s="5"/>
      <c r="E1094" s="8"/>
      <c r="F1094" s="9"/>
      <c r="G1094" s="5"/>
      <c r="H1094" s="28" t="str">
        <f>IFERROR(IF(AND(COUNTIF(RegistroPago!$A$1:$A$2000,Consolidado!B1094)&gt;0,INDEX(RegistroPago!$E$1:$E$2000,MATCH(Consolidado!B1094,RegistroPago!$A$1:$A$2000,0))&lt;&gt;""),"PAGADA",IF(I1094&lt;&gt;"","PENDIENTE","SIN EMITIR")),"")</f>
        <v/>
      </c>
      <c r="I1094" s="10"/>
      <c r="J1094" s="2"/>
      <c r="K1094" s="29"/>
      <c r="L1094" s="29"/>
    </row>
    <row r="1095" spans="1:12" ht="15.75" x14ac:dyDescent="0.25">
      <c r="A1095" s="5"/>
      <c r="B1095" s="7"/>
      <c r="C1095" s="5"/>
      <c r="D1095" s="5"/>
      <c r="E1095" s="8"/>
      <c r="F1095" s="9"/>
      <c r="G1095" s="5"/>
      <c r="H1095" s="28" t="str">
        <f>IFERROR(IF(AND(COUNTIF(RegistroPago!$A$1:$A$2000,Consolidado!B1095)&gt;0,INDEX(RegistroPago!$E$1:$E$2000,MATCH(Consolidado!B1095,RegistroPago!$A$1:$A$2000,0))&lt;&gt;""),"PAGADA",IF(I1095&lt;&gt;"","PENDIENTE","SIN EMITIR")),"")</f>
        <v/>
      </c>
      <c r="I1095" s="10"/>
      <c r="J1095" s="2"/>
      <c r="K1095" s="29"/>
      <c r="L1095" s="29"/>
    </row>
    <row r="1096" spans="1:12" ht="15.75" x14ac:dyDescent="0.25">
      <c r="A1096" s="5"/>
      <c r="B1096" s="7"/>
      <c r="C1096" s="5"/>
      <c r="D1096" s="5"/>
      <c r="E1096" s="8"/>
      <c r="F1096" s="9"/>
      <c r="G1096" s="5"/>
      <c r="H1096" s="28" t="str">
        <f>IFERROR(IF(AND(COUNTIF(RegistroPago!$A$1:$A$2000,Consolidado!B1096)&gt;0,INDEX(RegistroPago!$E$1:$E$2000,MATCH(Consolidado!B1096,RegistroPago!$A$1:$A$2000,0))&lt;&gt;""),"PAGADA",IF(I1096&lt;&gt;"","PENDIENTE","SIN EMITIR")),"")</f>
        <v/>
      </c>
      <c r="I1096" s="10"/>
      <c r="J1096" s="2"/>
      <c r="K1096" s="29"/>
      <c r="L1096" s="29"/>
    </row>
    <row r="1097" spans="1:12" ht="15.75" x14ac:dyDescent="0.25">
      <c r="A1097" s="5"/>
      <c r="B1097" s="7"/>
      <c r="C1097" s="5"/>
      <c r="D1097" s="5"/>
      <c r="E1097" s="8"/>
      <c r="F1097" s="9"/>
      <c r="G1097" s="5"/>
      <c r="H1097" s="28" t="str">
        <f>IFERROR(IF(AND(COUNTIF(RegistroPago!$A$1:$A$2000,Consolidado!B1097)&gt;0,INDEX(RegistroPago!$E$1:$E$2000,MATCH(Consolidado!B1097,RegistroPago!$A$1:$A$2000,0))&lt;&gt;""),"PAGADA",IF(I1097&lt;&gt;"","PENDIENTE","SIN EMITIR")),"")</f>
        <v/>
      </c>
      <c r="I1097" s="10"/>
      <c r="J1097" s="2"/>
      <c r="K1097" s="29"/>
      <c r="L1097" s="29"/>
    </row>
    <row r="1098" spans="1:12" ht="15.75" x14ac:dyDescent="0.25">
      <c r="A1098" s="5"/>
      <c r="B1098" s="7"/>
      <c r="C1098" s="5"/>
      <c r="D1098" s="5"/>
      <c r="E1098" s="8"/>
      <c r="F1098" s="9"/>
      <c r="G1098" s="5"/>
      <c r="H1098" s="28" t="str">
        <f>IFERROR(IF(AND(COUNTIF(RegistroPago!$A$1:$A$2000,Consolidado!B1098)&gt;0,INDEX(RegistroPago!$E$1:$E$2000,MATCH(Consolidado!B1098,RegistroPago!$A$1:$A$2000,0))&lt;&gt;""),"PAGADA",IF(I1098&lt;&gt;"","PENDIENTE","SIN EMITIR")),"")</f>
        <v/>
      </c>
      <c r="I1098" s="10"/>
      <c r="J1098" s="2"/>
      <c r="K1098" s="29"/>
      <c r="L1098" s="29"/>
    </row>
    <row r="1099" spans="1:12" ht="15.75" x14ac:dyDescent="0.25">
      <c r="A1099" s="5"/>
      <c r="B1099" s="7"/>
      <c r="C1099" s="5"/>
      <c r="D1099" s="5"/>
      <c r="E1099" s="8"/>
      <c r="F1099" s="9"/>
      <c r="G1099" s="5"/>
      <c r="H1099" s="28" t="str">
        <f>IFERROR(IF(AND(COUNTIF(RegistroPago!$A$1:$A$2000,Consolidado!B1099)&gt;0,INDEX(RegistroPago!$E$1:$E$2000,MATCH(Consolidado!B1099,RegistroPago!$A$1:$A$2000,0))&lt;&gt;""),"PAGADA",IF(I1099&lt;&gt;"","PENDIENTE","SIN EMITIR")),"")</f>
        <v/>
      </c>
      <c r="I1099" s="10"/>
      <c r="J1099" s="2"/>
      <c r="K1099" s="29"/>
      <c r="L1099" s="29"/>
    </row>
    <row r="1100" spans="1:12" ht="15.75" x14ac:dyDescent="0.25">
      <c r="A1100" s="5"/>
      <c r="B1100" s="7"/>
      <c r="C1100" s="5"/>
      <c r="D1100" s="5"/>
      <c r="E1100" s="8"/>
      <c r="F1100" s="9"/>
      <c r="G1100" s="5"/>
      <c r="H1100" s="28" t="str">
        <f>IFERROR(IF(AND(COUNTIF(RegistroPago!$A$1:$A$2000,Consolidado!B1100)&gt;0,INDEX(RegistroPago!$E$1:$E$2000,MATCH(Consolidado!B1100,RegistroPago!$A$1:$A$2000,0))&lt;&gt;""),"PAGADA",IF(I1100&lt;&gt;"","PENDIENTE","SIN EMITIR")),"")</f>
        <v/>
      </c>
      <c r="I1100" s="10"/>
      <c r="J1100" s="2"/>
      <c r="K1100" s="29"/>
      <c r="L1100" s="29"/>
    </row>
    <row r="1101" spans="1:12" ht="15.75" x14ac:dyDescent="0.25">
      <c r="A1101" s="5"/>
      <c r="B1101" s="7"/>
      <c r="C1101" s="5"/>
      <c r="D1101" s="5"/>
      <c r="E1101" s="8"/>
      <c r="F1101" s="9"/>
      <c r="G1101" s="5"/>
      <c r="H1101" s="28" t="str">
        <f>IFERROR(IF(AND(COUNTIF(RegistroPago!$A$1:$A$2000,Consolidado!B1101)&gt;0,INDEX(RegistroPago!$E$1:$E$2000,MATCH(Consolidado!B1101,RegistroPago!$A$1:$A$2000,0))&lt;&gt;""),"PAGADA",IF(I1101&lt;&gt;"","PENDIENTE","SIN EMITIR")),"")</f>
        <v/>
      </c>
      <c r="I1101" s="10"/>
      <c r="J1101" s="2"/>
      <c r="K1101" s="29"/>
      <c r="L1101" s="29"/>
    </row>
    <row r="1102" spans="1:12" ht="15.75" x14ac:dyDescent="0.25">
      <c r="A1102" s="5"/>
      <c r="B1102" s="7"/>
      <c r="C1102" s="5"/>
      <c r="D1102" s="5"/>
      <c r="E1102" s="8"/>
      <c r="F1102" s="9"/>
      <c r="G1102" s="5"/>
      <c r="H1102" s="28" t="str">
        <f>IFERROR(IF(AND(COUNTIF(RegistroPago!$A$1:$A$2000,Consolidado!B1102)&gt;0,INDEX(RegistroPago!$E$1:$E$2000,MATCH(Consolidado!B1102,RegistroPago!$A$1:$A$2000,0))&lt;&gt;""),"PAGADA",IF(I1102&lt;&gt;"","PENDIENTE","SIN EMITIR")),"")</f>
        <v/>
      </c>
      <c r="I1102" s="10"/>
      <c r="J1102" s="2"/>
      <c r="K1102" s="29"/>
      <c r="L1102" s="29"/>
    </row>
    <row r="1103" spans="1:12" ht="15.75" x14ac:dyDescent="0.25">
      <c r="A1103" s="5"/>
      <c r="B1103" s="7"/>
      <c r="C1103" s="5"/>
      <c r="D1103" s="5"/>
      <c r="E1103" s="8"/>
      <c r="F1103" s="9"/>
      <c r="G1103" s="5"/>
      <c r="H1103" s="28" t="str">
        <f>IFERROR(IF(AND(COUNTIF(RegistroPago!$A$1:$A$2000,Consolidado!B1103)&gt;0,INDEX(RegistroPago!$E$1:$E$2000,MATCH(Consolidado!B1103,RegistroPago!$A$1:$A$2000,0))&lt;&gt;""),"PAGADA",IF(I1103&lt;&gt;"","PENDIENTE","SIN EMITIR")),"")</f>
        <v/>
      </c>
      <c r="I1103" s="10"/>
      <c r="J1103" s="2"/>
      <c r="K1103" s="29"/>
      <c r="L1103" s="29"/>
    </row>
    <row r="1104" spans="1:12" ht="15.75" x14ac:dyDescent="0.25">
      <c r="A1104" s="5"/>
      <c r="B1104" s="7"/>
      <c r="C1104" s="5"/>
      <c r="D1104" s="5"/>
      <c r="E1104" s="8"/>
      <c r="F1104" s="9"/>
      <c r="G1104" s="5"/>
      <c r="H1104" s="28" t="str">
        <f>IFERROR(IF(AND(COUNTIF(RegistroPago!$A$1:$A$2000,Consolidado!B1104)&gt;0,INDEX(RegistroPago!$E$1:$E$2000,MATCH(Consolidado!B1104,RegistroPago!$A$1:$A$2000,0))&lt;&gt;""),"PAGADA",IF(I1104&lt;&gt;"","PENDIENTE","SIN EMITIR")),"")</f>
        <v/>
      </c>
      <c r="I1104" s="10"/>
      <c r="J1104" s="2"/>
      <c r="K1104" s="29"/>
      <c r="L1104" s="29"/>
    </row>
    <row r="1105" spans="1:12" ht="15.75" x14ac:dyDescent="0.25">
      <c r="A1105" s="5"/>
      <c r="B1105" s="7"/>
      <c r="C1105" s="5"/>
      <c r="D1105" s="5"/>
      <c r="E1105" s="8"/>
      <c r="F1105" s="9"/>
      <c r="G1105" s="5"/>
      <c r="H1105" s="28" t="str">
        <f>IFERROR(IF(AND(COUNTIF(RegistroPago!$A$1:$A$2000,Consolidado!B1105)&gt;0,INDEX(RegistroPago!$E$1:$E$2000,MATCH(Consolidado!B1105,RegistroPago!$A$1:$A$2000,0))&lt;&gt;""),"PAGADA",IF(I1105&lt;&gt;"","PENDIENTE","SIN EMITIR")),"")</f>
        <v/>
      </c>
      <c r="I1105" s="10"/>
      <c r="J1105" s="2"/>
      <c r="K1105" s="29"/>
      <c r="L1105" s="29"/>
    </row>
    <row r="1106" spans="1:12" ht="15.75" x14ac:dyDescent="0.25">
      <c r="A1106" s="5"/>
      <c r="B1106" s="7"/>
      <c r="C1106" s="5"/>
      <c r="D1106" s="5"/>
      <c r="E1106" s="8"/>
      <c r="F1106" s="9"/>
      <c r="G1106" s="5"/>
      <c r="H1106" s="28" t="str">
        <f>IFERROR(IF(AND(COUNTIF(RegistroPago!$A$1:$A$2000,Consolidado!B1106)&gt;0,INDEX(RegistroPago!$E$1:$E$2000,MATCH(Consolidado!B1106,RegistroPago!$A$1:$A$2000,0))&lt;&gt;""),"PAGADA",IF(I1106&lt;&gt;"","PENDIENTE","SIN EMITIR")),"")</f>
        <v/>
      </c>
      <c r="I1106" s="10"/>
      <c r="J1106" s="2"/>
      <c r="K1106" s="29"/>
      <c r="L1106" s="29"/>
    </row>
    <row r="1107" spans="1:12" ht="15.75" x14ac:dyDescent="0.25">
      <c r="A1107" s="5"/>
      <c r="B1107" s="7"/>
      <c r="C1107" s="5"/>
      <c r="D1107" s="5"/>
      <c r="E1107" s="8"/>
      <c r="F1107" s="9"/>
      <c r="G1107" s="5"/>
      <c r="H1107" s="28" t="str">
        <f>IFERROR(IF(AND(COUNTIF(RegistroPago!$A$1:$A$2000,Consolidado!B1107)&gt;0,INDEX(RegistroPago!$E$1:$E$2000,MATCH(Consolidado!B1107,RegistroPago!$A$1:$A$2000,0))&lt;&gt;""),"PAGADA",IF(I1107&lt;&gt;"","PENDIENTE","SIN EMITIR")),"")</f>
        <v/>
      </c>
      <c r="I1107" s="10"/>
      <c r="J1107" s="2"/>
      <c r="K1107" s="29"/>
      <c r="L1107" s="29"/>
    </row>
    <row r="1108" spans="1:12" ht="15.75" x14ac:dyDescent="0.25">
      <c r="A1108" s="5"/>
      <c r="B1108" s="7"/>
      <c r="C1108" s="5"/>
      <c r="D1108" s="5"/>
      <c r="E1108" s="8"/>
      <c r="F1108" s="9"/>
      <c r="G1108" s="5"/>
      <c r="H1108" s="28" t="str">
        <f>IFERROR(IF(AND(COUNTIF(RegistroPago!$A$1:$A$2000,Consolidado!B1108)&gt;0,INDEX(RegistroPago!$E$1:$E$2000,MATCH(Consolidado!B1108,RegistroPago!$A$1:$A$2000,0))&lt;&gt;""),"PAGADA",IF(I1108&lt;&gt;"","PENDIENTE","SIN EMITIR")),"")</f>
        <v/>
      </c>
      <c r="I1108" s="10"/>
      <c r="J1108" s="2"/>
      <c r="K1108" s="29"/>
      <c r="L1108" s="29"/>
    </row>
    <row r="1109" spans="1:12" ht="15.75" x14ac:dyDescent="0.25">
      <c r="A1109" s="5"/>
      <c r="B1109" s="7"/>
      <c r="C1109" s="5"/>
      <c r="D1109" s="5"/>
      <c r="E1109" s="8"/>
      <c r="F1109" s="9"/>
      <c r="G1109" s="5"/>
      <c r="H1109" s="28" t="str">
        <f>IFERROR(IF(AND(COUNTIF(RegistroPago!$A$1:$A$2000,Consolidado!B1109)&gt;0,INDEX(RegistroPago!$E$1:$E$2000,MATCH(Consolidado!B1109,RegistroPago!$A$1:$A$2000,0))&lt;&gt;""),"PAGADA",IF(I1109&lt;&gt;"","PENDIENTE","SIN EMITIR")),"")</f>
        <v/>
      </c>
      <c r="I1109" s="10"/>
      <c r="J1109" s="2"/>
      <c r="K1109" s="29"/>
      <c r="L1109" s="29"/>
    </row>
    <row r="1110" spans="1:12" ht="15.75" x14ac:dyDescent="0.25">
      <c r="A1110" s="5"/>
      <c r="B1110" s="7"/>
      <c r="C1110" s="5"/>
      <c r="D1110" s="5"/>
      <c r="E1110" s="8"/>
      <c r="F1110" s="9"/>
      <c r="G1110" s="5"/>
      <c r="H1110" s="28" t="str">
        <f>IFERROR(IF(AND(COUNTIF(RegistroPago!$A$1:$A$2000,Consolidado!B1110)&gt;0,INDEX(RegistroPago!$E$1:$E$2000,MATCH(Consolidado!B1110,RegistroPago!$A$1:$A$2000,0))&lt;&gt;""),"PAGADA",IF(I1110&lt;&gt;"","PENDIENTE","SIN EMITIR")),"")</f>
        <v/>
      </c>
      <c r="I1110" s="10"/>
      <c r="J1110" s="2"/>
      <c r="K1110" s="29"/>
      <c r="L1110" s="29"/>
    </row>
    <row r="1111" spans="1:12" ht="15.75" x14ac:dyDescent="0.25">
      <c r="A1111" s="5"/>
      <c r="B1111" s="7"/>
      <c r="C1111" s="5"/>
      <c r="D1111" s="5"/>
      <c r="E1111" s="8"/>
      <c r="F1111" s="9"/>
      <c r="G1111" s="5"/>
      <c r="H1111" s="28" t="str">
        <f>IFERROR(IF(AND(COUNTIF(RegistroPago!$A$1:$A$2000,Consolidado!B1111)&gt;0,INDEX(RegistroPago!$E$1:$E$2000,MATCH(Consolidado!B1111,RegistroPago!$A$1:$A$2000,0))&lt;&gt;""),"PAGADA",IF(I1111&lt;&gt;"","PENDIENTE","SIN EMITIR")),"")</f>
        <v/>
      </c>
      <c r="I1111" s="10"/>
      <c r="J1111" s="2"/>
      <c r="K1111" s="29"/>
      <c r="L1111" s="29"/>
    </row>
    <row r="1112" spans="1:12" ht="15.75" x14ac:dyDescent="0.25">
      <c r="A1112" s="5"/>
      <c r="B1112" s="7"/>
      <c r="C1112" s="5"/>
      <c r="D1112" s="5"/>
      <c r="E1112" s="8"/>
      <c r="F1112" s="9"/>
      <c r="G1112" s="5"/>
      <c r="H1112" s="28" t="str">
        <f>IFERROR(IF(AND(COUNTIF(RegistroPago!$A$1:$A$2000,Consolidado!B1112)&gt;0,INDEX(RegistroPago!$E$1:$E$2000,MATCH(Consolidado!B1112,RegistroPago!$A$1:$A$2000,0))&lt;&gt;""),"PAGADA",IF(I1112&lt;&gt;"","PENDIENTE","SIN EMITIR")),"")</f>
        <v/>
      </c>
      <c r="I1112" s="10"/>
      <c r="J1112" s="2"/>
      <c r="K1112" s="29"/>
      <c r="L1112" s="29"/>
    </row>
    <row r="1113" spans="1:12" ht="15.75" x14ac:dyDescent="0.25">
      <c r="A1113" s="5"/>
      <c r="B1113" s="7"/>
      <c r="C1113" s="5"/>
      <c r="D1113" s="5"/>
      <c r="E1113" s="8"/>
      <c r="F1113" s="9"/>
      <c r="G1113" s="5"/>
      <c r="H1113" s="28" t="str">
        <f>IFERROR(IF(AND(COUNTIF(RegistroPago!$A$1:$A$2000,Consolidado!B1113)&gt;0,INDEX(RegistroPago!$E$1:$E$2000,MATCH(Consolidado!B1113,RegistroPago!$A$1:$A$2000,0))&lt;&gt;""),"PAGADA",IF(I1113&lt;&gt;"","PENDIENTE","SIN EMITIR")),"")</f>
        <v/>
      </c>
      <c r="I1113" s="10"/>
      <c r="J1113" s="2"/>
      <c r="K1113" s="29"/>
      <c r="L1113" s="29"/>
    </row>
    <row r="1114" spans="1:12" ht="15.75" x14ac:dyDescent="0.25">
      <c r="A1114" s="5"/>
      <c r="B1114" s="7"/>
      <c r="C1114" s="5"/>
      <c r="D1114" s="5"/>
      <c r="E1114" s="8"/>
      <c r="F1114" s="9"/>
      <c r="G1114" s="5"/>
      <c r="H1114" s="28" t="str">
        <f>IFERROR(IF(AND(COUNTIF(RegistroPago!$A$1:$A$2000,Consolidado!B1114)&gt;0,INDEX(RegistroPago!$E$1:$E$2000,MATCH(Consolidado!B1114,RegistroPago!$A$1:$A$2000,0))&lt;&gt;""),"PAGADA",IF(I1114&lt;&gt;"","PENDIENTE","SIN EMITIR")),"")</f>
        <v/>
      </c>
      <c r="I1114" s="10"/>
      <c r="J1114" s="2"/>
      <c r="K1114" s="29"/>
      <c r="L1114" s="29"/>
    </row>
    <row r="1115" spans="1:12" ht="15.75" x14ac:dyDescent="0.25">
      <c r="A1115" s="5"/>
      <c r="B1115" s="7"/>
      <c r="C1115" s="5"/>
      <c r="D1115" s="5"/>
      <c r="E1115" s="8"/>
      <c r="F1115" s="9"/>
      <c r="G1115" s="5"/>
      <c r="H1115" s="28" t="str">
        <f>IFERROR(IF(AND(COUNTIF(RegistroPago!$A$1:$A$2000,Consolidado!B1115)&gt;0,INDEX(RegistroPago!$E$1:$E$2000,MATCH(Consolidado!B1115,RegistroPago!$A$1:$A$2000,0))&lt;&gt;""),"PAGADA",IF(I1115&lt;&gt;"","PENDIENTE","SIN EMITIR")),"")</f>
        <v/>
      </c>
      <c r="I1115" s="10"/>
      <c r="J1115" s="2"/>
      <c r="K1115" s="29"/>
      <c r="L1115" s="29"/>
    </row>
    <row r="1116" spans="1:12" ht="15.75" x14ac:dyDescent="0.25">
      <c r="A1116" s="5"/>
      <c r="B1116" s="7"/>
      <c r="C1116" s="5"/>
      <c r="D1116" s="5"/>
      <c r="E1116" s="8"/>
      <c r="F1116" s="9"/>
      <c r="G1116" s="5"/>
      <c r="H1116" s="28" t="str">
        <f>IFERROR(IF(AND(COUNTIF(RegistroPago!$A$1:$A$2000,Consolidado!B1116)&gt;0,INDEX(RegistroPago!$E$1:$E$2000,MATCH(Consolidado!B1116,RegistroPago!$A$1:$A$2000,0))&lt;&gt;""),"PAGADA",IF(I1116&lt;&gt;"","PENDIENTE","SIN EMITIR")),"")</f>
        <v/>
      </c>
      <c r="I1116" s="10"/>
      <c r="J1116" s="2"/>
      <c r="K1116" s="29"/>
      <c r="L1116" s="29"/>
    </row>
    <row r="1117" spans="1:12" ht="15.75" x14ac:dyDescent="0.25">
      <c r="A1117" s="5"/>
      <c r="B1117" s="7"/>
      <c r="C1117" s="5"/>
      <c r="D1117" s="5"/>
      <c r="E1117" s="8"/>
      <c r="F1117" s="9"/>
      <c r="G1117" s="5"/>
      <c r="H1117" s="28" t="str">
        <f>IFERROR(IF(AND(COUNTIF(RegistroPago!$A$1:$A$2000,Consolidado!B1117)&gt;0,INDEX(RegistroPago!$E$1:$E$2000,MATCH(Consolidado!B1117,RegistroPago!$A$1:$A$2000,0))&lt;&gt;""),"PAGADA",IF(I1117&lt;&gt;"","PENDIENTE","SIN EMITIR")),"")</f>
        <v/>
      </c>
      <c r="I1117" s="10"/>
      <c r="J1117" s="2"/>
      <c r="K1117" s="29"/>
      <c r="L1117" s="29"/>
    </row>
    <row r="1118" spans="1:12" ht="15.75" x14ac:dyDescent="0.25">
      <c r="A1118" s="5"/>
      <c r="B1118" s="7"/>
      <c r="C1118" s="5"/>
      <c r="D1118" s="5"/>
      <c r="E1118" s="8"/>
      <c r="F1118" s="9"/>
      <c r="G1118" s="5"/>
      <c r="H1118" s="28" t="str">
        <f>IFERROR(IF(AND(COUNTIF(RegistroPago!$A$1:$A$2000,Consolidado!B1118)&gt;0,INDEX(RegistroPago!$E$1:$E$2000,MATCH(Consolidado!B1118,RegistroPago!$A$1:$A$2000,0))&lt;&gt;""),"PAGADA",IF(I1118&lt;&gt;"","PENDIENTE","SIN EMITIR")),"")</f>
        <v/>
      </c>
      <c r="I1118" s="10"/>
      <c r="J1118" s="2"/>
      <c r="K1118" s="29"/>
      <c r="L1118" s="29"/>
    </row>
    <row r="1119" spans="1:12" ht="15.75" x14ac:dyDescent="0.25">
      <c r="A1119" s="5"/>
      <c r="B1119" s="7"/>
      <c r="C1119" s="5"/>
      <c r="D1119" s="5"/>
      <c r="E1119" s="8"/>
      <c r="F1119" s="9"/>
      <c r="G1119" s="5"/>
      <c r="H1119" s="28" t="str">
        <f>IFERROR(IF(AND(COUNTIF(RegistroPago!$A$1:$A$2000,Consolidado!B1119)&gt;0,INDEX(RegistroPago!$E$1:$E$2000,MATCH(Consolidado!B1119,RegistroPago!$A$1:$A$2000,0))&lt;&gt;""),"PAGADA",IF(I1119&lt;&gt;"","PENDIENTE","SIN EMITIR")),"")</f>
        <v/>
      </c>
      <c r="I1119" s="10"/>
      <c r="J1119" s="2"/>
      <c r="K1119" s="29"/>
      <c r="L1119" s="29"/>
    </row>
    <row r="1120" spans="1:12" ht="15.75" x14ac:dyDescent="0.25">
      <c r="A1120" s="5"/>
      <c r="B1120" s="7"/>
      <c r="C1120" s="5"/>
      <c r="D1120" s="5"/>
      <c r="E1120" s="8"/>
      <c r="F1120" s="9"/>
      <c r="G1120" s="5"/>
      <c r="H1120" s="28" t="str">
        <f>IFERROR(IF(AND(COUNTIF(RegistroPago!$A$1:$A$2000,Consolidado!B1120)&gt;0,INDEX(RegistroPago!$E$1:$E$2000,MATCH(Consolidado!B1120,RegistroPago!$A$1:$A$2000,0))&lt;&gt;""),"PAGADA",IF(I1120&lt;&gt;"","PENDIENTE","SIN EMITIR")),"")</f>
        <v/>
      </c>
      <c r="I1120" s="10"/>
      <c r="J1120" s="2"/>
      <c r="K1120" s="29"/>
      <c r="L1120" s="29"/>
    </row>
    <row r="1121" spans="1:12" ht="15.75" x14ac:dyDescent="0.25">
      <c r="A1121" s="5"/>
      <c r="B1121" s="7"/>
      <c r="C1121" s="5"/>
      <c r="D1121" s="5"/>
      <c r="E1121" s="8"/>
      <c r="F1121" s="9"/>
      <c r="G1121" s="5"/>
      <c r="H1121" s="28" t="str">
        <f>IFERROR(IF(AND(COUNTIF(RegistroPago!$A$1:$A$2000,Consolidado!B1121)&gt;0,INDEX(RegistroPago!$E$1:$E$2000,MATCH(Consolidado!B1121,RegistroPago!$A$1:$A$2000,0))&lt;&gt;""),"PAGADA",IF(I1121&lt;&gt;"","PENDIENTE","SIN EMITIR")),"")</f>
        <v/>
      </c>
      <c r="I1121" s="10"/>
      <c r="J1121" s="2"/>
      <c r="K1121" s="29"/>
      <c r="L1121" s="29"/>
    </row>
    <row r="1122" spans="1:12" ht="15.75" x14ac:dyDescent="0.25">
      <c r="A1122" s="5"/>
      <c r="B1122" s="7"/>
      <c r="C1122" s="5"/>
      <c r="D1122" s="5"/>
      <c r="E1122" s="8"/>
      <c r="F1122" s="9"/>
      <c r="G1122" s="5"/>
      <c r="H1122" s="28" t="str">
        <f>IFERROR(IF(AND(COUNTIF(RegistroPago!$A$1:$A$2000,Consolidado!B1122)&gt;0,INDEX(RegistroPago!$E$1:$E$2000,MATCH(Consolidado!B1122,RegistroPago!$A$1:$A$2000,0))&lt;&gt;""),"PAGADA",IF(I1122&lt;&gt;"","PENDIENTE","SIN EMITIR")),"")</f>
        <v/>
      </c>
      <c r="I1122" s="10"/>
      <c r="J1122" s="2"/>
      <c r="K1122" s="29"/>
      <c r="L1122" s="29"/>
    </row>
    <row r="1123" spans="1:12" ht="15.75" x14ac:dyDescent="0.25">
      <c r="A1123" s="5"/>
      <c r="B1123" s="7"/>
      <c r="C1123" s="5"/>
      <c r="D1123" s="5"/>
      <c r="E1123" s="8"/>
      <c r="F1123" s="9"/>
      <c r="G1123" s="5"/>
      <c r="H1123" s="28" t="str">
        <f>IFERROR(IF(AND(COUNTIF(RegistroPago!$A$1:$A$2000,Consolidado!B1123)&gt;0,INDEX(RegistroPago!$E$1:$E$2000,MATCH(Consolidado!B1123,RegistroPago!$A$1:$A$2000,0))&lt;&gt;""),"PAGADA",IF(I1123&lt;&gt;"","PENDIENTE","SIN EMITIR")),"")</f>
        <v/>
      </c>
      <c r="I1123" s="10"/>
      <c r="J1123" s="2"/>
      <c r="K1123" s="29"/>
      <c r="L1123" s="29"/>
    </row>
    <row r="1124" spans="1:12" ht="15.75" x14ac:dyDescent="0.25">
      <c r="A1124" s="5"/>
      <c r="B1124" s="7"/>
      <c r="C1124" s="5"/>
      <c r="D1124" s="5"/>
      <c r="E1124" s="8"/>
      <c r="F1124" s="9"/>
      <c r="G1124" s="5"/>
      <c r="H1124" s="28" t="str">
        <f>IFERROR(IF(AND(COUNTIF(RegistroPago!$A$1:$A$2000,Consolidado!B1124)&gt;0,INDEX(RegistroPago!$E$1:$E$2000,MATCH(Consolidado!B1124,RegistroPago!$A$1:$A$2000,0))&lt;&gt;""),"PAGADA",IF(I1124&lt;&gt;"","PENDIENTE","SIN EMITIR")),"")</f>
        <v/>
      </c>
      <c r="I1124" s="10"/>
      <c r="J1124" s="2"/>
      <c r="K1124" s="29"/>
      <c r="L1124" s="29"/>
    </row>
    <row r="1125" spans="1:12" ht="15.75" x14ac:dyDescent="0.25">
      <c r="A1125" s="5"/>
      <c r="B1125" s="7"/>
      <c r="C1125" s="5"/>
      <c r="D1125" s="5"/>
      <c r="E1125" s="8"/>
      <c r="F1125" s="9"/>
      <c r="G1125" s="5"/>
      <c r="H1125" s="28" t="str">
        <f>IFERROR(IF(AND(COUNTIF(RegistroPago!$A$1:$A$2000,Consolidado!B1125)&gt;0,INDEX(RegistroPago!$E$1:$E$2000,MATCH(Consolidado!B1125,RegistroPago!$A$1:$A$2000,0))&lt;&gt;""),"PAGADA",IF(I1125&lt;&gt;"","PENDIENTE","SIN EMITIR")),"")</f>
        <v/>
      </c>
      <c r="I1125" s="10"/>
      <c r="J1125" s="2"/>
      <c r="K1125" s="29"/>
      <c r="L1125" s="29"/>
    </row>
    <row r="1126" spans="1:12" ht="15.75" x14ac:dyDescent="0.25">
      <c r="A1126" s="5"/>
      <c r="B1126" s="7"/>
      <c r="C1126" s="5"/>
      <c r="D1126" s="5"/>
      <c r="E1126" s="8"/>
      <c r="F1126" s="9"/>
      <c r="G1126" s="5"/>
      <c r="H1126" s="28" t="str">
        <f>IFERROR(IF(AND(COUNTIF(RegistroPago!$A$1:$A$2000,Consolidado!B1126)&gt;0,INDEX(RegistroPago!$E$1:$E$2000,MATCH(Consolidado!B1126,RegistroPago!$A$1:$A$2000,0))&lt;&gt;""),"PAGADA",IF(I1126&lt;&gt;"","PENDIENTE","SIN EMITIR")),"")</f>
        <v/>
      </c>
      <c r="I1126" s="10"/>
      <c r="J1126" s="2"/>
      <c r="K1126" s="29"/>
      <c r="L1126" s="29"/>
    </row>
    <row r="1127" spans="1:12" ht="15.75" x14ac:dyDescent="0.25">
      <c r="A1127" s="5"/>
      <c r="B1127" s="7"/>
      <c r="C1127" s="5"/>
      <c r="D1127" s="5"/>
      <c r="E1127" s="8"/>
      <c r="F1127" s="9"/>
      <c r="G1127" s="5"/>
      <c r="H1127" s="28" t="str">
        <f>IFERROR(IF(AND(COUNTIF(RegistroPago!$A$1:$A$2000,Consolidado!B1127)&gt;0,INDEX(RegistroPago!$E$1:$E$2000,MATCH(Consolidado!B1127,RegistroPago!$A$1:$A$2000,0))&lt;&gt;""),"PAGADA",IF(I1127&lt;&gt;"","PENDIENTE","SIN EMITIR")),"")</f>
        <v/>
      </c>
      <c r="I1127" s="10"/>
      <c r="J1127" s="2"/>
      <c r="K1127" s="29"/>
      <c r="L1127" s="29"/>
    </row>
    <row r="1128" spans="1:12" ht="15.75" x14ac:dyDescent="0.25">
      <c r="A1128" s="5"/>
      <c r="B1128" s="7"/>
      <c r="C1128" s="5"/>
      <c r="D1128" s="5"/>
      <c r="E1128" s="8"/>
      <c r="F1128" s="9"/>
      <c r="G1128" s="5"/>
      <c r="H1128" s="28" t="str">
        <f>IFERROR(IF(AND(COUNTIF(RegistroPago!$A$1:$A$2000,Consolidado!B1128)&gt;0,INDEX(RegistroPago!$E$1:$E$2000,MATCH(Consolidado!B1128,RegistroPago!$A$1:$A$2000,0))&lt;&gt;""),"PAGADA",IF(I1128&lt;&gt;"","PENDIENTE","SIN EMITIR")),"")</f>
        <v/>
      </c>
      <c r="I1128" s="10"/>
      <c r="J1128" s="2"/>
      <c r="K1128" s="29"/>
      <c r="L1128" s="29"/>
    </row>
    <row r="1129" spans="1:12" ht="15.75" x14ac:dyDescent="0.25">
      <c r="A1129" s="5"/>
      <c r="B1129" s="7"/>
      <c r="C1129" s="5"/>
      <c r="D1129" s="5"/>
      <c r="E1129" s="8"/>
      <c r="F1129" s="9"/>
      <c r="G1129" s="5"/>
      <c r="H1129" s="28" t="str">
        <f>IFERROR(IF(AND(COUNTIF(RegistroPago!$A$1:$A$2000,Consolidado!B1129)&gt;0,INDEX(RegistroPago!$E$1:$E$2000,MATCH(Consolidado!B1129,RegistroPago!$A$1:$A$2000,0))&lt;&gt;""),"PAGADA",IF(I1129&lt;&gt;"","PENDIENTE","SIN EMITIR")),"")</f>
        <v/>
      </c>
      <c r="I1129" s="10"/>
      <c r="J1129" s="2"/>
      <c r="K1129" s="29"/>
      <c r="L1129" s="29"/>
    </row>
    <row r="1130" spans="1:12" ht="15.75" x14ac:dyDescent="0.25">
      <c r="A1130" s="5"/>
      <c r="B1130" s="7"/>
      <c r="C1130" s="5"/>
      <c r="D1130" s="5"/>
      <c r="E1130" s="8"/>
      <c r="F1130" s="9"/>
      <c r="G1130" s="5"/>
      <c r="H1130" s="28" t="str">
        <f>IFERROR(IF(AND(COUNTIF(RegistroPago!$A$1:$A$2000,Consolidado!B1130)&gt;0,INDEX(RegistroPago!$E$1:$E$2000,MATCH(Consolidado!B1130,RegistroPago!$A$1:$A$2000,0))&lt;&gt;""),"PAGADA",IF(I1130&lt;&gt;"","PENDIENTE","SIN EMITIR")),"")</f>
        <v/>
      </c>
      <c r="I1130" s="10"/>
      <c r="J1130" s="2"/>
      <c r="K1130" s="29"/>
      <c r="L1130" s="29"/>
    </row>
    <row r="1131" spans="1:12" ht="15.75" x14ac:dyDescent="0.25">
      <c r="A1131" s="5"/>
      <c r="B1131" s="7"/>
      <c r="C1131" s="5"/>
      <c r="D1131" s="5"/>
      <c r="E1131" s="8"/>
      <c r="F1131" s="9"/>
      <c r="G1131" s="5"/>
      <c r="H1131" s="28" t="str">
        <f>IFERROR(IF(AND(COUNTIF(RegistroPago!$A$1:$A$2000,Consolidado!B1131)&gt;0,INDEX(RegistroPago!$E$1:$E$2000,MATCH(Consolidado!B1131,RegistroPago!$A$1:$A$2000,0))&lt;&gt;""),"PAGADA",IF(I1131&lt;&gt;"","PENDIENTE","SIN EMITIR")),"")</f>
        <v/>
      </c>
      <c r="I1131" s="10"/>
      <c r="J1131" s="2"/>
      <c r="K1131" s="29"/>
      <c r="L1131" s="29"/>
    </row>
    <row r="1132" spans="1:12" ht="15.75" x14ac:dyDescent="0.25">
      <c r="A1132" s="5"/>
      <c r="B1132" s="7"/>
      <c r="C1132" s="5"/>
      <c r="D1132" s="5"/>
      <c r="E1132" s="8"/>
      <c r="F1132" s="9"/>
      <c r="G1132" s="5"/>
      <c r="H1132" s="28" t="str">
        <f>IFERROR(IF(AND(COUNTIF(RegistroPago!$A$1:$A$2000,Consolidado!B1132)&gt;0,INDEX(RegistroPago!$E$1:$E$2000,MATCH(Consolidado!B1132,RegistroPago!$A$1:$A$2000,0))&lt;&gt;""),"PAGADA",IF(I1132&lt;&gt;"","PENDIENTE","SIN EMITIR")),"")</f>
        <v/>
      </c>
      <c r="I1132" s="10"/>
      <c r="J1132" s="2"/>
      <c r="K1132" s="29"/>
      <c r="L1132" s="29"/>
    </row>
    <row r="1133" spans="1:12" ht="15.75" x14ac:dyDescent="0.25">
      <c r="A1133" s="5"/>
      <c r="B1133" s="7"/>
      <c r="C1133" s="5"/>
      <c r="D1133" s="5"/>
      <c r="E1133" s="8"/>
      <c r="F1133" s="9"/>
      <c r="G1133" s="5"/>
      <c r="H1133" s="28" t="str">
        <f>IFERROR(IF(AND(COUNTIF(RegistroPago!$A$1:$A$2000,Consolidado!B1133)&gt;0,INDEX(RegistroPago!$E$1:$E$2000,MATCH(Consolidado!B1133,RegistroPago!$A$1:$A$2000,0))&lt;&gt;""),"PAGADA",IF(I1133&lt;&gt;"","PENDIENTE","SIN EMITIR")),"")</f>
        <v/>
      </c>
      <c r="I1133" s="10"/>
      <c r="J1133" s="2"/>
      <c r="K1133" s="29"/>
      <c r="L1133" s="29"/>
    </row>
    <row r="1134" spans="1:12" ht="15.75" x14ac:dyDescent="0.25">
      <c r="A1134" s="5"/>
      <c r="B1134" s="7"/>
      <c r="C1134" s="5"/>
      <c r="D1134" s="5"/>
      <c r="E1134" s="8"/>
      <c r="F1134" s="9"/>
      <c r="G1134" s="5"/>
      <c r="H1134" s="28" t="str">
        <f>IFERROR(IF(AND(COUNTIF(RegistroPago!$A$1:$A$2000,Consolidado!B1134)&gt;0,INDEX(RegistroPago!$E$1:$E$2000,MATCH(Consolidado!B1134,RegistroPago!$A$1:$A$2000,0))&lt;&gt;""),"PAGADA",IF(I1134&lt;&gt;"","PENDIENTE","SIN EMITIR")),"")</f>
        <v/>
      </c>
      <c r="I1134" s="10"/>
      <c r="J1134" s="2"/>
      <c r="K1134" s="29"/>
      <c r="L1134" s="29"/>
    </row>
    <row r="1135" spans="1:12" ht="15.75" x14ac:dyDescent="0.25">
      <c r="A1135" s="5"/>
      <c r="B1135" s="7"/>
      <c r="C1135" s="5"/>
      <c r="D1135" s="5"/>
      <c r="E1135" s="8"/>
      <c r="F1135" s="9"/>
      <c r="G1135" s="5"/>
      <c r="H1135" s="28" t="str">
        <f>IFERROR(IF(AND(COUNTIF(RegistroPago!$A$1:$A$2000,Consolidado!B1135)&gt;0,INDEX(RegistroPago!$E$1:$E$2000,MATCH(Consolidado!B1135,RegistroPago!$A$1:$A$2000,0))&lt;&gt;""),"PAGADA",IF(I1135&lt;&gt;"","PENDIENTE","SIN EMITIR")),"")</f>
        <v/>
      </c>
      <c r="I1135" s="10"/>
      <c r="J1135" s="2"/>
      <c r="K1135" s="29"/>
      <c r="L1135" s="29"/>
    </row>
    <row r="1136" spans="1:12" ht="15.75" x14ac:dyDescent="0.25">
      <c r="A1136" s="5"/>
      <c r="B1136" s="7"/>
      <c r="C1136" s="5"/>
      <c r="D1136" s="5"/>
      <c r="E1136" s="8"/>
      <c r="F1136" s="9"/>
      <c r="G1136" s="5"/>
      <c r="H1136" s="28" t="str">
        <f>IFERROR(IF(AND(COUNTIF(RegistroPago!$A$1:$A$2000,Consolidado!B1136)&gt;0,INDEX(RegistroPago!$E$1:$E$2000,MATCH(Consolidado!B1136,RegistroPago!$A$1:$A$2000,0))&lt;&gt;""),"PAGADA",IF(I1136&lt;&gt;"","PENDIENTE","SIN EMITIR")),"")</f>
        <v/>
      </c>
      <c r="I1136" s="10"/>
      <c r="J1136" s="2"/>
      <c r="K1136" s="29"/>
      <c r="L1136" s="29"/>
    </row>
    <row r="1137" spans="1:12" ht="15.75" x14ac:dyDescent="0.25">
      <c r="A1137" s="5"/>
      <c r="B1137" s="7"/>
      <c r="C1137" s="5"/>
      <c r="D1137" s="5"/>
      <c r="E1137" s="8"/>
      <c r="F1137" s="9"/>
      <c r="G1137" s="5"/>
      <c r="H1137" s="28" t="str">
        <f>IFERROR(IF(AND(COUNTIF(RegistroPago!$A$1:$A$2000,Consolidado!B1137)&gt;0,INDEX(RegistroPago!$E$1:$E$2000,MATCH(Consolidado!B1137,RegistroPago!$A$1:$A$2000,0))&lt;&gt;""),"PAGADA",IF(I1137&lt;&gt;"","PENDIENTE","SIN EMITIR")),"")</f>
        <v/>
      </c>
      <c r="I1137" s="10"/>
      <c r="J1137" s="2"/>
      <c r="K1137" s="29"/>
      <c r="L1137" s="29"/>
    </row>
    <row r="1138" spans="1:12" ht="15.75" x14ac:dyDescent="0.25">
      <c r="A1138" s="5"/>
      <c r="B1138" s="7"/>
      <c r="C1138" s="5"/>
      <c r="D1138" s="5"/>
      <c r="E1138" s="8"/>
      <c r="F1138" s="9"/>
      <c r="G1138" s="5"/>
      <c r="H1138" s="28" t="str">
        <f>IFERROR(IF(AND(COUNTIF(RegistroPago!$A$1:$A$2000,Consolidado!B1138)&gt;0,INDEX(RegistroPago!$E$1:$E$2000,MATCH(Consolidado!B1138,RegistroPago!$A$1:$A$2000,0))&lt;&gt;""),"PAGADA",IF(I1138&lt;&gt;"","PENDIENTE","SIN EMITIR")),"")</f>
        <v/>
      </c>
      <c r="I1138" s="10"/>
      <c r="J1138" s="2"/>
      <c r="K1138" s="29"/>
      <c r="L1138" s="29"/>
    </row>
    <row r="1139" spans="1:12" ht="15.75" x14ac:dyDescent="0.25">
      <c r="A1139" s="5"/>
      <c r="B1139" s="7"/>
      <c r="C1139" s="5"/>
      <c r="D1139" s="5"/>
      <c r="E1139" s="8"/>
      <c r="F1139" s="9"/>
      <c r="G1139" s="5"/>
      <c r="H1139" s="28" t="str">
        <f>IFERROR(IF(AND(COUNTIF(RegistroPago!$A$1:$A$2000,Consolidado!B1139)&gt;0,INDEX(RegistroPago!$E$1:$E$2000,MATCH(Consolidado!B1139,RegistroPago!$A$1:$A$2000,0))&lt;&gt;""),"PAGADA",IF(I1139&lt;&gt;"","PENDIENTE","SIN EMITIR")),"")</f>
        <v/>
      </c>
      <c r="I1139" s="10"/>
      <c r="J1139" s="2"/>
      <c r="K1139" s="29"/>
      <c r="L1139" s="29"/>
    </row>
    <row r="1140" spans="1:12" ht="15.75" x14ac:dyDescent="0.25">
      <c r="A1140" s="5"/>
      <c r="B1140" s="7"/>
      <c r="C1140" s="5"/>
      <c r="D1140" s="5"/>
      <c r="E1140" s="8"/>
      <c r="F1140" s="9"/>
      <c r="G1140" s="5"/>
      <c r="H1140" s="28" t="str">
        <f>IFERROR(IF(AND(COUNTIF(RegistroPago!$A$1:$A$2000,Consolidado!B1140)&gt;0,INDEX(RegistroPago!$E$1:$E$2000,MATCH(Consolidado!B1140,RegistroPago!$A$1:$A$2000,0))&lt;&gt;""),"PAGADA",IF(I1140&lt;&gt;"","PENDIENTE","SIN EMITIR")),"")</f>
        <v/>
      </c>
      <c r="I1140" s="10"/>
      <c r="J1140" s="2"/>
      <c r="K1140" s="29"/>
      <c r="L1140" s="29"/>
    </row>
    <row r="1141" spans="1:12" ht="15.75" x14ac:dyDescent="0.25">
      <c r="A1141" s="5"/>
      <c r="B1141" s="7"/>
      <c r="C1141" s="5"/>
      <c r="D1141" s="5"/>
      <c r="E1141" s="8"/>
      <c r="F1141" s="9"/>
      <c r="G1141" s="5"/>
      <c r="H1141" s="28" t="str">
        <f>IFERROR(IF(AND(COUNTIF(RegistroPago!$A$1:$A$2000,Consolidado!B1141)&gt;0,INDEX(RegistroPago!$E$1:$E$2000,MATCH(Consolidado!B1141,RegistroPago!$A$1:$A$2000,0))&lt;&gt;""),"PAGADA",IF(I1141&lt;&gt;"","PENDIENTE","SIN EMITIR")),"")</f>
        <v/>
      </c>
      <c r="I1141" s="10"/>
      <c r="J1141" s="2"/>
      <c r="K1141" s="29"/>
      <c r="L1141" s="29"/>
    </row>
    <row r="1142" spans="1:12" ht="15.75" x14ac:dyDescent="0.25">
      <c r="A1142" s="5"/>
      <c r="B1142" s="7"/>
      <c r="C1142" s="5"/>
      <c r="D1142" s="5"/>
      <c r="E1142" s="8"/>
      <c r="F1142" s="9"/>
      <c r="G1142" s="5"/>
      <c r="H1142" s="28" t="str">
        <f>IFERROR(IF(AND(COUNTIF(RegistroPago!$A$1:$A$2000,Consolidado!B1142)&gt;0,INDEX(RegistroPago!$E$1:$E$2000,MATCH(Consolidado!B1142,RegistroPago!$A$1:$A$2000,0))&lt;&gt;""),"PAGADA",IF(I1142&lt;&gt;"","PENDIENTE","SIN EMITIR")),"")</f>
        <v/>
      </c>
      <c r="I1142" s="10"/>
      <c r="J1142" s="2"/>
      <c r="K1142" s="29"/>
      <c r="L1142" s="29"/>
    </row>
    <row r="1143" spans="1:12" ht="15.75" x14ac:dyDescent="0.25">
      <c r="A1143" s="5"/>
      <c r="B1143" s="7"/>
      <c r="C1143" s="5"/>
      <c r="D1143" s="5"/>
      <c r="E1143" s="8"/>
      <c r="F1143" s="9"/>
      <c r="G1143" s="5"/>
      <c r="H1143" s="28" t="str">
        <f>IFERROR(IF(AND(COUNTIF(RegistroPago!$A$1:$A$2000,Consolidado!B1143)&gt;0,INDEX(RegistroPago!$E$1:$E$2000,MATCH(Consolidado!B1143,RegistroPago!$A$1:$A$2000,0))&lt;&gt;""),"PAGADA",IF(I1143&lt;&gt;"","PENDIENTE","SIN EMITIR")),"")</f>
        <v/>
      </c>
      <c r="I1143" s="10"/>
      <c r="J1143" s="2"/>
      <c r="K1143" s="29"/>
      <c r="L1143" s="29"/>
    </row>
    <row r="1144" spans="1:12" ht="15.75" x14ac:dyDescent="0.25">
      <c r="A1144" s="5"/>
      <c r="B1144" s="7"/>
      <c r="C1144" s="5"/>
      <c r="D1144" s="5"/>
      <c r="E1144" s="8"/>
      <c r="F1144" s="9"/>
      <c r="G1144" s="5"/>
      <c r="H1144" s="28" t="str">
        <f>IFERROR(IF(AND(COUNTIF(RegistroPago!$A$1:$A$2000,Consolidado!B1144)&gt;0,INDEX(RegistroPago!$E$1:$E$2000,MATCH(Consolidado!B1144,RegistroPago!$A$1:$A$2000,0))&lt;&gt;""),"PAGADA",IF(I1144&lt;&gt;"","PENDIENTE","SIN EMITIR")),"")</f>
        <v/>
      </c>
      <c r="I1144" s="10"/>
      <c r="J1144" s="2"/>
      <c r="K1144" s="29"/>
      <c r="L1144" s="29"/>
    </row>
    <row r="1145" spans="1:12" ht="15.75" x14ac:dyDescent="0.25">
      <c r="A1145" s="5"/>
      <c r="B1145" s="7"/>
      <c r="C1145" s="5"/>
      <c r="D1145" s="5"/>
      <c r="E1145" s="8"/>
      <c r="F1145" s="9"/>
      <c r="G1145" s="5"/>
      <c r="H1145" s="28" t="str">
        <f>IFERROR(IF(AND(COUNTIF(RegistroPago!$A$1:$A$2000,Consolidado!B1145)&gt;0,INDEX(RegistroPago!$E$1:$E$2000,MATCH(Consolidado!B1145,RegistroPago!$A$1:$A$2000,0))&lt;&gt;""),"PAGADA",IF(I1145&lt;&gt;"","PENDIENTE","SIN EMITIR")),"")</f>
        <v/>
      </c>
      <c r="I1145" s="10"/>
      <c r="J1145" s="2"/>
      <c r="K1145" s="29"/>
      <c r="L1145" s="29"/>
    </row>
    <row r="1146" spans="1:12" ht="15.75" x14ac:dyDescent="0.25">
      <c r="A1146" s="5"/>
      <c r="B1146" s="7"/>
      <c r="C1146" s="5"/>
      <c r="D1146" s="5"/>
      <c r="E1146" s="8"/>
      <c r="F1146" s="9"/>
      <c r="G1146" s="5"/>
      <c r="H1146" s="28" t="str">
        <f>IFERROR(IF(AND(COUNTIF(RegistroPago!$A$1:$A$2000,Consolidado!B1146)&gt;0,INDEX(RegistroPago!$E$1:$E$2000,MATCH(Consolidado!B1146,RegistroPago!$A$1:$A$2000,0))&lt;&gt;""),"PAGADA",IF(I1146&lt;&gt;"","PENDIENTE","SIN EMITIR")),"")</f>
        <v/>
      </c>
      <c r="I1146" s="10"/>
      <c r="J1146" s="2"/>
      <c r="K1146" s="29"/>
      <c r="L1146" s="29"/>
    </row>
    <row r="1147" spans="1:12" ht="15.75" x14ac:dyDescent="0.25">
      <c r="A1147" s="5"/>
      <c r="B1147" s="7"/>
      <c r="C1147" s="5"/>
      <c r="D1147" s="5"/>
      <c r="E1147" s="8"/>
      <c r="F1147" s="9"/>
      <c r="G1147" s="5"/>
      <c r="H1147" s="28" t="str">
        <f>IFERROR(IF(AND(COUNTIF(RegistroPago!$A$1:$A$2000,Consolidado!B1147)&gt;0,INDEX(RegistroPago!$E$1:$E$2000,MATCH(Consolidado!B1147,RegistroPago!$A$1:$A$2000,0))&lt;&gt;""),"PAGADA",IF(I1147&lt;&gt;"","PENDIENTE","SIN EMITIR")),"")</f>
        <v/>
      </c>
      <c r="I1147" s="10"/>
      <c r="J1147" s="2"/>
      <c r="K1147" s="29"/>
      <c r="L1147" s="29"/>
    </row>
    <row r="1148" spans="1:12" ht="15.75" x14ac:dyDescent="0.25">
      <c r="A1148" s="5"/>
      <c r="B1148" s="7"/>
      <c r="C1148" s="5"/>
      <c r="D1148" s="5"/>
      <c r="E1148" s="8"/>
      <c r="F1148" s="9"/>
      <c r="G1148" s="5"/>
      <c r="H1148" s="28" t="str">
        <f>IFERROR(IF(AND(COUNTIF(RegistroPago!$A$1:$A$2000,Consolidado!B1148)&gt;0,INDEX(RegistroPago!$E$1:$E$2000,MATCH(Consolidado!B1148,RegistroPago!$A$1:$A$2000,0))&lt;&gt;""),"PAGADA",IF(I1148&lt;&gt;"","PENDIENTE","SIN EMITIR")),"")</f>
        <v/>
      </c>
      <c r="I1148" s="10"/>
      <c r="J1148" s="2"/>
      <c r="K1148" s="29"/>
      <c r="L1148" s="29"/>
    </row>
    <row r="1149" spans="1:12" ht="15.75" x14ac:dyDescent="0.25">
      <c r="A1149" s="5"/>
      <c r="B1149" s="7"/>
      <c r="C1149" s="5"/>
      <c r="D1149" s="5"/>
      <c r="E1149" s="8"/>
      <c r="F1149" s="9"/>
      <c r="G1149" s="5"/>
      <c r="H1149" s="28" t="str">
        <f>IFERROR(IF(AND(COUNTIF(RegistroPago!$A$1:$A$2000,Consolidado!B1149)&gt;0,INDEX(RegistroPago!$E$1:$E$2000,MATCH(Consolidado!B1149,RegistroPago!$A$1:$A$2000,0))&lt;&gt;""),"PAGADA",IF(I1149&lt;&gt;"","PENDIENTE","SIN EMITIR")),"")</f>
        <v/>
      </c>
      <c r="I1149" s="10"/>
      <c r="J1149" s="2"/>
      <c r="K1149" s="29"/>
      <c r="L1149" s="29"/>
    </row>
    <row r="1150" spans="1:12" ht="15.75" x14ac:dyDescent="0.25">
      <c r="A1150" s="5"/>
      <c r="B1150" s="7"/>
      <c r="C1150" s="5"/>
      <c r="D1150" s="5"/>
      <c r="E1150" s="8"/>
      <c r="F1150" s="9"/>
      <c r="G1150" s="5"/>
      <c r="H1150" s="28" t="str">
        <f>IFERROR(IF(AND(COUNTIF(RegistroPago!$A$1:$A$2000,Consolidado!B1150)&gt;0,INDEX(RegistroPago!$E$1:$E$2000,MATCH(Consolidado!B1150,RegistroPago!$A$1:$A$2000,0))&lt;&gt;""),"PAGADA",IF(I1150&lt;&gt;"","PENDIENTE","SIN EMITIR")),"")</f>
        <v/>
      </c>
      <c r="I1150" s="10"/>
      <c r="J1150" s="2"/>
      <c r="K1150" s="29"/>
      <c r="L1150" s="29"/>
    </row>
    <row r="1151" spans="1:12" ht="15.75" x14ac:dyDescent="0.25">
      <c r="A1151" s="5"/>
      <c r="B1151" s="7"/>
      <c r="C1151" s="5"/>
      <c r="D1151" s="5"/>
      <c r="E1151" s="8"/>
      <c r="F1151" s="9"/>
      <c r="G1151" s="5"/>
      <c r="H1151" s="28" t="str">
        <f>IFERROR(IF(AND(COUNTIF(RegistroPago!$A$1:$A$2000,Consolidado!B1151)&gt;0,INDEX(RegistroPago!$E$1:$E$2000,MATCH(Consolidado!B1151,RegistroPago!$A$1:$A$2000,0))&lt;&gt;""),"PAGADA",IF(I1151&lt;&gt;"","PENDIENTE","SIN EMITIR")),"")</f>
        <v/>
      </c>
      <c r="I1151" s="10"/>
      <c r="J1151" s="2"/>
      <c r="K1151" s="29"/>
      <c r="L1151" s="29"/>
    </row>
    <row r="1152" spans="1:12" ht="15.75" x14ac:dyDescent="0.25">
      <c r="A1152" s="5"/>
      <c r="B1152" s="7"/>
      <c r="C1152" s="5"/>
      <c r="D1152" s="5"/>
      <c r="E1152" s="8"/>
      <c r="F1152" s="9"/>
      <c r="G1152" s="5"/>
      <c r="H1152" s="28" t="str">
        <f>IFERROR(IF(AND(COUNTIF(RegistroPago!$A$1:$A$2000,Consolidado!B1152)&gt;0,INDEX(RegistroPago!$E$1:$E$2000,MATCH(Consolidado!B1152,RegistroPago!$A$1:$A$2000,0))&lt;&gt;""),"PAGADA",IF(I1152&lt;&gt;"","PENDIENTE","SIN EMITIR")),"")</f>
        <v/>
      </c>
      <c r="I1152" s="10"/>
      <c r="J1152" s="2"/>
      <c r="K1152" s="29"/>
      <c r="L1152" s="29"/>
    </row>
    <row r="1153" spans="1:12" ht="15.75" x14ac:dyDescent="0.25">
      <c r="A1153" s="5"/>
      <c r="B1153" s="7"/>
      <c r="C1153" s="5"/>
      <c r="D1153" s="5"/>
      <c r="E1153" s="8"/>
      <c r="F1153" s="9"/>
      <c r="G1153" s="5"/>
      <c r="H1153" s="28" t="str">
        <f>IFERROR(IF(AND(COUNTIF(RegistroPago!$A$1:$A$2000,Consolidado!B1153)&gt;0,INDEX(RegistroPago!$E$1:$E$2000,MATCH(Consolidado!B1153,RegistroPago!$A$1:$A$2000,0))&lt;&gt;""),"PAGADA",IF(I1153&lt;&gt;"","PENDIENTE","SIN EMITIR")),"")</f>
        <v/>
      </c>
      <c r="I1153" s="10"/>
      <c r="J1153" s="2"/>
      <c r="K1153" s="29"/>
      <c r="L1153" s="29"/>
    </row>
    <row r="1154" spans="1:12" ht="15.75" x14ac:dyDescent="0.25">
      <c r="A1154" s="5"/>
      <c r="B1154" s="7"/>
      <c r="C1154" s="5"/>
      <c r="D1154" s="5"/>
      <c r="E1154" s="8"/>
      <c r="F1154" s="9"/>
      <c r="G1154" s="5"/>
      <c r="H1154" s="28" t="str">
        <f>IFERROR(IF(AND(COUNTIF(RegistroPago!$A$1:$A$2000,Consolidado!B1154)&gt;0,INDEX(RegistroPago!$E$1:$E$2000,MATCH(Consolidado!B1154,RegistroPago!$A$1:$A$2000,0))&lt;&gt;""),"PAGADA",IF(I1154&lt;&gt;"","PENDIENTE","SIN EMITIR")),"")</f>
        <v/>
      </c>
      <c r="I1154" s="10"/>
      <c r="J1154" s="2"/>
      <c r="K1154" s="29"/>
      <c r="L1154" s="29"/>
    </row>
    <row r="1155" spans="1:12" ht="15.75" x14ac:dyDescent="0.25">
      <c r="A1155" s="5"/>
      <c r="B1155" s="7"/>
      <c r="C1155" s="5"/>
      <c r="D1155" s="5"/>
      <c r="E1155" s="8"/>
      <c r="F1155" s="9"/>
      <c r="G1155" s="5"/>
      <c r="H1155" s="28" t="str">
        <f>IFERROR(IF(AND(COUNTIF(RegistroPago!$A$1:$A$2000,Consolidado!B1155)&gt;0,INDEX(RegistroPago!$E$1:$E$2000,MATCH(Consolidado!B1155,RegistroPago!$A$1:$A$2000,0))&lt;&gt;""),"PAGADA",IF(I1155&lt;&gt;"","PENDIENTE","SIN EMITIR")),"")</f>
        <v/>
      </c>
      <c r="I1155" s="10"/>
      <c r="J1155" s="2"/>
      <c r="K1155" s="29"/>
      <c r="L1155" s="29"/>
    </row>
    <row r="1156" spans="1:12" ht="15.75" x14ac:dyDescent="0.25">
      <c r="A1156" s="5"/>
      <c r="B1156" s="7"/>
      <c r="C1156" s="5"/>
      <c r="D1156" s="5"/>
      <c r="E1156" s="8"/>
      <c r="F1156" s="9"/>
      <c r="G1156" s="5"/>
      <c r="H1156" s="28" t="str">
        <f>IFERROR(IF(AND(COUNTIF(RegistroPago!$A$1:$A$2000,Consolidado!B1156)&gt;0,INDEX(RegistroPago!$E$1:$E$2000,MATCH(Consolidado!B1156,RegistroPago!$A$1:$A$2000,0))&lt;&gt;""),"PAGADA",IF(I1156&lt;&gt;"","PENDIENTE","SIN EMITIR")),"")</f>
        <v/>
      </c>
      <c r="I1156" s="10"/>
      <c r="J1156" s="2"/>
      <c r="K1156" s="29"/>
      <c r="L1156" s="29"/>
    </row>
    <row r="1157" spans="1:12" ht="15.75" x14ac:dyDescent="0.25">
      <c r="A1157" s="5"/>
      <c r="B1157" s="7"/>
      <c r="C1157" s="5"/>
      <c r="D1157" s="5"/>
      <c r="E1157" s="8"/>
      <c r="F1157" s="9"/>
      <c r="G1157" s="5"/>
      <c r="H1157" s="28" t="str">
        <f>IFERROR(IF(AND(COUNTIF(RegistroPago!$A$1:$A$2000,Consolidado!B1157)&gt;0,INDEX(RegistroPago!$E$1:$E$2000,MATCH(Consolidado!B1157,RegistroPago!$A$1:$A$2000,0))&lt;&gt;""),"PAGADA",IF(I1157&lt;&gt;"","PENDIENTE","SIN EMITIR")),"")</f>
        <v/>
      </c>
      <c r="I1157" s="10"/>
      <c r="J1157" s="2"/>
      <c r="K1157" s="29"/>
      <c r="L1157" s="29"/>
    </row>
    <row r="1158" spans="1:12" ht="15.75" x14ac:dyDescent="0.25">
      <c r="A1158" s="5"/>
      <c r="B1158" s="7"/>
      <c r="C1158" s="5"/>
      <c r="D1158" s="5"/>
      <c r="E1158" s="8"/>
      <c r="F1158" s="9"/>
      <c r="G1158" s="5"/>
      <c r="H1158" s="28" t="str">
        <f>IFERROR(IF(AND(COUNTIF(RegistroPago!$A$1:$A$2000,Consolidado!B1158)&gt;0,INDEX(RegistroPago!$E$1:$E$2000,MATCH(Consolidado!B1158,RegistroPago!$A$1:$A$2000,0))&lt;&gt;""),"PAGADA",IF(I1158&lt;&gt;"","PENDIENTE","SIN EMITIR")),"")</f>
        <v/>
      </c>
      <c r="I1158" s="10"/>
      <c r="J1158" s="2"/>
      <c r="K1158" s="29"/>
      <c r="L1158" s="29"/>
    </row>
    <row r="1159" spans="1:12" ht="15.75" x14ac:dyDescent="0.25">
      <c r="A1159" s="5"/>
      <c r="B1159" s="7"/>
      <c r="C1159" s="5"/>
      <c r="D1159" s="5"/>
      <c r="E1159" s="8"/>
      <c r="F1159" s="9"/>
      <c r="G1159" s="5"/>
      <c r="H1159" s="28" t="str">
        <f>IFERROR(IF(AND(COUNTIF(RegistroPago!$A$1:$A$2000,Consolidado!B1159)&gt;0,INDEX(RegistroPago!$E$1:$E$2000,MATCH(Consolidado!B1159,RegistroPago!$A$1:$A$2000,0))&lt;&gt;""),"PAGADA",IF(I1159&lt;&gt;"","PENDIENTE","SIN EMITIR")),"")</f>
        <v/>
      </c>
      <c r="I1159" s="10"/>
      <c r="J1159" s="2"/>
      <c r="K1159" s="29"/>
      <c r="L1159" s="29"/>
    </row>
    <row r="1160" spans="1:12" ht="15.75" x14ac:dyDescent="0.25">
      <c r="A1160" s="5"/>
      <c r="B1160" s="7"/>
      <c r="C1160" s="5"/>
      <c r="D1160" s="5"/>
      <c r="E1160" s="8"/>
      <c r="F1160" s="9"/>
      <c r="G1160" s="5"/>
      <c r="H1160" s="28" t="str">
        <f>IFERROR(IF(AND(COUNTIF(RegistroPago!$A$1:$A$2000,Consolidado!B1160)&gt;0,INDEX(RegistroPago!$E$1:$E$2000,MATCH(Consolidado!B1160,RegistroPago!$A$1:$A$2000,0))&lt;&gt;""),"PAGADA",IF(I1160&lt;&gt;"","PENDIENTE","SIN EMITIR")),"")</f>
        <v/>
      </c>
      <c r="I1160" s="10"/>
      <c r="J1160" s="2"/>
      <c r="K1160" s="29"/>
      <c r="L1160" s="29"/>
    </row>
    <row r="1161" spans="1:12" ht="15.75" x14ac:dyDescent="0.25">
      <c r="A1161" s="5"/>
      <c r="B1161" s="7"/>
      <c r="C1161" s="5"/>
      <c r="D1161" s="5"/>
      <c r="E1161" s="8"/>
      <c r="F1161" s="9"/>
      <c r="G1161" s="5"/>
      <c r="H1161" s="28" t="str">
        <f>IFERROR(IF(AND(COUNTIF(RegistroPago!$A$1:$A$2000,Consolidado!B1161)&gt;0,INDEX(RegistroPago!$E$1:$E$2000,MATCH(Consolidado!B1161,RegistroPago!$A$1:$A$2000,0))&lt;&gt;""),"PAGADA",IF(I1161&lt;&gt;"","PENDIENTE","SIN EMITIR")),"")</f>
        <v/>
      </c>
      <c r="I1161" s="10"/>
      <c r="J1161" s="2"/>
      <c r="K1161" s="29"/>
      <c r="L1161" s="29"/>
    </row>
    <row r="1162" spans="1:12" ht="15.75" x14ac:dyDescent="0.25">
      <c r="A1162" s="5"/>
      <c r="B1162" s="7"/>
      <c r="C1162" s="5"/>
      <c r="D1162" s="5"/>
      <c r="E1162" s="8"/>
      <c r="F1162" s="9"/>
      <c r="G1162" s="5"/>
      <c r="H1162" s="28" t="str">
        <f>IFERROR(IF(AND(COUNTIF(RegistroPago!$A$1:$A$2000,Consolidado!B1162)&gt;0,INDEX(RegistroPago!$E$1:$E$2000,MATCH(Consolidado!B1162,RegistroPago!$A$1:$A$2000,0))&lt;&gt;""),"PAGADA",IF(I1162&lt;&gt;"","PENDIENTE","SIN EMITIR")),"")</f>
        <v/>
      </c>
      <c r="I1162" s="10"/>
      <c r="J1162" s="2"/>
      <c r="K1162" s="29"/>
      <c r="L1162" s="29"/>
    </row>
    <row r="1163" spans="1:12" ht="15.75" x14ac:dyDescent="0.25">
      <c r="A1163" s="5"/>
      <c r="B1163" s="7"/>
      <c r="C1163" s="5"/>
      <c r="D1163" s="5"/>
      <c r="E1163" s="8"/>
      <c r="F1163" s="9"/>
      <c r="G1163" s="5"/>
      <c r="H1163" s="28" t="str">
        <f>IFERROR(IF(AND(COUNTIF(RegistroPago!$A$1:$A$2000,Consolidado!B1163)&gt;0,INDEX(RegistroPago!$E$1:$E$2000,MATCH(Consolidado!B1163,RegistroPago!$A$1:$A$2000,0))&lt;&gt;""),"PAGADA",IF(I1163&lt;&gt;"","PENDIENTE","SIN EMITIR")),"")</f>
        <v/>
      </c>
      <c r="I1163" s="10"/>
      <c r="J1163" s="2"/>
      <c r="K1163" s="29"/>
      <c r="L1163" s="29"/>
    </row>
    <row r="1164" spans="1:12" ht="15.75" x14ac:dyDescent="0.25">
      <c r="A1164" s="5"/>
      <c r="B1164" s="7"/>
      <c r="C1164" s="5"/>
      <c r="D1164" s="5"/>
      <c r="E1164" s="8"/>
      <c r="F1164" s="9"/>
      <c r="G1164" s="5"/>
      <c r="H1164" s="28" t="str">
        <f>IFERROR(IF(AND(COUNTIF(RegistroPago!$A$1:$A$2000,Consolidado!B1164)&gt;0,INDEX(RegistroPago!$E$1:$E$2000,MATCH(Consolidado!B1164,RegistroPago!$A$1:$A$2000,0))&lt;&gt;""),"PAGADA",IF(I1164&lt;&gt;"","PENDIENTE","SIN EMITIR")),"")</f>
        <v/>
      </c>
      <c r="I1164" s="10"/>
      <c r="J1164" s="2"/>
      <c r="K1164" s="29"/>
      <c r="L1164" s="29"/>
    </row>
    <row r="1165" spans="1:12" ht="15.75" x14ac:dyDescent="0.25">
      <c r="A1165" s="5"/>
      <c r="B1165" s="7"/>
      <c r="C1165" s="5"/>
      <c r="D1165" s="5"/>
      <c r="E1165" s="8"/>
      <c r="F1165" s="9"/>
      <c r="G1165" s="5"/>
      <c r="H1165" s="28" t="str">
        <f>IFERROR(IF(AND(COUNTIF(RegistroPago!$A$1:$A$2000,Consolidado!B1165)&gt;0,INDEX(RegistroPago!$E$1:$E$2000,MATCH(Consolidado!B1165,RegistroPago!$A$1:$A$2000,0))&lt;&gt;""),"PAGADA",IF(I1165&lt;&gt;"","PENDIENTE","SIN EMITIR")),"")</f>
        <v/>
      </c>
      <c r="I1165" s="10"/>
      <c r="J1165" s="2"/>
      <c r="K1165" s="29"/>
      <c r="L1165" s="29"/>
    </row>
    <row r="1166" spans="1:12" ht="15.75" x14ac:dyDescent="0.25">
      <c r="A1166" s="5"/>
      <c r="B1166" s="7"/>
      <c r="C1166" s="5"/>
      <c r="D1166" s="5"/>
      <c r="E1166" s="8"/>
      <c r="F1166" s="9"/>
      <c r="G1166" s="5"/>
      <c r="H1166" s="28" t="str">
        <f>IFERROR(IF(AND(COUNTIF(RegistroPago!$A$1:$A$2000,Consolidado!B1166)&gt;0,INDEX(RegistroPago!$E$1:$E$2000,MATCH(Consolidado!B1166,RegistroPago!$A$1:$A$2000,0))&lt;&gt;""),"PAGADA",IF(I1166&lt;&gt;"","PENDIENTE","SIN EMITIR")),"")</f>
        <v/>
      </c>
      <c r="I1166" s="10"/>
      <c r="J1166" s="2"/>
      <c r="K1166" s="29"/>
      <c r="L1166" s="29"/>
    </row>
    <row r="1167" spans="1:12" ht="15.75" x14ac:dyDescent="0.25">
      <c r="A1167" s="5"/>
      <c r="B1167" s="7"/>
      <c r="C1167" s="5"/>
      <c r="D1167" s="5"/>
      <c r="E1167" s="8"/>
      <c r="F1167" s="9"/>
      <c r="G1167" s="5"/>
      <c r="H1167" s="28" t="str">
        <f>IFERROR(IF(AND(COUNTIF(RegistroPago!$A$1:$A$2000,Consolidado!B1167)&gt;0,INDEX(RegistroPago!$E$1:$E$2000,MATCH(Consolidado!B1167,RegistroPago!$A$1:$A$2000,0))&lt;&gt;""),"PAGADA",IF(I1167&lt;&gt;"","PENDIENTE","SIN EMITIR")),"")</f>
        <v/>
      </c>
      <c r="I1167" s="10"/>
      <c r="J1167" s="2"/>
      <c r="K1167" s="29"/>
      <c r="L1167" s="29"/>
    </row>
    <row r="1168" spans="1:12" ht="15.75" x14ac:dyDescent="0.25">
      <c r="A1168" s="5"/>
      <c r="B1168" s="7"/>
      <c r="C1168" s="5"/>
      <c r="D1168" s="5"/>
      <c r="E1168" s="8"/>
      <c r="F1168" s="9"/>
      <c r="G1168" s="5"/>
      <c r="H1168" s="28" t="str">
        <f>IFERROR(IF(AND(COUNTIF(RegistroPago!$A$1:$A$2000,Consolidado!B1168)&gt;0,INDEX(RegistroPago!$E$1:$E$2000,MATCH(Consolidado!B1168,RegistroPago!$A$1:$A$2000,0))&lt;&gt;""),"PAGADA",IF(I1168&lt;&gt;"","PENDIENTE","SIN EMITIR")),"")</f>
        <v/>
      </c>
      <c r="I1168" s="10"/>
      <c r="J1168" s="2"/>
      <c r="K1168" s="29"/>
      <c r="L1168" s="29"/>
    </row>
    <row r="1169" spans="1:12" ht="15.75" x14ac:dyDescent="0.25">
      <c r="A1169" s="5"/>
      <c r="B1169" s="7"/>
      <c r="C1169" s="5"/>
      <c r="D1169" s="5"/>
      <c r="E1169" s="8"/>
      <c r="F1169" s="9"/>
      <c r="G1169" s="5"/>
      <c r="H1169" s="28" t="str">
        <f>IFERROR(IF(AND(COUNTIF(RegistroPago!$A$1:$A$2000,Consolidado!B1169)&gt;0,INDEX(RegistroPago!$E$1:$E$2000,MATCH(Consolidado!B1169,RegistroPago!$A$1:$A$2000,0))&lt;&gt;""),"PAGADA",IF(I1169&lt;&gt;"","PENDIENTE","SIN EMITIR")),"")</f>
        <v/>
      </c>
      <c r="I1169" s="10"/>
      <c r="J1169" s="2"/>
      <c r="K1169" s="29"/>
      <c r="L1169" s="29"/>
    </row>
    <row r="1170" spans="1:12" ht="15.75" x14ac:dyDescent="0.25">
      <c r="A1170" s="5"/>
      <c r="B1170" s="7"/>
      <c r="C1170" s="5"/>
      <c r="D1170" s="5"/>
      <c r="E1170" s="8"/>
      <c r="F1170" s="9"/>
      <c r="G1170" s="5"/>
      <c r="H1170" s="28" t="str">
        <f>IFERROR(IF(AND(COUNTIF(RegistroPago!$A$1:$A$2000,Consolidado!B1170)&gt;0,INDEX(RegistroPago!$E$1:$E$2000,MATCH(Consolidado!B1170,RegistroPago!$A$1:$A$2000,0))&lt;&gt;""),"PAGADA",IF(I1170&lt;&gt;"","PENDIENTE","SIN EMITIR")),"")</f>
        <v/>
      </c>
      <c r="I1170" s="10"/>
      <c r="J1170" s="2"/>
      <c r="K1170" s="29"/>
      <c r="L1170" s="29"/>
    </row>
    <row r="1171" spans="1:12" ht="15.75" x14ac:dyDescent="0.25">
      <c r="A1171" s="5"/>
      <c r="B1171" s="7"/>
      <c r="C1171" s="5"/>
      <c r="D1171" s="5"/>
      <c r="E1171" s="8"/>
      <c r="F1171" s="9"/>
      <c r="G1171" s="5"/>
      <c r="H1171" s="28" t="str">
        <f>IFERROR(IF(AND(COUNTIF(RegistroPago!$A$1:$A$2000,Consolidado!B1171)&gt;0,INDEX(RegistroPago!$E$1:$E$2000,MATCH(Consolidado!B1171,RegistroPago!$A$1:$A$2000,0))&lt;&gt;""),"PAGADA",IF(I1171&lt;&gt;"","PENDIENTE","SIN EMITIR")),"")</f>
        <v/>
      </c>
      <c r="I1171" s="10"/>
      <c r="J1171" s="2"/>
      <c r="K1171" s="29"/>
      <c r="L1171" s="29"/>
    </row>
    <row r="1172" spans="1:12" ht="15.75" x14ac:dyDescent="0.25">
      <c r="A1172" s="5"/>
      <c r="B1172" s="7"/>
      <c r="C1172" s="5"/>
      <c r="D1172" s="5"/>
      <c r="E1172" s="8"/>
      <c r="F1172" s="9"/>
      <c r="G1172" s="5"/>
      <c r="H1172" s="28" t="str">
        <f>IFERROR(IF(AND(COUNTIF(RegistroPago!$A$1:$A$2000,Consolidado!B1172)&gt;0,INDEX(RegistroPago!$E$1:$E$2000,MATCH(Consolidado!B1172,RegistroPago!$A$1:$A$2000,0))&lt;&gt;""),"PAGADA",IF(I1172&lt;&gt;"","PENDIENTE","SIN EMITIR")),"")</f>
        <v/>
      </c>
      <c r="I1172" s="10"/>
      <c r="J1172" s="2"/>
      <c r="K1172" s="29"/>
      <c r="L1172" s="29"/>
    </row>
    <row r="1173" spans="1:12" ht="15.75" x14ac:dyDescent="0.25">
      <c r="A1173" s="5"/>
      <c r="B1173" s="7"/>
      <c r="C1173" s="5"/>
      <c r="D1173" s="5"/>
      <c r="E1173" s="8"/>
      <c r="F1173" s="9"/>
      <c r="G1173" s="5"/>
      <c r="H1173" s="28" t="str">
        <f>IFERROR(IF(AND(COUNTIF(RegistroPago!$A$1:$A$2000,Consolidado!B1173)&gt;0,INDEX(RegistroPago!$E$1:$E$2000,MATCH(Consolidado!B1173,RegistroPago!$A$1:$A$2000,0))&lt;&gt;""),"PAGADA",IF(I1173&lt;&gt;"","PENDIENTE","SIN EMITIR")),"")</f>
        <v/>
      </c>
      <c r="I1173" s="10"/>
      <c r="J1173" s="2"/>
      <c r="K1173" s="29"/>
      <c r="L1173" s="29"/>
    </row>
    <row r="1174" spans="1:12" ht="15.75" x14ac:dyDescent="0.25">
      <c r="A1174" s="5"/>
      <c r="B1174" s="7"/>
      <c r="C1174" s="5"/>
      <c r="D1174" s="5"/>
      <c r="E1174" s="8"/>
      <c r="F1174" s="9"/>
      <c r="G1174" s="5"/>
      <c r="H1174" s="28" t="str">
        <f>IFERROR(IF(AND(COUNTIF(RegistroPago!$A$1:$A$2000,Consolidado!B1174)&gt;0,INDEX(RegistroPago!$E$1:$E$2000,MATCH(Consolidado!B1174,RegistroPago!$A$1:$A$2000,0))&lt;&gt;""),"PAGADA",IF(I1174&lt;&gt;"","PENDIENTE","SIN EMITIR")),"")</f>
        <v/>
      </c>
      <c r="I1174" s="10"/>
      <c r="J1174" s="2"/>
      <c r="K1174" s="29"/>
      <c r="L1174" s="29"/>
    </row>
    <row r="1175" spans="1:12" ht="15.75" x14ac:dyDescent="0.25">
      <c r="A1175" s="5"/>
      <c r="B1175" s="7"/>
      <c r="C1175" s="5"/>
      <c r="D1175" s="5"/>
      <c r="E1175" s="8"/>
      <c r="F1175" s="9"/>
      <c r="G1175" s="5"/>
      <c r="H1175" s="28" t="str">
        <f>IFERROR(IF(AND(COUNTIF(RegistroPago!$A$1:$A$2000,Consolidado!B1175)&gt;0,INDEX(RegistroPago!$E$1:$E$2000,MATCH(Consolidado!B1175,RegistroPago!$A$1:$A$2000,0))&lt;&gt;""),"PAGADA",IF(I1175&lt;&gt;"","PENDIENTE","SIN EMITIR")),"")</f>
        <v/>
      </c>
      <c r="I1175" s="10"/>
      <c r="J1175" s="2"/>
      <c r="K1175" s="29"/>
      <c r="L1175" s="29"/>
    </row>
    <row r="1176" spans="1:12" ht="15.75" x14ac:dyDescent="0.25">
      <c r="A1176" s="5"/>
      <c r="B1176" s="7"/>
      <c r="C1176" s="5"/>
      <c r="D1176" s="5"/>
      <c r="E1176" s="8"/>
      <c r="F1176" s="9"/>
      <c r="G1176" s="5"/>
      <c r="H1176" s="28" t="str">
        <f>IFERROR(IF(AND(COUNTIF(RegistroPago!$A$1:$A$2000,Consolidado!B1176)&gt;0,INDEX(RegistroPago!$E$1:$E$2000,MATCH(Consolidado!B1176,RegistroPago!$A$1:$A$2000,0))&lt;&gt;""),"PAGADA",IF(I1176&lt;&gt;"","PENDIENTE","SIN EMITIR")),"")</f>
        <v/>
      </c>
      <c r="I1176" s="10"/>
      <c r="J1176" s="2"/>
      <c r="K1176" s="29"/>
      <c r="L1176" s="29"/>
    </row>
    <row r="1177" spans="1:12" ht="15.75" x14ac:dyDescent="0.25">
      <c r="A1177" s="5"/>
      <c r="B1177" s="7"/>
      <c r="C1177" s="5"/>
      <c r="D1177" s="5"/>
      <c r="E1177" s="8"/>
      <c r="F1177" s="9"/>
      <c r="G1177" s="5"/>
      <c r="H1177" s="28" t="str">
        <f>IFERROR(IF(AND(COUNTIF(RegistroPago!$A$1:$A$2000,Consolidado!B1177)&gt;0,INDEX(RegistroPago!$E$1:$E$2000,MATCH(Consolidado!B1177,RegistroPago!$A$1:$A$2000,0))&lt;&gt;""),"PAGADA",IF(I1177&lt;&gt;"","PENDIENTE","SIN EMITIR")),"")</f>
        <v/>
      </c>
      <c r="I1177" s="10"/>
      <c r="J1177" s="2"/>
      <c r="K1177" s="29"/>
      <c r="L1177" s="29"/>
    </row>
    <row r="1178" spans="1:12" ht="15.75" x14ac:dyDescent="0.25">
      <c r="A1178" s="5"/>
      <c r="B1178" s="7"/>
      <c r="C1178" s="5"/>
      <c r="D1178" s="5"/>
      <c r="E1178" s="8"/>
      <c r="F1178" s="9"/>
      <c r="G1178" s="5"/>
      <c r="H1178" s="28" t="str">
        <f>IFERROR(IF(AND(COUNTIF(RegistroPago!$A$1:$A$2000,Consolidado!B1178)&gt;0,INDEX(RegistroPago!$E$1:$E$2000,MATCH(Consolidado!B1178,RegistroPago!$A$1:$A$2000,0))&lt;&gt;""),"PAGADA",IF(I1178&lt;&gt;"","PENDIENTE","SIN EMITIR")),"")</f>
        <v/>
      </c>
      <c r="I1178" s="10"/>
      <c r="J1178" s="2"/>
      <c r="K1178" s="29"/>
      <c r="L1178" s="29"/>
    </row>
    <row r="1179" spans="1:12" ht="15.75" x14ac:dyDescent="0.25">
      <c r="A1179" s="5"/>
      <c r="B1179" s="7"/>
      <c r="C1179" s="5"/>
      <c r="D1179" s="5"/>
      <c r="E1179" s="8"/>
      <c r="F1179" s="9"/>
      <c r="G1179" s="5"/>
      <c r="H1179" s="28" t="str">
        <f>IFERROR(IF(AND(COUNTIF(RegistroPago!$A$1:$A$2000,Consolidado!B1179)&gt;0,INDEX(RegistroPago!$E$1:$E$2000,MATCH(Consolidado!B1179,RegistroPago!$A$1:$A$2000,0))&lt;&gt;""),"PAGADA",IF(I1179&lt;&gt;"","PENDIENTE","SIN EMITIR")),"")</f>
        <v/>
      </c>
      <c r="I1179" s="10"/>
      <c r="J1179" s="2"/>
      <c r="K1179" s="29"/>
      <c r="L1179" s="29"/>
    </row>
    <row r="1180" spans="1:12" ht="15.75" x14ac:dyDescent="0.25">
      <c r="A1180" s="5"/>
      <c r="B1180" s="7"/>
      <c r="C1180" s="5"/>
      <c r="D1180" s="5"/>
      <c r="E1180" s="8"/>
      <c r="F1180" s="9"/>
      <c r="G1180" s="5"/>
      <c r="H1180" s="28" t="str">
        <f>IFERROR(IF(AND(COUNTIF(RegistroPago!$A$1:$A$2000,Consolidado!B1180)&gt;0,INDEX(RegistroPago!$E$1:$E$2000,MATCH(Consolidado!B1180,RegistroPago!$A$1:$A$2000,0))&lt;&gt;""),"PAGADA",IF(I1180&lt;&gt;"","PENDIENTE","SIN EMITIR")),"")</f>
        <v/>
      </c>
      <c r="I1180" s="10"/>
      <c r="J1180" s="2"/>
      <c r="K1180" s="29"/>
      <c r="L1180" s="29"/>
    </row>
    <row r="1181" spans="1:12" ht="15.75" x14ac:dyDescent="0.25">
      <c r="A1181" s="5"/>
      <c r="B1181" s="7"/>
      <c r="C1181" s="5"/>
      <c r="D1181" s="5"/>
      <c r="E1181" s="8"/>
      <c r="F1181" s="9"/>
      <c r="G1181" s="5"/>
      <c r="H1181" s="28" t="str">
        <f>IFERROR(IF(AND(COUNTIF(RegistroPago!$A$1:$A$2000,Consolidado!B1181)&gt;0,INDEX(RegistroPago!$E$1:$E$2000,MATCH(Consolidado!B1181,RegistroPago!$A$1:$A$2000,0))&lt;&gt;""),"PAGADA",IF(I1181&lt;&gt;"","PENDIENTE","SIN EMITIR")),"")</f>
        <v/>
      </c>
      <c r="I1181" s="10"/>
      <c r="J1181" s="2"/>
      <c r="K1181" s="29"/>
      <c r="L1181" s="29"/>
    </row>
    <row r="1182" spans="1:12" ht="15.75" x14ac:dyDescent="0.25">
      <c r="A1182" s="5"/>
      <c r="B1182" s="7"/>
      <c r="C1182" s="5"/>
      <c r="D1182" s="5"/>
      <c r="E1182" s="8"/>
      <c r="F1182" s="9"/>
      <c r="G1182" s="5"/>
      <c r="H1182" s="28" t="str">
        <f>IFERROR(IF(AND(COUNTIF(RegistroPago!$A$1:$A$2000,Consolidado!B1182)&gt;0,INDEX(RegistroPago!$E$1:$E$2000,MATCH(Consolidado!B1182,RegistroPago!$A$1:$A$2000,0))&lt;&gt;""),"PAGADA",IF(I1182&lt;&gt;"","PENDIENTE","SIN EMITIR")),"")</f>
        <v/>
      </c>
      <c r="I1182" s="10"/>
      <c r="J1182" s="2"/>
      <c r="K1182" s="29"/>
      <c r="L1182" s="29"/>
    </row>
    <row r="1183" spans="1:12" ht="15.75" x14ac:dyDescent="0.25">
      <c r="A1183" s="5"/>
      <c r="B1183" s="7"/>
      <c r="C1183" s="5"/>
      <c r="D1183" s="5"/>
      <c r="E1183" s="8"/>
      <c r="F1183" s="9"/>
      <c r="G1183" s="5"/>
      <c r="H1183" s="28" t="str">
        <f>IFERROR(IF(AND(COUNTIF(RegistroPago!$A$1:$A$2000,Consolidado!B1183)&gt;0,INDEX(RegistroPago!$E$1:$E$2000,MATCH(Consolidado!B1183,RegistroPago!$A$1:$A$2000,0))&lt;&gt;""),"PAGADA",IF(I1183&lt;&gt;"","PENDIENTE","SIN EMITIR")),"")</f>
        <v/>
      </c>
      <c r="I1183" s="10"/>
      <c r="J1183" s="2"/>
      <c r="K1183" s="29"/>
      <c r="L1183" s="29"/>
    </row>
    <row r="1184" spans="1:12" ht="15.75" x14ac:dyDescent="0.25">
      <c r="A1184" s="5"/>
      <c r="B1184" s="7"/>
      <c r="C1184" s="5"/>
      <c r="D1184" s="5"/>
      <c r="E1184" s="8"/>
      <c r="F1184" s="9"/>
      <c r="G1184" s="5"/>
      <c r="H1184" s="28" t="str">
        <f>IFERROR(IF(AND(COUNTIF(RegistroPago!$A$1:$A$2000,Consolidado!B1184)&gt;0,INDEX(RegistroPago!$E$1:$E$2000,MATCH(Consolidado!B1184,RegistroPago!$A$1:$A$2000,0))&lt;&gt;""),"PAGADA",IF(I1184&lt;&gt;"","PENDIENTE","SIN EMITIR")),"")</f>
        <v/>
      </c>
      <c r="I1184" s="10"/>
      <c r="J1184" s="2"/>
      <c r="K1184" s="29"/>
      <c r="L1184" s="29"/>
    </row>
    <row r="1185" spans="1:12" ht="15.75" x14ac:dyDescent="0.25">
      <c r="A1185" s="5"/>
      <c r="B1185" s="7"/>
      <c r="C1185" s="5"/>
      <c r="D1185" s="5"/>
      <c r="E1185" s="8"/>
      <c r="F1185" s="9"/>
      <c r="G1185" s="5"/>
      <c r="H1185" s="28" t="str">
        <f>IFERROR(IF(AND(COUNTIF(RegistroPago!$A$1:$A$2000,Consolidado!B1185)&gt;0,INDEX(RegistroPago!$E$1:$E$2000,MATCH(Consolidado!B1185,RegistroPago!$A$1:$A$2000,0))&lt;&gt;""),"PAGADA",IF(I1185&lt;&gt;"","PENDIENTE","SIN EMITIR")),"")</f>
        <v/>
      </c>
      <c r="I1185" s="10"/>
      <c r="J1185" s="2"/>
      <c r="K1185" s="29"/>
      <c r="L1185" s="29"/>
    </row>
    <row r="1186" spans="1:12" ht="15.75" x14ac:dyDescent="0.25">
      <c r="A1186" s="5"/>
      <c r="B1186" s="7"/>
      <c r="C1186" s="5"/>
      <c r="D1186" s="5"/>
      <c r="E1186" s="8"/>
      <c r="F1186" s="9"/>
      <c r="G1186" s="5"/>
      <c r="H1186" s="28" t="str">
        <f>IFERROR(IF(AND(COUNTIF(RegistroPago!$A$1:$A$2000,Consolidado!B1186)&gt;0,INDEX(RegistroPago!$E$1:$E$2000,MATCH(Consolidado!B1186,RegistroPago!$A$1:$A$2000,0))&lt;&gt;""),"PAGADA",IF(I1186&lt;&gt;"","PENDIENTE","SIN EMITIR")),"")</f>
        <v/>
      </c>
      <c r="I1186" s="10"/>
      <c r="J1186" s="2"/>
      <c r="K1186" s="29"/>
      <c r="L1186" s="29"/>
    </row>
    <row r="1187" spans="1:12" ht="15.75" x14ac:dyDescent="0.25">
      <c r="A1187" s="5"/>
      <c r="B1187" s="7"/>
      <c r="C1187" s="5"/>
      <c r="D1187" s="5"/>
      <c r="E1187" s="8"/>
      <c r="F1187" s="9"/>
      <c r="G1187" s="5"/>
      <c r="H1187" s="28" t="str">
        <f>IFERROR(IF(AND(COUNTIF(RegistroPago!$A$1:$A$2000,Consolidado!B1187)&gt;0,INDEX(RegistroPago!$E$1:$E$2000,MATCH(Consolidado!B1187,RegistroPago!$A$1:$A$2000,0))&lt;&gt;""),"PAGADA",IF(I1187&lt;&gt;"","PENDIENTE","SIN EMITIR")),"")</f>
        <v/>
      </c>
      <c r="I1187" s="10"/>
      <c r="J1187" s="2"/>
      <c r="K1187" s="29"/>
      <c r="L1187" s="29"/>
    </row>
    <row r="1188" spans="1:12" ht="15.75" x14ac:dyDescent="0.25">
      <c r="A1188" s="5"/>
      <c r="B1188" s="7"/>
      <c r="C1188" s="5"/>
      <c r="D1188" s="5"/>
      <c r="E1188" s="8"/>
      <c r="F1188" s="9"/>
      <c r="G1188" s="5"/>
      <c r="H1188" s="28" t="str">
        <f>IFERROR(IF(AND(COUNTIF(RegistroPago!$A$1:$A$2000,Consolidado!B1188)&gt;0,INDEX(RegistroPago!$E$1:$E$2000,MATCH(Consolidado!B1188,RegistroPago!$A$1:$A$2000,0))&lt;&gt;""),"PAGADA",IF(I1188&lt;&gt;"","PENDIENTE","SIN EMITIR")),"")</f>
        <v/>
      </c>
      <c r="I1188" s="10"/>
      <c r="J1188" s="2"/>
      <c r="K1188" s="29"/>
      <c r="L1188" s="29"/>
    </row>
    <row r="1189" spans="1:12" ht="15.75" x14ac:dyDescent="0.25">
      <c r="A1189" s="5"/>
      <c r="B1189" s="7"/>
      <c r="C1189" s="5"/>
      <c r="D1189" s="5"/>
      <c r="E1189" s="8"/>
      <c r="F1189" s="9"/>
      <c r="G1189" s="5"/>
      <c r="H1189" s="28" t="str">
        <f>IFERROR(IF(AND(COUNTIF(RegistroPago!$A$1:$A$2000,Consolidado!B1189)&gt;0,INDEX(RegistroPago!$E$1:$E$2000,MATCH(Consolidado!B1189,RegistroPago!$A$1:$A$2000,0))&lt;&gt;""),"PAGADA",IF(I1189&lt;&gt;"","PENDIENTE","SIN EMITIR")),"")</f>
        <v/>
      </c>
      <c r="I1189" s="10"/>
      <c r="J1189" s="2"/>
      <c r="K1189" s="29"/>
      <c r="L1189" s="29"/>
    </row>
    <row r="1190" spans="1:12" ht="15.75" x14ac:dyDescent="0.25">
      <c r="A1190" s="5"/>
      <c r="B1190" s="7"/>
      <c r="C1190" s="5"/>
      <c r="D1190" s="5"/>
      <c r="E1190" s="8"/>
      <c r="F1190" s="9"/>
      <c r="G1190" s="5"/>
      <c r="H1190" s="28" t="str">
        <f>IFERROR(IF(AND(COUNTIF(RegistroPago!$A$1:$A$2000,Consolidado!B1190)&gt;0,INDEX(RegistroPago!$E$1:$E$2000,MATCH(Consolidado!B1190,RegistroPago!$A$1:$A$2000,0))&lt;&gt;""),"PAGADA",IF(I1190&lt;&gt;"","PENDIENTE","SIN EMITIR")),"")</f>
        <v/>
      </c>
      <c r="I1190" s="10"/>
      <c r="J1190" s="2"/>
      <c r="K1190" s="29"/>
      <c r="L1190" s="29"/>
    </row>
    <row r="1191" spans="1:12" ht="15.75" x14ac:dyDescent="0.25">
      <c r="A1191" s="5"/>
      <c r="B1191" s="7"/>
      <c r="C1191" s="5"/>
      <c r="D1191" s="5"/>
      <c r="E1191" s="8"/>
      <c r="F1191" s="9"/>
      <c r="G1191" s="5"/>
      <c r="H1191" s="28" t="str">
        <f>IFERROR(IF(AND(COUNTIF(RegistroPago!$A$1:$A$2000,Consolidado!B1191)&gt;0,INDEX(RegistroPago!$E$1:$E$2000,MATCH(Consolidado!B1191,RegistroPago!$A$1:$A$2000,0))&lt;&gt;""),"PAGADA",IF(I1191&lt;&gt;"","PENDIENTE","SIN EMITIR")),"")</f>
        <v/>
      </c>
      <c r="I1191" s="10"/>
      <c r="J1191" s="2"/>
      <c r="K1191" s="29"/>
      <c r="L1191" s="29"/>
    </row>
    <row r="1192" spans="1:12" ht="15.75" x14ac:dyDescent="0.25">
      <c r="A1192" s="5"/>
      <c r="B1192" s="7"/>
      <c r="C1192" s="5"/>
      <c r="D1192" s="5"/>
      <c r="E1192" s="8"/>
      <c r="F1192" s="9"/>
      <c r="G1192" s="5"/>
      <c r="H1192" s="28" t="str">
        <f>IFERROR(IF(AND(COUNTIF(RegistroPago!$A$1:$A$2000,Consolidado!B1192)&gt;0,INDEX(RegistroPago!$E$1:$E$2000,MATCH(Consolidado!B1192,RegistroPago!$A$1:$A$2000,0))&lt;&gt;""),"PAGADA",IF(I1192&lt;&gt;"","PENDIENTE","SIN EMITIR")),"")</f>
        <v/>
      </c>
      <c r="I1192" s="10"/>
      <c r="J1192" s="2"/>
      <c r="K1192" s="29"/>
      <c r="L1192" s="29"/>
    </row>
    <row r="1193" spans="1:12" ht="15.75" x14ac:dyDescent="0.25">
      <c r="A1193" s="5"/>
      <c r="B1193" s="7"/>
      <c r="C1193" s="5"/>
      <c r="D1193" s="5"/>
      <c r="E1193" s="8"/>
      <c r="F1193" s="9"/>
      <c r="G1193" s="5"/>
      <c r="H1193" s="28" t="str">
        <f>IFERROR(IF(AND(COUNTIF(RegistroPago!$A$1:$A$2000,Consolidado!B1193)&gt;0,INDEX(RegistroPago!$E$1:$E$2000,MATCH(Consolidado!B1193,RegistroPago!$A$1:$A$2000,0))&lt;&gt;""),"PAGADA",IF(I1193&lt;&gt;"","PENDIENTE","SIN EMITIR")),"")</f>
        <v/>
      </c>
      <c r="I1193" s="10"/>
      <c r="J1193" s="2"/>
      <c r="K1193" s="29"/>
      <c r="L1193" s="29"/>
    </row>
    <row r="1194" spans="1:12" ht="15.75" x14ac:dyDescent="0.25">
      <c r="A1194" s="5"/>
      <c r="B1194" s="7"/>
      <c r="C1194" s="5"/>
      <c r="D1194" s="5"/>
      <c r="E1194" s="8"/>
      <c r="F1194" s="9"/>
      <c r="G1194" s="5"/>
      <c r="H1194" s="28" t="str">
        <f>IFERROR(IF(AND(COUNTIF(RegistroPago!$A$1:$A$2000,Consolidado!B1194)&gt;0,INDEX(RegistroPago!$E$1:$E$2000,MATCH(Consolidado!B1194,RegistroPago!$A$1:$A$2000,0))&lt;&gt;""),"PAGADA",IF(I1194&lt;&gt;"","PENDIENTE","SIN EMITIR")),"")</f>
        <v/>
      </c>
      <c r="I1194" s="10"/>
      <c r="J1194" s="2"/>
      <c r="K1194" s="29"/>
      <c r="L1194" s="29"/>
    </row>
    <row r="1195" spans="1:12" ht="15.75" x14ac:dyDescent="0.25">
      <c r="A1195" s="5"/>
      <c r="B1195" s="7"/>
      <c r="C1195" s="5"/>
      <c r="D1195" s="5"/>
      <c r="E1195" s="8"/>
      <c r="F1195" s="9"/>
      <c r="G1195" s="5"/>
      <c r="H1195" s="28" t="str">
        <f>IFERROR(IF(AND(COUNTIF(RegistroPago!$A$1:$A$2000,Consolidado!B1195)&gt;0,INDEX(RegistroPago!$E$1:$E$2000,MATCH(Consolidado!B1195,RegistroPago!$A$1:$A$2000,0))&lt;&gt;""),"PAGADA",IF(I1195&lt;&gt;"","PENDIENTE","SIN EMITIR")),"")</f>
        <v/>
      </c>
      <c r="I1195" s="10"/>
      <c r="J1195" s="2"/>
      <c r="K1195" s="29"/>
      <c r="L1195" s="29"/>
    </row>
    <row r="1196" spans="1:12" ht="15.75" x14ac:dyDescent="0.25">
      <c r="A1196" s="5"/>
      <c r="B1196" s="7"/>
      <c r="C1196" s="5"/>
      <c r="D1196" s="5"/>
      <c r="E1196" s="8"/>
      <c r="F1196" s="9"/>
      <c r="G1196" s="5"/>
      <c r="H1196" s="28" t="str">
        <f>IFERROR(IF(AND(COUNTIF(RegistroPago!$A$1:$A$2000,Consolidado!B1196)&gt;0,INDEX(RegistroPago!$E$1:$E$2000,MATCH(Consolidado!B1196,RegistroPago!$A$1:$A$2000,0))&lt;&gt;""),"PAGADA",IF(I1196&lt;&gt;"","PENDIENTE","SIN EMITIR")),"")</f>
        <v/>
      </c>
      <c r="I1196" s="10"/>
      <c r="J1196" s="2"/>
      <c r="K1196" s="29"/>
      <c r="L1196" s="29"/>
    </row>
    <row r="1197" spans="1:12" ht="15.75" x14ac:dyDescent="0.25">
      <c r="A1197" s="5"/>
      <c r="B1197" s="7"/>
      <c r="C1197" s="5"/>
      <c r="D1197" s="5"/>
      <c r="E1197" s="8"/>
      <c r="F1197" s="9"/>
      <c r="G1197" s="5"/>
      <c r="H1197" s="28" t="str">
        <f>IFERROR(IF(AND(COUNTIF(RegistroPago!$A$1:$A$2000,Consolidado!B1197)&gt;0,INDEX(RegistroPago!$E$1:$E$2000,MATCH(Consolidado!B1197,RegistroPago!$A$1:$A$2000,0))&lt;&gt;""),"PAGADA",IF(I1197&lt;&gt;"","PENDIENTE","SIN EMITIR")),"")</f>
        <v/>
      </c>
      <c r="I1197" s="10"/>
      <c r="J1197" s="2"/>
      <c r="K1197" s="29"/>
      <c r="L1197" s="29"/>
    </row>
    <row r="1198" spans="1:12" ht="15.75" x14ac:dyDescent="0.25">
      <c r="A1198" s="5"/>
      <c r="B1198" s="7"/>
      <c r="C1198" s="5"/>
      <c r="D1198" s="5"/>
      <c r="E1198" s="8"/>
      <c r="F1198" s="9"/>
      <c r="G1198" s="5"/>
      <c r="H1198" s="28" t="str">
        <f>IFERROR(IF(AND(COUNTIF(RegistroPago!$A$1:$A$2000,Consolidado!B1198)&gt;0,INDEX(RegistroPago!$E$1:$E$2000,MATCH(Consolidado!B1198,RegistroPago!$A$1:$A$2000,0))&lt;&gt;""),"PAGADA",IF(I1198&lt;&gt;"","PENDIENTE","SIN EMITIR")),"")</f>
        <v/>
      </c>
      <c r="I1198" s="10"/>
      <c r="J1198" s="2"/>
      <c r="K1198" s="29"/>
      <c r="L1198" s="29"/>
    </row>
    <row r="1199" spans="1:12" ht="15.75" x14ac:dyDescent="0.25">
      <c r="A1199" s="5"/>
      <c r="B1199" s="7"/>
      <c r="C1199" s="5"/>
      <c r="D1199" s="5"/>
      <c r="E1199" s="8"/>
      <c r="F1199" s="9"/>
      <c r="G1199" s="5"/>
      <c r="H1199" s="28" t="str">
        <f>IFERROR(IF(AND(COUNTIF(RegistroPago!$A$1:$A$2000,Consolidado!B1199)&gt;0,INDEX(RegistroPago!$E$1:$E$2000,MATCH(Consolidado!B1199,RegistroPago!$A$1:$A$2000,0))&lt;&gt;""),"PAGADA",IF(I1199&lt;&gt;"","PENDIENTE","SIN EMITIR")),"")</f>
        <v/>
      </c>
      <c r="I1199" s="10"/>
      <c r="J1199" s="2"/>
      <c r="K1199" s="29"/>
      <c r="L1199" s="29"/>
    </row>
    <row r="1200" spans="1:12" ht="15.75" x14ac:dyDescent="0.25">
      <c r="A1200" s="5"/>
      <c r="B1200" s="7"/>
      <c r="C1200" s="5"/>
      <c r="D1200" s="5"/>
      <c r="E1200" s="8"/>
      <c r="F1200" s="9"/>
      <c r="G1200" s="5"/>
      <c r="H1200" s="28" t="str">
        <f>IFERROR(IF(AND(COUNTIF(RegistroPago!$A$1:$A$2000,Consolidado!B1200)&gt;0,INDEX(RegistroPago!$E$1:$E$2000,MATCH(Consolidado!B1200,RegistroPago!$A$1:$A$2000,0))&lt;&gt;""),"PAGADA",IF(I1200&lt;&gt;"","PENDIENTE","SIN EMITIR")),"")</f>
        <v/>
      </c>
      <c r="I1200" s="10"/>
      <c r="J1200" s="2"/>
      <c r="K1200" s="29"/>
      <c r="L1200" s="29"/>
    </row>
    <row r="1201" spans="1:12" ht="15.75" x14ac:dyDescent="0.25">
      <c r="A1201" s="5"/>
      <c r="B1201" s="7"/>
      <c r="C1201" s="5"/>
      <c r="D1201" s="5"/>
      <c r="E1201" s="8"/>
      <c r="F1201" s="9"/>
      <c r="G1201" s="5"/>
      <c r="H1201" s="28" t="str">
        <f>IFERROR(IF(AND(COUNTIF(RegistroPago!$A$1:$A$2000,Consolidado!B1201)&gt;0,INDEX(RegistroPago!$E$1:$E$2000,MATCH(Consolidado!B1201,RegistroPago!$A$1:$A$2000,0))&lt;&gt;""),"PAGADA",IF(I1201&lt;&gt;"","PENDIENTE","SIN EMITIR")),"")</f>
        <v/>
      </c>
      <c r="I1201" s="10"/>
      <c r="J1201" s="2"/>
      <c r="K1201" s="29"/>
      <c r="L1201" s="29"/>
    </row>
    <row r="1202" spans="1:12" ht="15.75" x14ac:dyDescent="0.25">
      <c r="A1202" s="5"/>
      <c r="B1202" s="7"/>
      <c r="C1202" s="5"/>
      <c r="D1202" s="5"/>
      <c r="E1202" s="8"/>
      <c r="F1202" s="9"/>
      <c r="G1202" s="5"/>
      <c r="H1202" s="28" t="str">
        <f>IFERROR(IF(AND(COUNTIF(RegistroPago!$A$1:$A$2000,Consolidado!B1202)&gt;0,INDEX(RegistroPago!$E$1:$E$2000,MATCH(Consolidado!B1202,RegistroPago!$A$1:$A$2000,0))&lt;&gt;""),"PAGADA",IF(I1202&lt;&gt;"","PENDIENTE","SIN EMITIR")),"")</f>
        <v/>
      </c>
      <c r="I1202" s="10"/>
      <c r="J1202" s="2"/>
      <c r="K1202" s="29"/>
      <c r="L1202" s="29"/>
    </row>
    <row r="1203" spans="1:12" ht="15.75" x14ac:dyDescent="0.25">
      <c r="A1203" s="5"/>
      <c r="B1203" s="7"/>
      <c r="C1203" s="5"/>
      <c r="D1203" s="5"/>
      <c r="E1203" s="8"/>
      <c r="F1203" s="9"/>
      <c r="G1203" s="5"/>
      <c r="H1203" s="28" t="str">
        <f>IFERROR(IF(AND(COUNTIF(RegistroPago!$A$1:$A$2000,Consolidado!B1203)&gt;0,INDEX(RegistroPago!$E$1:$E$2000,MATCH(Consolidado!B1203,RegistroPago!$A$1:$A$2000,0))&lt;&gt;""),"PAGADA",IF(I1203&lt;&gt;"","PENDIENTE","SIN EMITIR")),"")</f>
        <v/>
      </c>
      <c r="I1203" s="10"/>
      <c r="J1203" s="2"/>
      <c r="K1203" s="29"/>
      <c r="L1203" s="29"/>
    </row>
    <row r="1204" spans="1:12" ht="15.75" x14ac:dyDescent="0.25">
      <c r="A1204" s="5"/>
      <c r="B1204" s="7"/>
      <c r="C1204" s="5"/>
      <c r="D1204" s="5"/>
      <c r="E1204" s="8"/>
      <c r="F1204" s="9"/>
      <c r="G1204" s="5"/>
      <c r="H1204" s="28" t="str">
        <f>IFERROR(IF(AND(COUNTIF(RegistroPago!$A$1:$A$2000,Consolidado!B1204)&gt;0,INDEX(RegistroPago!$E$1:$E$2000,MATCH(Consolidado!B1204,RegistroPago!$A$1:$A$2000,0))&lt;&gt;""),"PAGADA",IF(I1204&lt;&gt;"","PENDIENTE","SIN EMITIR")),"")</f>
        <v/>
      </c>
      <c r="I1204" s="10"/>
      <c r="J1204" s="2"/>
      <c r="K1204" s="29"/>
      <c r="L1204" s="29"/>
    </row>
    <row r="1205" spans="1:12" ht="15.75" x14ac:dyDescent="0.25">
      <c r="A1205" s="5"/>
      <c r="B1205" s="7"/>
      <c r="C1205" s="5"/>
      <c r="D1205" s="5"/>
      <c r="E1205" s="8"/>
      <c r="F1205" s="9"/>
      <c r="G1205" s="5"/>
      <c r="H1205" s="28" t="str">
        <f>IFERROR(IF(AND(COUNTIF(RegistroPago!$A$1:$A$2000,Consolidado!B1205)&gt;0,INDEX(RegistroPago!$E$1:$E$2000,MATCH(Consolidado!B1205,RegistroPago!$A$1:$A$2000,0))&lt;&gt;""),"PAGADA",IF(I1205&lt;&gt;"","PENDIENTE","SIN EMITIR")),"")</f>
        <v/>
      </c>
      <c r="I1205" s="10"/>
      <c r="J1205" s="2"/>
      <c r="K1205" s="29"/>
      <c r="L1205" s="29"/>
    </row>
    <row r="1206" spans="1:12" ht="15.75" x14ac:dyDescent="0.25">
      <c r="A1206" s="5"/>
      <c r="B1206" s="7"/>
      <c r="C1206" s="5"/>
      <c r="D1206" s="5"/>
      <c r="E1206" s="8"/>
      <c r="F1206" s="9"/>
      <c r="G1206" s="5"/>
      <c r="H1206" s="28" t="str">
        <f>IFERROR(IF(AND(COUNTIF(RegistroPago!$A$1:$A$2000,Consolidado!B1206)&gt;0,INDEX(RegistroPago!$E$1:$E$2000,MATCH(Consolidado!B1206,RegistroPago!$A$1:$A$2000,0))&lt;&gt;""),"PAGADA",IF(I1206&lt;&gt;"","PENDIENTE","SIN EMITIR")),"")</f>
        <v/>
      </c>
      <c r="I1206" s="10"/>
      <c r="J1206" s="2"/>
      <c r="K1206" s="29"/>
      <c r="L1206" s="29"/>
    </row>
    <row r="1207" spans="1:12" ht="15.75" x14ac:dyDescent="0.25">
      <c r="A1207" s="5"/>
      <c r="B1207" s="7"/>
      <c r="C1207" s="5"/>
      <c r="D1207" s="5"/>
      <c r="E1207" s="8"/>
      <c r="F1207" s="9"/>
      <c r="G1207" s="5"/>
      <c r="H1207" s="28" t="str">
        <f>IFERROR(IF(AND(COUNTIF(RegistroPago!$A$1:$A$2000,Consolidado!B1207)&gt;0,INDEX(RegistroPago!$E$1:$E$2000,MATCH(Consolidado!B1207,RegistroPago!$A$1:$A$2000,0))&lt;&gt;""),"PAGADA",IF(I1207&lt;&gt;"","PENDIENTE","SIN EMITIR")),"")</f>
        <v/>
      </c>
      <c r="I1207" s="10"/>
      <c r="J1207" s="2"/>
      <c r="K1207" s="29"/>
      <c r="L1207" s="29"/>
    </row>
    <row r="1208" spans="1:12" ht="15.75" x14ac:dyDescent="0.25">
      <c r="A1208" s="5"/>
      <c r="B1208" s="7"/>
      <c r="C1208" s="5"/>
      <c r="D1208" s="5"/>
      <c r="E1208" s="8"/>
      <c r="F1208" s="9"/>
      <c r="G1208" s="5"/>
      <c r="H1208" s="28" t="str">
        <f>IFERROR(IF(AND(COUNTIF(RegistroPago!$A$1:$A$2000,Consolidado!B1208)&gt;0,INDEX(RegistroPago!$E$1:$E$2000,MATCH(Consolidado!B1208,RegistroPago!$A$1:$A$2000,0))&lt;&gt;""),"PAGADA",IF(I1208&lt;&gt;"","PENDIENTE","SIN EMITIR")),"")</f>
        <v/>
      </c>
      <c r="I1208" s="10"/>
      <c r="J1208" s="2"/>
      <c r="K1208" s="29"/>
      <c r="L1208" s="29"/>
    </row>
    <row r="1209" spans="1:12" ht="15.75" x14ac:dyDescent="0.25">
      <c r="A1209" s="5"/>
      <c r="B1209" s="7"/>
      <c r="C1209" s="5"/>
      <c r="D1209" s="5"/>
      <c r="E1209" s="8"/>
      <c r="F1209" s="9"/>
      <c r="G1209" s="5"/>
      <c r="H1209" s="28" t="str">
        <f>IFERROR(IF(AND(COUNTIF(RegistroPago!$A$1:$A$2000,Consolidado!B1209)&gt;0,INDEX(RegistroPago!$E$1:$E$2000,MATCH(Consolidado!B1209,RegistroPago!$A$1:$A$2000,0))&lt;&gt;""),"PAGADA",IF(I1209&lt;&gt;"","PENDIENTE","SIN EMITIR")),"")</f>
        <v/>
      </c>
      <c r="I1209" s="10"/>
      <c r="J1209" s="2"/>
      <c r="K1209" s="29"/>
      <c r="L1209" s="29"/>
    </row>
    <row r="1210" spans="1:12" ht="15.75" x14ac:dyDescent="0.25">
      <c r="A1210" s="5"/>
      <c r="B1210" s="7"/>
      <c r="C1210" s="5"/>
      <c r="D1210" s="5"/>
      <c r="E1210" s="8"/>
      <c r="F1210" s="9"/>
      <c r="G1210" s="5"/>
      <c r="H1210" s="28" t="str">
        <f>IFERROR(IF(AND(COUNTIF(RegistroPago!$A$1:$A$2000,Consolidado!B1210)&gt;0,INDEX(RegistroPago!$E$1:$E$2000,MATCH(Consolidado!B1210,RegistroPago!$A$1:$A$2000,0))&lt;&gt;""),"PAGADA",IF(I1210&lt;&gt;"","PENDIENTE","SIN EMITIR")),"")</f>
        <v/>
      </c>
      <c r="I1210" s="10"/>
      <c r="J1210" s="2"/>
      <c r="K1210" s="29"/>
      <c r="L1210" s="29"/>
    </row>
    <row r="1211" spans="1:12" ht="15.75" x14ac:dyDescent="0.25">
      <c r="A1211" s="5"/>
      <c r="B1211" s="7"/>
      <c r="C1211" s="5"/>
      <c r="D1211" s="5"/>
      <c r="E1211" s="8"/>
      <c r="F1211" s="9"/>
      <c r="G1211" s="5"/>
      <c r="H1211" s="28" t="str">
        <f>IFERROR(IF(AND(COUNTIF(RegistroPago!$A$1:$A$2000,Consolidado!B1211)&gt;0,INDEX(RegistroPago!$E$1:$E$2000,MATCH(Consolidado!B1211,RegistroPago!$A$1:$A$2000,0))&lt;&gt;""),"PAGADA",IF(I1211&lt;&gt;"","PENDIENTE","SIN EMITIR")),"")</f>
        <v/>
      </c>
      <c r="I1211" s="10"/>
      <c r="J1211" s="2"/>
      <c r="K1211" s="29"/>
      <c r="L1211" s="29"/>
    </row>
    <row r="1212" spans="1:12" ht="15.75" x14ac:dyDescent="0.25">
      <c r="A1212" s="5"/>
      <c r="B1212" s="7"/>
      <c r="C1212" s="5"/>
      <c r="D1212" s="5"/>
      <c r="E1212" s="8"/>
      <c r="F1212" s="9"/>
      <c r="G1212" s="5"/>
      <c r="H1212" s="28" t="str">
        <f>IFERROR(IF(AND(COUNTIF(RegistroPago!$A$1:$A$2000,Consolidado!B1212)&gt;0,INDEX(RegistroPago!$E$1:$E$2000,MATCH(Consolidado!B1212,RegistroPago!$A$1:$A$2000,0))&lt;&gt;""),"PAGADA",IF(I1212&lt;&gt;"","PENDIENTE","SIN EMITIR")),"")</f>
        <v/>
      </c>
      <c r="I1212" s="10"/>
      <c r="J1212" s="2"/>
      <c r="K1212" s="29"/>
      <c r="L1212" s="29"/>
    </row>
    <row r="1213" spans="1:12" ht="15.75" x14ac:dyDescent="0.25">
      <c r="A1213" s="5"/>
      <c r="B1213" s="7"/>
      <c r="C1213" s="5"/>
      <c r="D1213" s="5"/>
      <c r="E1213" s="8"/>
      <c r="F1213" s="9"/>
      <c r="G1213" s="5"/>
      <c r="H1213" s="28" t="str">
        <f>IFERROR(IF(AND(COUNTIF(RegistroPago!$A$1:$A$2000,Consolidado!B1213)&gt;0,INDEX(RegistroPago!$E$1:$E$2000,MATCH(Consolidado!B1213,RegistroPago!$A$1:$A$2000,0))&lt;&gt;""),"PAGADA",IF(I1213&lt;&gt;"","PENDIENTE","SIN EMITIR")),"")</f>
        <v/>
      </c>
      <c r="I1213" s="10"/>
      <c r="J1213" s="2"/>
      <c r="K1213" s="29"/>
      <c r="L1213" s="29"/>
    </row>
    <row r="1214" spans="1:12" ht="15.75" x14ac:dyDescent="0.25">
      <c r="A1214" s="5"/>
      <c r="B1214" s="7"/>
      <c r="C1214" s="5"/>
      <c r="D1214" s="5"/>
      <c r="E1214" s="8"/>
      <c r="F1214" s="9"/>
      <c r="G1214" s="5"/>
      <c r="H1214" s="28" t="str">
        <f>IFERROR(IF(AND(COUNTIF(RegistroPago!$A$1:$A$2000,Consolidado!B1214)&gt;0,INDEX(RegistroPago!$E$1:$E$2000,MATCH(Consolidado!B1214,RegistroPago!$A$1:$A$2000,0))&lt;&gt;""),"PAGADA",IF(I1214&lt;&gt;"","PENDIENTE","SIN EMITIR")),"")</f>
        <v/>
      </c>
      <c r="I1214" s="10"/>
      <c r="J1214" s="2"/>
      <c r="K1214" s="29"/>
      <c r="L1214" s="29"/>
    </row>
    <row r="1215" spans="1:12" ht="15.75" x14ac:dyDescent="0.25">
      <c r="A1215" s="5"/>
      <c r="B1215" s="7"/>
      <c r="C1215" s="5"/>
      <c r="D1215" s="5"/>
      <c r="E1215" s="8"/>
      <c r="F1215" s="9"/>
      <c r="G1215" s="5"/>
      <c r="H1215" s="28" t="str">
        <f>IFERROR(IF(AND(COUNTIF(RegistroPago!$A$1:$A$2000,Consolidado!B1215)&gt;0,INDEX(RegistroPago!$E$1:$E$2000,MATCH(Consolidado!B1215,RegistroPago!$A$1:$A$2000,0))&lt;&gt;""),"PAGADA",IF(I1215&lt;&gt;"","PENDIENTE","SIN EMITIR")),"")</f>
        <v/>
      </c>
      <c r="I1215" s="10"/>
      <c r="J1215" s="2"/>
      <c r="K1215" s="29"/>
      <c r="L1215" s="29"/>
    </row>
    <row r="1216" spans="1:12" ht="15.75" x14ac:dyDescent="0.25">
      <c r="A1216" s="5"/>
      <c r="B1216" s="7"/>
      <c r="C1216" s="5"/>
      <c r="D1216" s="5"/>
      <c r="E1216" s="8"/>
      <c r="F1216" s="9"/>
      <c r="G1216" s="5"/>
      <c r="H1216" s="28" t="str">
        <f>IFERROR(IF(AND(COUNTIF(RegistroPago!$A$1:$A$2000,Consolidado!B1216)&gt;0,INDEX(RegistroPago!$E$1:$E$2000,MATCH(Consolidado!B1216,RegistroPago!$A$1:$A$2000,0))&lt;&gt;""),"PAGADA",IF(I1216&lt;&gt;"","PENDIENTE","SIN EMITIR")),"")</f>
        <v/>
      </c>
      <c r="I1216" s="10"/>
      <c r="J1216" s="2"/>
      <c r="K1216" s="29"/>
      <c r="L1216" s="29"/>
    </row>
    <row r="1217" spans="1:12" ht="15.75" x14ac:dyDescent="0.25">
      <c r="A1217" s="5"/>
      <c r="B1217" s="7"/>
      <c r="C1217" s="5"/>
      <c r="D1217" s="5"/>
      <c r="E1217" s="8"/>
      <c r="F1217" s="9"/>
      <c r="G1217" s="5"/>
      <c r="H1217" s="28" t="str">
        <f>IFERROR(IF(AND(COUNTIF(RegistroPago!$A$1:$A$2000,Consolidado!B1217)&gt;0,INDEX(RegistroPago!$E$1:$E$2000,MATCH(Consolidado!B1217,RegistroPago!$A$1:$A$2000,0))&lt;&gt;""),"PAGADA",IF(I1217&lt;&gt;"","PENDIENTE","SIN EMITIR")),"")</f>
        <v/>
      </c>
      <c r="I1217" s="10"/>
      <c r="J1217" s="2"/>
      <c r="K1217" s="29"/>
      <c r="L1217" s="29"/>
    </row>
    <row r="1218" spans="1:12" ht="15.75" x14ac:dyDescent="0.25">
      <c r="A1218" s="5"/>
      <c r="B1218" s="7"/>
      <c r="C1218" s="5"/>
      <c r="D1218" s="5"/>
      <c r="E1218" s="8"/>
      <c r="F1218" s="9"/>
      <c r="G1218" s="5"/>
      <c r="H1218" s="28" t="str">
        <f>IFERROR(IF(AND(COUNTIF(RegistroPago!$A$1:$A$2000,Consolidado!B1218)&gt;0,INDEX(RegistroPago!$E$1:$E$2000,MATCH(Consolidado!B1218,RegistroPago!$A$1:$A$2000,0))&lt;&gt;""),"PAGADA",IF(I1218&lt;&gt;"","PENDIENTE","SIN EMITIR")),"")</f>
        <v/>
      </c>
      <c r="I1218" s="10"/>
      <c r="J1218" s="2"/>
      <c r="K1218" s="29"/>
      <c r="L1218" s="29"/>
    </row>
    <row r="1219" spans="1:12" ht="15.75" x14ac:dyDescent="0.25">
      <c r="A1219" s="5"/>
      <c r="B1219" s="7"/>
      <c r="C1219" s="5"/>
      <c r="D1219" s="5"/>
      <c r="E1219" s="8"/>
      <c r="F1219" s="9"/>
      <c r="G1219" s="5"/>
      <c r="H1219" s="28" t="str">
        <f>IFERROR(IF(AND(COUNTIF(RegistroPago!$A$1:$A$2000,Consolidado!B1219)&gt;0,INDEX(RegistroPago!$E$1:$E$2000,MATCH(Consolidado!B1219,RegistroPago!$A$1:$A$2000,0))&lt;&gt;""),"PAGADA",IF(I1219&lt;&gt;"","PENDIENTE","SIN EMITIR")),"")</f>
        <v/>
      </c>
      <c r="I1219" s="10"/>
      <c r="J1219" s="2"/>
      <c r="K1219" s="29"/>
      <c r="L1219" s="29"/>
    </row>
    <row r="1220" spans="1:12" ht="15.75" x14ac:dyDescent="0.25">
      <c r="A1220" s="5"/>
      <c r="B1220" s="7"/>
      <c r="C1220" s="5"/>
      <c r="D1220" s="5"/>
      <c r="E1220" s="8"/>
      <c r="F1220" s="9"/>
      <c r="G1220" s="5"/>
      <c r="H1220" s="28" t="str">
        <f>IFERROR(IF(AND(COUNTIF(RegistroPago!$A$1:$A$2000,Consolidado!B1220)&gt;0,INDEX(RegistroPago!$E$1:$E$2000,MATCH(Consolidado!B1220,RegistroPago!$A$1:$A$2000,0))&lt;&gt;""),"PAGADA",IF(I1220&lt;&gt;"","PENDIENTE","SIN EMITIR")),"")</f>
        <v/>
      </c>
      <c r="I1220" s="10"/>
      <c r="J1220" s="2"/>
      <c r="K1220" s="29"/>
      <c r="L1220" s="29"/>
    </row>
    <row r="1221" spans="1:12" ht="15.75" x14ac:dyDescent="0.25">
      <c r="A1221" s="5"/>
      <c r="B1221" s="7"/>
      <c r="C1221" s="5"/>
      <c r="D1221" s="5"/>
      <c r="E1221" s="8"/>
      <c r="F1221" s="9"/>
      <c r="G1221" s="5"/>
      <c r="H1221" s="28" t="str">
        <f>IFERROR(IF(AND(COUNTIF(RegistroPago!$A$1:$A$2000,Consolidado!B1221)&gt;0,INDEX(RegistroPago!$E$1:$E$2000,MATCH(Consolidado!B1221,RegistroPago!$A$1:$A$2000,0))&lt;&gt;""),"PAGADA",IF(I1221&lt;&gt;"","PENDIENTE","SIN EMITIR")),"")</f>
        <v/>
      </c>
      <c r="I1221" s="10"/>
      <c r="J1221" s="2"/>
      <c r="K1221" s="29"/>
      <c r="L1221" s="29"/>
    </row>
    <row r="1222" spans="1:12" ht="15.75" x14ac:dyDescent="0.25">
      <c r="A1222" s="5"/>
      <c r="B1222" s="7"/>
      <c r="C1222" s="5"/>
      <c r="D1222" s="5"/>
      <c r="E1222" s="8"/>
      <c r="F1222" s="9"/>
      <c r="G1222" s="5"/>
      <c r="H1222" s="28" t="str">
        <f>IFERROR(IF(AND(COUNTIF(RegistroPago!$A$1:$A$2000,Consolidado!B1222)&gt;0,INDEX(RegistroPago!$E$1:$E$2000,MATCH(Consolidado!B1222,RegistroPago!$A$1:$A$2000,0))&lt;&gt;""),"PAGADA",IF(I1222&lt;&gt;"","PENDIENTE","SIN EMITIR")),"")</f>
        <v/>
      </c>
      <c r="I1222" s="10"/>
      <c r="J1222" s="2"/>
      <c r="K1222" s="29"/>
      <c r="L1222" s="29"/>
    </row>
    <row r="1223" spans="1:12" ht="15.75" x14ac:dyDescent="0.25">
      <c r="A1223" s="5"/>
      <c r="B1223" s="7"/>
      <c r="C1223" s="5"/>
      <c r="D1223" s="5"/>
      <c r="E1223" s="8"/>
      <c r="F1223" s="9"/>
      <c r="G1223" s="5"/>
      <c r="H1223" s="28" t="str">
        <f>IFERROR(IF(AND(COUNTIF(RegistroPago!$A$1:$A$2000,Consolidado!B1223)&gt;0,INDEX(RegistroPago!$E$1:$E$2000,MATCH(Consolidado!B1223,RegistroPago!$A$1:$A$2000,0))&lt;&gt;""),"PAGADA",IF(I1223&lt;&gt;"","PENDIENTE","SIN EMITIR")),"")</f>
        <v/>
      </c>
      <c r="I1223" s="10"/>
      <c r="J1223" s="2"/>
      <c r="K1223" s="29"/>
      <c r="L1223" s="29"/>
    </row>
    <row r="1224" spans="1:12" ht="15.75" x14ac:dyDescent="0.25">
      <c r="A1224" s="5"/>
      <c r="B1224" s="7"/>
      <c r="C1224" s="5"/>
      <c r="D1224" s="5"/>
      <c r="E1224" s="8"/>
      <c r="F1224" s="9"/>
      <c r="G1224" s="5"/>
      <c r="H1224" s="28" t="str">
        <f>IFERROR(IF(AND(COUNTIF(RegistroPago!$A$1:$A$2000,Consolidado!B1224)&gt;0,INDEX(RegistroPago!$E$1:$E$2000,MATCH(Consolidado!B1224,RegistroPago!$A$1:$A$2000,0))&lt;&gt;""),"PAGADA",IF(I1224&lt;&gt;"","PENDIENTE","SIN EMITIR")),"")</f>
        <v/>
      </c>
      <c r="I1224" s="10"/>
      <c r="J1224" s="2"/>
      <c r="K1224" s="29"/>
      <c r="L1224" s="29"/>
    </row>
    <row r="1225" spans="1:12" ht="15.75" x14ac:dyDescent="0.25">
      <c r="A1225" s="5"/>
      <c r="B1225" s="7"/>
      <c r="C1225" s="5"/>
      <c r="D1225" s="5"/>
      <c r="E1225" s="8"/>
      <c r="F1225" s="9"/>
      <c r="G1225" s="5"/>
      <c r="H1225" s="28" t="str">
        <f>IFERROR(IF(AND(COUNTIF(RegistroPago!$A$1:$A$2000,Consolidado!B1225)&gt;0,INDEX(RegistroPago!$E$1:$E$2000,MATCH(Consolidado!B1225,RegistroPago!$A$1:$A$2000,0))&lt;&gt;""),"PAGADA",IF(I1225&lt;&gt;"","PENDIENTE","SIN EMITIR")),"")</f>
        <v/>
      </c>
      <c r="I1225" s="10"/>
      <c r="J1225" s="2"/>
      <c r="K1225" s="29"/>
      <c r="L1225" s="29"/>
    </row>
    <row r="1226" spans="1:12" ht="15.75" x14ac:dyDescent="0.25">
      <c r="A1226" s="5"/>
      <c r="B1226" s="7"/>
      <c r="C1226" s="5"/>
      <c r="D1226" s="5"/>
      <c r="E1226" s="8"/>
      <c r="F1226" s="9"/>
      <c r="G1226" s="5"/>
      <c r="H1226" s="28" t="str">
        <f>IFERROR(IF(AND(COUNTIF(RegistroPago!$A$1:$A$2000,Consolidado!B1226)&gt;0,INDEX(RegistroPago!$E$1:$E$2000,MATCH(Consolidado!B1226,RegistroPago!$A$1:$A$2000,0))&lt;&gt;""),"PAGADA",IF(I1226&lt;&gt;"","PENDIENTE","SIN EMITIR")),"")</f>
        <v/>
      </c>
      <c r="I1226" s="10"/>
      <c r="J1226" s="2"/>
      <c r="K1226" s="29"/>
      <c r="L1226" s="29"/>
    </row>
    <row r="1227" spans="1:12" ht="15.75" x14ac:dyDescent="0.25">
      <c r="A1227" s="5"/>
      <c r="B1227" s="7"/>
      <c r="C1227" s="5"/>
      <c r="D1227" s="5"/>
      <c r="E1227" s="8"/>
      <c r="F1227" s="9"/>
      <c r="G1227" s="5"/>
      <c r="H1227" s="28" t="str">
        <f>IFERROR(IF(AND(COUNTIF(RegistroPago!$A$1:$A$2000,Consolidado!B1227)&gt;0,INDEX(RegistroPago!$E$1:$E$2000,MATCH(Consolidado!B1227,RegistroPago!$A$1:$A$2000,0))&lt;&gt;""),"PAGADA",IF(I1227&lt;&gt;"","PENDIENTE","SIN EMITIR")),"")</f>
        <v/>
      </c>
      <c r="I1227" s="10"/>
      <c r="J1227" s="2"/>
      <c r="K1227" s="29"/>
      <c r="L1227" s="29"/>
    </row>
    <row r="1228" spans="1:12" ht="15.75" x14ac:dyDescent="0.25">
      <c r="A1228" s="5"/>
      <c r="B1228" s="7"/>
      <c r="C1228" s="5"/>
      <c r="D1228" s="5"/>
      <c r="E1228" s="8"/>
      <c r="F1228" s="9"/>
      <c r="G1228" s="5"/>
      <c r="H1228" s="28" t="str">
        <f>IFERROR(IF(AND(COUNTIF(RegistroPago!$A$1:$A$2000,Consolidado!B1228)&gt;0,INDEX(RegistroPago!$E$1:$E$2000,MATCH(Consolidado!B1228,RegistroPago!$A$1:$A$2000,0))&lt;&gt;""),"PAGADA",IF(I1228&lt;&gt;"","PENDIENTE","SIN EMITIR")),"")</f>
        <v/>
      </c>
      <c r="I1228" s="10"/>
      <c r="J1228" s="2"/>
      <c r="K1228" s="29"/>
      <c r="L1228" s="29"/>
    </row>
    <row r="1229" spans="1:12" ht="15.75" x14ac:dyDescent="0.25">
      <c r="A1229" s="5"/>
      <c r="B1229" s="7"/>
      <c r="C1229" s="5"/>
      <c r="D1229" s="5"/>
      <c r="E1229" s="8"/>
      <c r="F1229" s="9"/>
      <c r="G1229" s="5"/>
      <c r="H1229" s="28" t="str">
        <f>IFERROR(IF(AND(COUNTIF(RegistroPago!$A$1:$A$2000,Consolidado!B1229)&gt;0,INDEX(RegistroPago!$E$1:$E$2000,MATCH(Consolidado!B1229,RegistroPago!$A$1:$A$2000,0))&lt;&gt;""),"PAGADA",IF(I1229&lt;&gt;"","PENDIENTE","SIN EMITIR")),"")</f>
        <v/>
      </c>
      <c r="I1229" s="10"/>
      <c r="J1229" s="2"/>
      <c r="K1229" s="29"/>
      <c r="L1229" s="29"/>
    </row>
    <row r="1230" spans="1:12" ht="15.75" x14ac:dyDescent="0.25">
      <c r="A1230" s="5"/>
      <c r="B1230" s="7"/>
      <c r="C1230" s="5"/>
      <c r="D1230" s="5"/>
      <c r="E1230" s="8"/>
      <c r="F1230" s="9"/>
      <c r="G1230" s="5"/>
      <c r="H1230" s="28" t="str">
        <f>IFERROR(IF(AND(COUNTIF(RegistroPago!$A$1:$A$2000,Consolidado!B1230)&gt;0,INDEX(RegistroPago!$E$1:$E$2000,MATCH(Consolidado!B1230,RegistroPago!$A$1:$A$2000,0))&lt;&gt;""),"PAGADA",IF(I1230&lt;&gt;"","PENDIENTE","SIN EMITIR")),"")</f>
        <v/>
      </c>
      <c r="I1230" s="10"/>
      <c r="J1230" s="2"/>
      <c r="K1230" s="29"/>
      <c r="L1230" s="29"/>
    </row>
    <row r="1231" spans="1:12" ht="15.75" x14ac:dyDescent="0.25">
      <c r="A1231" s="5"/>
      <c r="B1231" s="7"/>
      <c r="C1231" s="5"/>
      <c r="D1231" s="5"/>
      <c r="E1231" s="8"/>
      <c r="F1231" s="9"/>
      <c r="G1231" s="5"/>
      <c r="H1231" s="28" t="str">
        <f>IFERROR(IF(AND(COUNTIF(RegistroPago!$A$1:$A$2000,Consolidado!B1231)&gt;0,INDEX(RegistroPago!$E$1:$E$2000,MATCH(Consolidado!B1231,RegistroPago!$A$1:$A$2000,0))&lt;&gt;""),"PAGADA",IF(I1231&lt;&gt;"","PENDIENTE","SIN EMITIR")),"")</f>
        <v/>
      </c>
      <c r="I1231" s="10"/>
      <c r="J1231" s="2"/>
      <c r="K1231" s="29"/>
      <c r="L1231" s="29"/>
    </row>
    <row r="1232" spans="1:12" ht="15.75" x14ac:dyDescent="0.25">
      <c r="A1232" s="5"/>
      <c r="B1232" s="7"/>
      <c r="C1232" s="5"/>
      <c r="D1232" s="5"/>
      <c r="E1232" s="8"/>
      <c r="F1232" s="9"/>
      <c r="G1232" s="5"/>
      <c r="H1232" s="28" t="str">
        <f>IFERROR(IF(AND(COUNTIF(RegistroPago!$A$1:$A$2000,Consolidado!B1232)&gt;0,INDEX(RegistroPago!$E$1:$E$2000,MATCH(Consolidado!B1232,RegistroPago!$A$1:$A$2000,0))&lt;&gt;""),"PAGADA",IF(I1232&lt;&gt;"","PENDIENTE","SIN EMITIR")),"")</f>
        <v/>
      </c>
      <c r="I1232" s="10"/>
      <c r="J1232" s="2"/>
      <c r="K1232" s="29"/>
      <c r="L1232" s="29"/>
    </row>
    <row r="1233" spans="1:12" ht="15.75" x14ac:dyDescent="0.25">
      <c r="A1233" s="5"/>
      <c r="B1233" s="7"/>
      <c r="C1233" s="5"/>
      <c r="D1233" s="5"/>
      <c r="E1233" s="8"/>
      <c r="F1233" s="9"/>
      <c r="G1233" s="5"/>
      <c r="H1233" s="28" t="str">
        <f>IFERROR(IF(AND(COUNTIF(RegistroPago!$A$1:$A$2000,Consolidado!B1233)&gt;0,INDEX(RegistroPago!$E$1:$E$2000,MATCH(Consolidado!B1233,RegistroPago!$A$1:$A$2000,0))&lt;&gt;""),"PAGADA",IF(I1233&lt;&gt;"","PENDIENTE","SIN EMITIR")),"")</f>
        <v/>
      </c>
      <c r="I1233" s="10"/>
      <c r="J1233" s="2"/>
      <c r="K1233" s="29"/>
      <c r="L1233" s="29"/>
    </row>
    <row r="1234" spans="1:12" ht="15.75" x14ac:dyDescent="0.25">
      <c r="A1234" s="5"/>
      <c r="B1234" s="7"/>
      <c r="C1234" s="5"/>
      <c r="D1234" s="5"/>
      <c r="E1234" s="8"/>
      <c r="F1234" s="9"/>
      <c r="G1234" s="5"/>
      <c r="H1234" s="28" t="str">
        <f>IFERROR(IF(AND(COUNTIF(RegistroPago!$A$1:$A$2000,Consolidado!B1234)&gt;0,INDEX(RegistroPago!$E$1:$E$2000,MATCH(Consolidado!B1234,RegistroPago!$A$1:$A$2000,0))&lt;&gt;""),"PAGADA",IF(I1234&lt;&gt;"","PENDIENTE","SIN EMITIR")),"")</f>
        <v/>
      </c>
      <c r="I1234" s="10"/>
      <c r="J1234" s="2"/>
      <c r="K1234" s="29"/>
      <c r="L1234" s="29"/>
    </row>
    <row r="1235" spans="1:12" ht="15.75" x14ac:dyDescent="0.25">
      <c r="A1235" s="5"/>
      <c r="B1235" s="7"/>
      <c r="C1235" s="5"/>
      <c r="D1235" s="5"/>
      <c r="E1235" s="8"/>
      <c r="F1235" s="9"/>
      <c r="G1235" s="5"/>
      <c r="H1235" s="28" t="str">
        <f>IFERROR(IF(AND(COUNTIF(RegistroPago!$A$1:$A$2000,Consolidado!B1235)&gt;0,INDEX(RegistroPago!$E$1:$E$2000,MATCH(Consolidado!B1235,RegistroPago!$A$1:$A$2000,0))&lt;&gt;""),"PAGADA",IF(I1235&lt;&gt;"","PENDIENTE","SIN EMITIR")),"")</f>
        <v/>
      </c>
      <c r="I1235" s="10"/>
      <c r="J1235" s="2"/>
      <c r="K1235" s="29"/>
      <c r="L1235" s="29"/>
    </row>
    <row r="1236" spans="1:12" ht="15.75" x14ac:dyDescent="0.25">
      <c r="A1236" s="5"/>
      <c r="B1236" s="7"/>
      <c r="C1236" s="5"/>
      <c r="D1236" s="5"/>
      <c r="E1236" s="8"/>
      <c r="F1236" s="9"/>
      <c r="G1236" s="5"/>
      <c r="H1236" s="28" t="str">
        <f>IFERROR(IF(AND(COUNTIF(RegistroPago!$A$1:$A$2000,Consolidado!B1236)&gt;0,INDEX(RegistroPago!$E$1:$E$2000,MATCH(Consolidado!B1236,RegistroPago!$A$1:$A$2000,0))&lt;&gt;""),"PAGADA",IF(I1236&lt;&gt;"","PENDIENTE","SIN EMITIR")),"")</f>
        <v/>
      </c>
      <c r="I1236" s="10"/>
      <c r="J1236" s="2"/>
      <c r="K1236" s="29"/>
      <c r="L1236" s="29"/>
    </row>
    <row r="1237" spans="1:12" ht="15.75" x14ac:dyDescent="0.25">
      <c r="A1237" s="5"/>
      <c r="B1237" s="7"/>
      <c r="C1237" s="5"/>
      <c r="D1237" s="5"/>
      <c r="E1237" s="8"/>
      <c r="F1237" s="9"/>
      <c r="G1237" s="5"/>
      <c r="H1237" s="28" t="str">
        <f>IFERROR(IF(AND(COUNTIF(RegistroPago!$A$1:$A$2000,Consolidado!B1237)&gt;0,INDEX(RegistroPago!$E$1:$E$2000,MATCH(Consolidado!B1237,RegistroPago!$A$1:$A$2000,0))&lt;&gt;""),"PAGADA",IF(I1237&lt;&gt;"","PENDIENTE","SIN EMITIR")),"")</f>
        <v/>
      </c>
      <c r="I1237" s="10"/>
      <c r="J1237" s="2"/>
      <c r="K1237" s="29"/>
      <c r="L1237" s="29"/>
    </row>
    <row r="1238" spans="1:12" ht="15.75" x14ac:dyDescent="0.25">
      <c r="A1238" s="5"/>
      <c r="B1238" s="7"/>
      <c r="C1238" s="5"/>
      <c r="D1238" s="5"/>
      <c r="E1238" s="8"/>
      <c r="F1238" s="9"/>
      <c r="G1238" s="5"/>
      <c r="H1238" s="28" t="str">
        <f>IFERROR(IF(AND(COUNTIF(RegistroPago!$A$1:$A$2000,Consolidado!B1238)&gt;0,INDEX(RegistroPago!$E$1:$E$2000,MATCH(Consolidado!B1238,RegistroPago!$A$1:$A$2000,0))&lt;&gt;""),"PAGADA",IF(I1238&lt;&gt;"","PENDIENTE","SIN EMITIR")),"")</f>
        <v/>
      </c>
      <c r="I1238" s="10"/>
      <c r="J1238" s="2"/>
      <c r="K1238" s="29"/>
      <c r="L1238" s="29"/>
    </row>
    <row r="1239" spans="1:12" ht="15.75" x14ac:dyDescent="0.25">
      <c r="A1239" s="5"/>
      <c r="B1239" s="7"/>
      <c r="C1239" s="5"/>
      <c r="D1239" s="5"/>
      <c r="E1239" s="8"/>
      <c r="F1239" s="9"/>
      <c r="G1239" s="5"/>
      <c r="H1239" s="28" t="str">
        <f>IFERROR(IF(AND(COUNTIF(RegistroPago!$A$1:$A$2000,Consolidado!B1239)&gt;0,INDEX(RegistroPago!$E$1:$E$2000,MATCH(Consolidado!B1239,RegistroPago!$A$1:$A$2000,0))&lt;&gt;""),"PAGADA",IF(I1239&lt;&gt;"","PENDIENTE","SIN EMITIR")),"")</f>
        <v/>
      </c>
      <c r="I1239" s="10"/>
      <c r="J1239" s="2"/>
      <c r="K1239" s="29"/>
      <c r="L1239" s="29"/>
    </row>
    <row r="1240" spans="1:12" ht="15.75" x14ac:dyDescent="0.25">
      <c r="A1240" s="5"/>
      <c r="B1240" s="7"/>
      <c r="C1240" s="5"/>
      <c r="D1240" s="5"/>
      <c r="E1240" s="8"/>
      <c r="F1240" s="9"/>
      <c r="G1240" s="5"/>
      <c r="H1240" s="28" t="str">
        <f>IFERROR(IF(AND(COUNTIF(RegistroPago!$A$1:$A$2000,Consolidado!B1240)&gt;0,INDEX(RegistroPago!$E$1:$E$2000,MATCH(Consolidado!B1240,RegistroPago!$A$1:$A$2000,0))&lt;&gt;""),"PAGADA",IF(I1240&lt;&gt;"","PENDIENTE","SIN EMITIR")),"")</f>
        <v/>
      </c>
      <c r="I1240" s="10"/>
      <c r="J1240" s="2"/>
      <c r="K1240" s="29"/>
      <c r="L1240" s="29"/>
    </row>
    <row r="1241" spans="1:12" ht="15.75" x14ac:dyDescent="0.25">
      <c r="A1241" s="5"/>
      <c r="B1241" s="7"/>
      <c r="C1241" s="5"/>
      <c r="D1241" s="5"/>
      <c r="E1241" s="8"/>
      <c r="F1241" s="9"/>
      <c r="G1241" s="5"/>
      <c r="H1241" s="28" t="str">
        <f>IFERROR(IF(AND(COUNTIF(RegistroPago!$A$1:$A$2000,Consolidado!B1241)&gt;0,INDEX(RegistroPago!$E$1:$E$2000,MATCH(Consolidado!B1241,RegistroPago!$A$1:$A$2000,0))&lt;&gt;""),"PAGADA",IF(I1241&lt;&gt;"","PENDIENTE","SIN EMITIR")),"")</f>
        <v/>
      </c>
      <c r="I1241" s="10"/>
      <c r="J1241" s="2"/>
      <c r="K1241" s="29"/>
      <c r="L1241" s="29"/>
    </row>
    <row r="1242" spans="1:12" ht="15.75" x14ac:dyDescent="0.25">
      <c r="A1242" s="5"/>
      <c r="B1242" s="7"/>
      <c r="C1242" s="5"/>
      <c r="D1242" s="5"/>
      <c r="E1242" s="8"/>
      <c r="F1242" s="9"/>
      <c r="G1242" s="5"/>
      <c r="H1242" s="28" t="str">
        <f>IFERROR(IF(AND(COUNTIF(RegistroPago!$A$1:$A$2000,Consolidado!B1242)&gt;0,INDEX(RegistroPago!$E$1:$E$2000,MATCH(Consolidado!B1242,RegistroPago!$A$1:$A$2000,0))&lt;&gt;""),"PAGADA",IF(I1242&lt;&gt;"","PENDIENTE","SIN EMITIR")),"")</f>
        <v/>
      </c>
      <c r="I1242" s="10"/>
      <c r="J1242" s="2"/>
      <c r="K1242" s="29"/>
      <c r="L1242" s="29"/>
    </row>
    <row r="1243" spans="1:12" ht="15.75" x14ac:dyDescent="0.25">
      <c r="A1243" s="5"/>
      <c r="B1243" s="7"/>
      <c r="C1243" s="5"/>
      <c r="D1243" s="5"/>
      <c r="E1243" s="8"/>
      <c r="F1243" s="9"/>
      <c r="G1243" s="5"/>
      <c r="H1243" s="28" t="str">
        <f>IFERROR(IF(AND(COUNTIF(RegistroPago!$A$1:$A$2000,Consolidado!B1243)&gt;0,INDEX(RegistroPago!$E$1:$E$2000,MATCH(Consolidado!B1243,RegistroPago!$A$1:$A$2000,0))&lt;&gt;""),"PAGADA",IF(I1243&lt;&gt;"","PENDIENTE","SIN EMITIR")),"")</f>
        <v/>
      </c>
      <c r="I1243" s="10"/>
      <c r="J1243" s="2"/>
      <c r="K1243" s="29"/>
      <c r="L1243" s="29"/>
    </row>
    <row r="1244" spans="1:12" ht="15.75" x14ac:dyDescent="0.25">
      <c r="A1244" s="5"/>
      <c r="B1244" s="7"/>
      <c r="C1244" s="5"/>
      <c r="D1244" s="5"/>
      <c r="E1244" s="8"/>
      <c r="F1244" s="9"/>
      <c r="G1244" s="5"/>
      <c r="H1244" s="28" t="str">
        <f>IFERROR(IF(AND(COUNTIF(RegistroPago!$A$1:$A$2000,Consolidado!B1244)&gt;0,INDEX(RegistroPago!$E$1:$E$2000,MATCH(Consolidado!B1244,RegistroPago!$A$1:$A$2000,0))&lt;&gt;""),"PAGADA",IF(I1244&lt;&gt;"","PENDIENTE","SIN EMITIR")),"")</f>
        <v/>
      </c>
      <c r="I1244" s="10"/>
      <c r="J1244" s="2"/>
      <c r="K1244" s="29"/>
      <c r="L1244" s="29"/>
    </row>
    <row r="1245" spans="1:12" ht="15.75" x14ac:dyDescent="0.25">
      <c r="A1245" s="5"/>
      <c r="B1245" s="7"/>
      <c r="C1245" s="5"/>
      <c r="D1245" s="5"/>
      <c r="E1245" s="8"/>
      <c r="F1245" s="9"/>
      <c r="G1245" s="5"/>
      <c r="H1245" s="28" t="str">
        <f>IFERROR(IF(AND(COUNTIF(RegistroPago!$A$1:$A$2000,Consolidado!B1245)&gt;0,INDEX(RegistroPago!$E$1:$E$2000,MATCH(Consolidado!B1245,RegistroPago!$A$1:$A$2000,0))&lt;&gt;""),"PAGADA",IF(I1245&lt;&gt;"","PENDIENTE","SIN EMITIR")),"")</f>
        <v/>
      </c>
      <c r="I1245" s="10"/>
      <c r="J1245" s="2"/>
      <c r="K1245" s="29"/>
      <c r="L1245" s="29"/>
    </row>
    <row r="1246" spans="1:12" ht="15.75" x14ac:dyDescent="0.25">
      <c r="A1246" s="5"/>
      <c r="B1246" s="7"/>
      <c r="C1246" s="5"/>
      <c r="D1246" s="5"/>
      <c r="E1246" s="8"/>
      <c r="F1246" s="9"/>
      <c r="G1246" s="5"/>
      <c r="H1246" s="28" t="str">
        <f>IFERROR(IF(AND(COUNTIF(RegistroPago!$A$1:$A$2000,Consolidado!B1246)&gt;0,INDEX(RegistroPago!$E$1:$E$2000,MATCH(Consolidado!B1246,RegistroPago!$A$1:$A$2000,0))&lt;&gt;""),"PAGADA",IF(I1246&lt;&gt;"","PENDIENTE","SIN EMITIR")),"")</f>
        <v/>
      </c>
      <c r="I1246" s="10"/>
      <c r="J1246" s="2"/>
      <c r="K1246" s="29"/>
      <c r="L1246" s="29"/>
    </row>
    <row r="1247" spans="1:12" ht="15.75" x14ac:dyDescent="0.25">
      <c r="A1247" s="5"/>
      <c r="B1247" s="7"/>
      <c r="C1247" s="5"/>
      <c r="D1247" s="5"/>
      <c r="E1247" s="8"/>
      <c r="F1247" s="9"/>
      <c r="G1247" s="5"/>
      <c r="H1247" s="28" t="str">
        <f>IFERROR(IF(AND(COUNTIF(RegistroPago!$A$1:$A$2000,Consolidado!B1247)&gt;0,INDEX(RegistroPago!$E$1:$E$2000,MATCH(Consolidado!B1247,RegistroPago!$A$1:$A$2000,0))&lt;&gt;""),"PAGADA",IF(I1247&lt;&gt;"","PENDIENTE","SIN EMITIR")),"")</f>
        <v/>
      </c>
      <c r="I1247" s="10"/>
      <c r="J1247" s="2"/>
      <c r="K1247" s="29"/>
      <c r="L1247" s="29"/>
    </row>
    <row r="1248" spans="1:12" ht="15.75" x14ac:dyDescent="0.25">
      <c r="A1248" s="5"/>
      <c r="B1248" s="7"/>
      <c r="C1248" s="5"/>
      <c r="D1248" s="5"/>
      <c r="E1248" s="8"/>
      <c r="F1248" s="9"/>
      <c r="G1248" s="5"/>
      <c r="H1248" s="28" t="str">
        <f>IFERROR(IF(AND(COUNTIF(RegistroPago!$A$1:$A$2000,Consolidado!B1248)&gt;0,INDEX(RegistroPago!$E$1:$E$2000,MATCH(Consolidado!B1248,RegistroPago!$A$1:$A$2000,0))&lt;&gt;""),"PAGADA",IF(I1248&lt;&gt;"","PENDIENTE","SIN EMITIR")),"")</f>
        <v/>
      </c>
      <c r="I1248" s="10"/>
      <c r="J1248" s="2"/>
      <c r="K1248" s="29"/>
      <c r="L1248" s="29"/>
    </row>
    <row r="1249" spans="1:12" ht="15.75" x14ac:dyDescent="0.25">
      <c r="A1249" s="5"/>
      <c r="B1249" s="7"/>
      <c r="C1249" s="5"/>
      <c r="D1249" s="5"/>
      <c r="E1249" s="8"/>
      <c r="F1249" s="9"/>
      <c r="G1249" s="5"/>
      <c r="H1249" s="28" t="str">
        <f>IFERROR(IF(AND(COUNTIF(RegistroPago!$A$1:$A$2000,Consolidado!B1249)&gt;0,INDEX(RegistroPago!$E$1:$E$2000,MATCH(Consolidado!B1249,RegistroPago!$A$1:$A$2000,0))&lt;&gt;""),"PAGADA",IF(I1249&lt;&gt;"","PENDIENTE","SIN EMITIR")),"")</f>
        <v/>
      </c>
      <c r="I1249" s="10"/>
      <c r="J1249" s="2"/>
      <c r="K1249" s="29"/>
      <c r="L1249" s="29"/>
    </row>
    <row r="1250" spans="1:12" ht="15.75" x14ac:dyDescent="0.25">
      <c r="A1250" s="5"/>
      <c r="B1250" s="7"/>
      <c r="C1250" s="5"/>
      <c r="D1250" s="5"/>
      <c r="E1250" s="8"/>
      <c r="F1250" s="9"/>
      <c r="G1250" s="5"/>
      <c r="H1250" s="28" t="str">
        <f>IFERROR(IF(AND(COUNTIF(RegistroPago!$A$1:$A$2000,Consolidado!B1250)&gt;0,INDEX(RegistroPago!$E$1:$E$2000,MATCH(Consolidado!B1250,RegistroPago!$A$1:$A$2000,0))&lt;&gt;""),"PAGADA",IF(I1250&lt;&gt;"","PENDIENTE","SIN EMITIR")),"")</f>
        <v/>
      </c>
      <c r="I1250" s="10"/>
      <c r="J1250" s="2"/>
      <c r="K1250" s="29"/>
      <c r="L1250" s="29"/>
    </row>
    <row r="1251" spans="1:12" ht="15.75" x14ac:dyDescent="0.25">
      <c r="A1251" s="5"/>
      <c r="B1251" s="7"/>
      <c r="C1251" s="5"/>
      <c r="D1251" s="5"/>
      <c r="E1251" s="8"/>
      <c r="F1251" s="9"/>
      <c r="G1251" s="5"/>
      <c r="H1251" s="28" t="str">
        <f>IFERROR(IF(AND(COUNTIF(RegistroPago!$A$1:$A$2000,Consolidado!B1251)&gt;0,INDEX(RegistroPago!$E$1:$E$2000,MATCH(Consolidado!B1251,RegistroPago!$A$1:$A$2000,0))&lt;&gt;""),"PAGADA",IF(I1251&lt;&gt;"","PENDIENTE","SIN EMITIR")),"")</f>
        <v/>
      </c>
      <c r="I1251" s="10"/>
      <c r="J1251" s="2"/>
      <c r="K1251" s="29"/>
      <c r="L1251" s="29"/>
    </row>
    <row r="1252" spans="1:12" ht="15.75" x14ac:dyDescent="0.25">
      <c r="A1252" s="5"/>
      <c r="B1252" s="7"/>
      <c r="C1252" s="5"/>
      <c r="D1252" s="5"/>
      <c r="E1252" s="8"/>
      <c r="F1252" s="9"/>
      <c r="G1252" s="5"/>
      <c r="H1252" s="28" t="str">
        <f>IFERROR(IF(AND(COUNTIF(RegistroPago!$A$1:$A$2000,Consolidado!B1252)&gt;0,INDEX(RegistroPago!$E$1:$E$2000,MATCH(Consolidado!B1252,RegistroPago!$A$1:$A$2000,0))&lt;&gt;""),"PAGADA",IF(I1252&lt;&gt;"","PENDIENTE","SIN EMITIR")),"")</f>
        <v/>
      </c>
      <c r="I1252" s="10"/>
      <c r="J1252" s="2"/>
      <c r="K1252" s="29"/>
      <c r="L1252" s="29"/>
    </row>
    <row r="1253" spans="1:12" ht="15.75" x14ac:dyDescent="0.25">
      <c r="A1253" s="5"/>
      <c r="B1253" s="7"/>
      <c r="C1253" s="5"/>
      <c r="D1253" s="5"/>
      <c r="E1253" s="8"/>
      <c r="F1253" s="9"/>
      <c r="G1253" s="5"/>
      <c r="H1253" s="28" t="str">
        <f>IFERROR(IF(AND(COUNTIF(RegistroPago!$A$1:$A$2000,Consolidado!B1253)&gt;0,INDEX(RegistroPago!$E$1:$E$2000,MATCH(Consolidado!B1253,RegistroPago!$A$1:$A$2000,0))&lt;&gt;""),"PAGADA",IF(I1253&lt;&gt;"","PENDIENTE","SIN EMITIR")),"")</f>
        <v/>
      </c>
      <c r="I1253" s="10"/>
      <c r="J1253" s="2"/>
      <c r="K1253" s="29"/>
      <c r="L1253" s="29"/>
    </row>
    <row r="1254" spans="1:12" ht="15.75" x14ac:dyDescent="0.25">
      <c r="A1254" s="5"/>
      <c r="B1254" s="7"/>
      <c r="C1254" s="5"/>
      <c r="D1254" s="5"/>
      <c r="E1254" s="8"/>
      <c r="F1254" s="9"/>
      <c r="G1254" s="5"/>
      <c r="H1254" s="28" t="str">
        <f>IFERROR(IF(AND(COUNTIF(RegistroPago!$A$1:$A$2000,Consolidado!B1254)&gt;0,INDEX(RegistroPago!$E$1:$E$2000,MATCH(Consolidado!B1254,RegistroPago!$A$1:$A$2000,0))&lt;&gt;""),"PAGADA",IF(I1254&lt;&gt;"","PENDIENTE","SIN EMITIR")),"")</f>
        <v/>
      </c>
      <c r="I1254" s="10"/>
      <c r="J1254" s="2"/>
      <c r="K1254" s="29"/>
      <c r="L1254" s="29"/>
    </row>
    <row r="1255" spans="1:12" ht="15.75" x14ac:dyDescent="0.25">
      <c r="A1255" s="5"/>
      <c r="B1255" s="7"/>
      <c r="C1255" s="5"/>
      <c r="D1255" s="5"/>
      <c r="E1255" s="8"/>
      <c r="F1255" s="9"/>
      <c r="G1255" s="5"/>
      <c r="H1255" s="28" t="str">
        <f>IFERROR(IF(AND(COUNTIF(RegistroPago!$A$1:$A$2000,Consolidado!B1255)&gt;0,INDEX(RegistroPago!$E$1:$E$2000,MATCH(Consolidado!B1255,RegistroPago!$A$1:$A$2000,0))&lt;&gt;""),"PAGADA",IF(I1255&lt;&gt;"","PENDIENTE","SIN EMITIR")),"")</f>
        <v/>
      </c>
      <c r="I1255" s="10"/>
      <c r="J1255" s="2"/>
      <c r="K1255" s="29"/>
      <c r="L1255" s="29"/>
    </row>
    <row r="1256" spans="1:12" ht="15.75" x14ac:dyDescent="0.25">
      <c r="A1256" s="5"/>
      <c r="B1256" s="7"/>
      <c r="C1256" s="5"/>
      <c r="D1256" s="5"/>
      <c r="E1256" s="8"/>
      <c r="F1256" s="9"/>
      <c r="G1256" s="5"/>
      <c r="H1256" s="28" t="str">
        <f>IFERROR(IF(AND(COUNTIF(RegistroPago!$A$1:$A$2000,Consolidado!B1256)&gt;0,INDEX(RegistroPago!$E$1:$E$2000,MATCH(Consolidado!B1256,RegistroPago!$A$1:$A$2000,0))&lt;&gt;""),"PAGADA",IF(I1256&lt;&gt;"","PENDIENTE","SIN EMITIR")),"")</f>
        <v/>
      </c>
      <c r="I1256" s="10"/>
      <c r="J1256" s="2"/>
      <c r="K1256" s="29"/>
      <c r="L1256" s="29"/>
    </row>
    <row r="1257" spans="1:12" ht="15.75" x14ac:dyDescent="0.25">
      <c r="A1257" s="5"/>
      <c r="B1257" s="7"/>
      <c r="C1257" s="5"/>
      <c r="D1257" s="5"/>
      <c r="E1257" s="8"/>
      <c r="F1257" s="9"/>
      <c r="G1257" s="5"/>
      <c r="H1257" s="28" t="str">
        <f>IFERROR(IF(AND(COUNTIF(RegistroPago!$A$1:$A$2000,Consolidado!B1257)&gt;0,INDEX(RegistroPago!$E$1:$E$2000,MATCH(Consolidado!B1257,RegistroPago!$A$1:$A$2000,0))&lt;&gt;""),"PAGADA",IF(I1257&lt;&gt;"","PENDIENTE","SIN EMITIR")),"")</f>
        <v/>
      </c>
      <c r="I1257" s="10"/>
      <c r="J1257" s="2"/>
      <c r="K1257" s="29"/>
      <c r="L1257" s="29"/>
    </row>
    <row r="1258" spans="1:12" ht="15.75" x14ac:dyDescent="0.25">
      <c r="A1258" s="5"/>
      <c r="B1258" s="7"/>
      <c r="C1258" s="5"/>
      <c r="D1258" s="5"/>
      <c r="E1258" s="8"/>
      <c r="F1258" s="9"/>
      <c r="G1258" s="5"/>
      <c r="H1258" s="28" t="str">
        <f>IFERROR(IF(AND(COUNTIF(RegistroPago!$A$1:$A$2000,Consolidado!B1258)&gt;0,INDEX(RegistroPago!$E$1:$E$2000,MATCH(Consolidado!B1258,RegistroPago!$A$1:$A$2000,0))&lt;&gt;""),"PAGADA",IF(I1258&lt;&gt;"","PENDIENTE","SIN EMITIR")),"")</f>
        <v/>
      </c>
      <c r="I1258" s="10"/>
      <c r="J1258" s="2"/>
      <c r="K1258" s="29"/>
      <c r="L1258" s="29"/>
    </row>
    <row r="1259" spans="1:12" ht="15.75" x14ac:dyDescent="0.25">
      <c r="A1259" s="5"/>
      <c r="B1259" s="7"/>
      <c r="C1259" s="5"/>
      <c r="D1259" s="5"/>
      <c r="E1259" s="8"/>
      <c r="F1259" s="9"/>
      <c r="G1259" s="5"/>
      <c r="H1259" s="28" t="str">
        <f>IFERROR(IF(AND(COUNTIF(RegistroPago!$A$1:$A$2000,Consolidado!B1259)&gt;0,INDEX(RegistroPago!$E$1:$E$2000,MATCH(Consolidado!B1259,RegistroPago!$A$1:$A$2000,0))&lt;&gt;""),"PAGADA",IF(I1259&lt;&gt;"","PENDIENTE","SIN EMITIR")),"")</f>
        <v/>
      </c>
      <c r="I1259" s="10"/>
      <c r="J1259" s="2"/>
      <c r="K1259" s="29"/>
      <c r="L1259" s="29"/>
    </row>
    <row r="1260" spans="1:12" ht="15.75" x14ac:dyDescent="0.25">
      <c r="A1260" s="5"/>
      <c r="B1260" s="7"/>
      <c r="C1260" s="5"/>
      <c r="D1260" s="5"/>
      <c r="E1260" s="8"/>
      <c r="F1260" s="9"/>
      <c r="G1260" s="5"/>
      <c r="H1260" s="28" t="str">
        <f>IFERROR(IF(AND(COUNTIF(RegistroPago!$A$1:$A$2000,Consolidado!B1260)&gt;0,INDEX(RegistroPago!$E$1:$E$2000,MATCH(Consolidado!B1260,RegistroPago!$A$1:$A$2000,0))&lt;&gt;""),"PAGADA",IF(I1260&lt;&gt;"","PENDIENTE","SIN EMITIR")),"")</f>
        <v/>
      </c>
      <c r="I1260" s="10"/>
      <c r="J1260" s="2"/>
      <c r="K1260" s="29"/>
      <c r="L1260" s="29"/>
    </row>
    <row r="1261" spans="1:12" ht="15.75" x14ac:dyDescent="0.25">
      <c r="A1261" s="5"/>
      <c r="B1261" s="7"/>
      <c r="C1261" s="5"/>
      <c r="D1261" s="5"/>
      <c r="E1261" s="8"/>
      <c r="F1261" s="9"/>
      <c r="G1261" s="5"/>
      <c r="H1261" s="28" t="str">
        <f>IFERROR(IF(AND(COUNTIF(RegistroPago!$A$1:$A$2000,Consolidado!B1261)&gt;0,INDEX(RegistroPago!$E$1:$E$2000,MATCH(Consolidado!B1261,RegistroPago!$A$1:$A$2000,0))&lt;&gt;""),"PAGADA",IF(I1261&lt;&gt;"","PENDIENTE","SIN EMITIR")),"")</f>
        <v/>
      </c>
      <c r="I1261" s="10"/>
      <c r="J1261" s="2"/>
      <c r="K1261" s="29"/>
      <c r="L1261" s="29"/>
    </row>
    <row r="1262" spans="1:12" ht="15.75" x14ac:dyDescent="0.25">
      <c r="A1262" s="5"/>
      <c r="B1262" s="7"/>
      <c r="C1262" s="5"/>
      <c r="D1262" s="5"/>
      <c r="E1262" s="8"/>
      <c r="F1262" s="9"/>
      <c r="G1262" s="5"/>
      <c r="H1262" s="28" t="str">
        <f>IFERROR(IF(AND(COUNTIF(RegistroPago!$A$1:$A$2000,Consolidado!B1262)&gt;0,INDEX(RegistroPago!$E$1:$E$2000,MATCH(Consolidado!B1262,RegistroPago!$A$1:$A$2000,0))&lt;&gt;""),"PAGADA",IF(I1262&lt;&gt;"","PENDIENTE","SIN EMITIR")),"")</f>
        <v/>
      </c>
      <c r="I1262" s="10"/>
      <c r="J1262" s="2"/>
      <c r="K1262" s="29"/>
      <c r="L1262" s="29"/>
    </row>
    <row r="1263" spans="1:12" ht="15.75" x14ac:dyDescent="0.25">
      <c r="A1263" s="5"/>
      <c r="B1263" s="7"/>
      <c r="C1263" s="5"/>
      <c r="D1263" s="5"/>
      <c r="E1263" s="8"/>
      <c r="F1263" s="9"/>
      <c r="G1263" s="5"/>
      <c r="H1263" s="28" t="str">
        <f>IFERROR(IF(AND(COUNTIF(RegistroPago!$A$1:$A$2000,Consolidado!B1263)&gt;0,INDEX(RegistroPago!$E$1:$E$2000,MATCH(Consolidado!B1263,RegistroPago!$A$1:$A$2000,0))&lt;&gt;""),"PAGADA",IF(I1263&lt;&gt;"","PENDIENTE","SIN EMITIR")),"")</f>
        <v/>
      </c>
      <c r="I1263" s="10"/>
      <c r="J1263" s="2"/>
      <c r="K1263" s="29"/>
      <c r="L1263" s="29"/>
    </row>
    <row r="1264" spans="1:12" ht="15.75" x14ac:dyDescent="0.25">
      <c r="A1264" s="5"/>
      <c r="B1264" s="7"/>
      <c r="C1264" s="5"/>
      <c r="D1264" s="5"/>
      <c r="E1264" s="8"/>
      <c r="F1264" s="9"/>
      <c r="G1264" s="5"/>
      <c r="H1264" s="28" t="str">
        <f>IFERROR(IF(AND(COUNTIF(RegistroPago!$A$1:$A$2000,Consolidado!B1264)&gt;0,INDEX(RegistroPago!$E$1:$E$2000,MATCH(Consolidado!B1264,RegistroPago!$A$1:$A$2000,0))&lt;&gt;""),"PAGADA",IF(I1264&lt;&gt;"","PENDIENTE","SIN EMITIR")),"")</f>
        <v/>
      </c>
      <c r="I1264" s="10"/>
      <c r="J1264" s="2"/>
      <c r="K1264" s="29"/>
      <c r="L1264" s="29"/>
    </row>
    <row r="1265" spans="1:12" ht="15.75" x14ac:dyDescent="0.25">
      <c r="A1265" s="5"/>
      <c r="B1265" s="7"/>
      <c r="C1265" s="5"/>
      <c r="D1265" s="5"/>
      <c r="E1265" s="8"/>
      <c r="F1265" s="9"/>
      <c r="G1265" s="5"/>
      <c r="H1265" s="28" t="str">
        <f>IFERROR(IF(AND(COUNTIF(RegistroPago!$A$1:$A$2000,Consolidado!B1265)&gt;0,INDEX(RegistroPago!$E$1:$E$2000,MATCH(Consolidado!B1265,RegistroPago!$A$1:$A$2000,0))&lt;&gt;""),"PAGADA",IF(I1265&lt;&gt;"","PENDIENTE","SIN EMITIR")),"")</f>
        <v/>
      </c>
      <c r="I1265" s="10"/>
      <c r="J1265" s="2"/>
      <c r="K1265" s="29"/>
      <c r="L1265" s="29"/>
    </row>
    <row r="1266" spans="1:12" ht="15.75" x14ac:dyDescent="0.25">
      <c r="A1266" s="5"/>
      <c r="B1266" s="7"/>
      <c r="C1266" s="5"/>
      <c r="D1266" s="5"/>
      <c r="E1266" s="8"/>
      <c r="F1266" s="9"/>
      <c r="G1266" s="5"/>
      <c r="H1266" s="28" t="str">
        <f>IFERROR(IF(AND(COUNTIF(RegistroPago!$A$1:$A$2000,Consolidado!B1266)&gt;0,INDEX(RegistroPago!$E$1:$E$2000,MATCH(Consolidado!B1266,RegistroPago!$A$1:$A$2000,0))&lt;&gt;""),"PAGADA",IF(I1266&lt;&gt;"","PENDIENTE","SIN EMITIR")),"")</f>
        <v/>
      </c>
      <c r="I1266" s="10"/>
      <c r="J1266" s="2"/>
      <c r="K1266" s="29"/>
      <c r="L1266" s="29"/>
    </row>
    <row r="1267" spans="1:12" ht="15.75" x14ac:dyDescent="0.25">
      <c r="A1267" s="5"/>
      <c r="B1267" s="7"/>
      <c r="C1267" s="5"/>
      <c r="D1267" s="5"/>
      <c r="E1267" s="8"/>
      <c r="F1267" s="9"/>
      <c r="G1267" s="5"/>
      <c r="H1267" s="28" t="str">
        <f>IFERROR(IF(AND(COUNTIF(RegistroPago!$A$1:$A$2000,Consolidado!B1267)&gt;0,INDEX(RegistroPago!$E$1:$E$2000,MATCH(Consolidado!B1267,RegistroPago!$A$1:$A$2000,0))&lt;&gt;""),"PAGADA",IF(I1267&lt;&gt;"","PENDIENTE","SIN EMITIR")),"")</f>
        <v/>
      </c>
      <c r="I1267" s="10"/>
      <c r="J1267" s="2"/>
      <c r="K1267" s="29"/>
      <c r="L1267" s="29"/>
    </row>
    <row r="1268" spans="1:12" ht="15.75" x14ac:dyDescent="0.25">
      <c r="A1268" s="5"/>
      <c r="B1268" s="7"/>
      <c r="C1268" s="5"/>
      <c r="D1268" s="5"/>
      <c r="E1268" s="8"/>
      <c r="F1268" s="9"/>
      <c r="G1268" s="5"/>
      <c r="H1268" s="28" t="str">
        <f>IFERROR(IF(AND(COUNTIF(RegistroPago!$A$1:$A$2000,Consolidado!B1268)&gt;0,INDEX(RegistroPago!$E$1:$E$2000,MATCH(Consolidado!B1268,RegistroPago!$A$1:$A$2000,0))&lt;&gt;""),"PAGADA",IF(I1268&lt;&gt;"","PENDIENTE","SIN EMITIR")),"")</f>
        <v/>
      </c>
      <c r="I1268" s="10"/>
      <c r="J1268" s="2"/>
      <c r="K1268" s="29"/>
      <c r="L1268" s="29"/>
    </row>
    <row r="1269" spans="1:12" ht="15.75" x14ac:dyDescent="0.25">
      <c r="A1269" s="5"/>
      <c r="B1269" s="7"/>
      <c r="C1269" s="5"/>
      <c r="D1269" s="5"/>
      <c r="E1269" s="8"/>
      <c r="F1269" s="9"/>
      <c r="G1269" s="5"/>
      <c r="H1269" s="28" t="str">
        <f>IFERROR(IF(AND(COUNTIF(RegistroPago!$A$1:$A$2000,Consolidado!B1269)&gt;0,INDEX(RegistroPago!$E$1:$E$2000,MATCH(Consolidado!B1269,RegistroPago!$A$1:$A$2000,0))&lt;&gt;""),"PAGADA",IF(I1269&lt;&gt;"","PENDIENTE","SIN EMITIR")),"")</f>
        <v/>
      </c>
      <c r="I1269" s="10"/>
      <c r="J1269" s="2"/>
      <c r="K1269" s="29"/>
      <c r="L1269" s="29"/>
    </row>
    <row r="1270" spans="1:12" ht="15.75" x14ac:dyDescent="0.25">
      <c r="A1270" s="5"/>
      <c r="B1270" s="7"/>
      <c r="C1270" s="5"/>
      <c r="D1270" s="5"/>
      <c r="E1270" s="8"/>
      <c r="F1270" s="9"/>
      <c r="G1270" s="5"/>
      <c r="H1270" s="28" t="str">
        <f>IFERROR(IF(AND(COUNTIF(RegistroPago!$A$1:$A$2000,Consolidado!B1270)&gt;0,INDEX(RegistroPago!$E$1:$E$2000,MATCH(Consolidado!B1270,RegistroPago!$A$1:$A$2000,0))&lt;&gt;""),"PAGADA",IF(I1270&lt;&gt;"","PENDIENTE","SIN EMITIR")),"")</f>
        <v/>
      </c>
      <c r="I1270" s="10"/>
      <c r="J1270" s="2"/>
      <c r="K1270" s="29"/>
      <c r="L1270" s="29"/>
    </row>
    <row r="1271" spans="1:12" ht="15.75" x14ac:dyDescent="0.25">
      <c r="A1271" s="5"/>
      <c r="B1271" s="7"/>
      <c r="C1271" s="5"/>
      <c r="D1271" s="5"/>
      <c r="E1271" s="8"/>
      <c r="F1271" s="9"/>
      <c r="G1271" s="5"/>
      <c r="H1271" s="28" t="str">
        <f>IFERROR(IF(AND(COUNTIF(RegistroPago!$A$1:$A$2000,Consolidado!B1271)&gt;0,INDEX(RegistroPago!$E$1:$E$2000,MATCH(Consolidado!B1271,RegistroPago!$A$1:$A$2000,0))&lt;&gt;""),"PAGADA",IF(I1271&lt;&gt;"","PENDIENTE","SIN EMITIR")),"")</f>
        <v/>
      </c>
      <c r="I1271" s="10"/>
      <c r="J1271" s="2"/>
      <c r="K1271" s="29"/>
      <c r="L1271" s="29"/>
    </row>
    <row r="1272" spans="1:12" ht="15.75" x14ac:dyDescent="0.25">
      <c r="A1272" s="5"/>
      <c r="B1272" s="7"/>
      <c r="C1272" s="5"/>
      <c r="D1272" s="5"/>
      <c r="E1272" s="8"/>
      <c r="F1272" s="9"/>
      <c r="G1272" s="5"/>
      <c r="H1272" s="28" t="str">
        <f>IFERROR(IF(AND(COUNTIF(RegistroPago!$A$1:$A$2000,Consolidado!B1272)&gt;0,INDEX(RegistroPago!$E$1:$E$2000,MATCH(Consolidado!B1272,RegistroPago!$A$1:$A$2000,0))&lt;&gt;""),"PAGADA",IF(I1272&lt;&gt;"","PENDIENTE","SIN EMITIR")),"")</f>
        <v/>
      </c>
      <c r="I1272" s="10"/>
      <c r="J1272" s="2"/>
      <c r="K1272" s="29"/>
      <c r="L1272" s="29"/>
    </row>
    <row r="1273" spans="1:12" ht="15.75" x14ac:dyDescent="0.25">
      <c r="A1273" s="5"/>
      <c r="B1273" s="7"/>
      <c r="C1273" s="5"/>
      <c r="D1273" s="5"/>
      <c r="E1273" s="8"/>
      <c r="F1273" s="9"/>
      <c r="G1273" s="5"/>
      <c r="H1273" s="28" t="str">
        <f>IFERROR(IF(AND(COUNTIF(RegistroPago!$A$1:$A$2000,Consolidado!B1273)&gt;0,INDEX(RegistroPago!$E$1:$E$2000,MATCH(Consolidado!B1273,RegistroPago!$A$1:$A$2000,0))&lt;&gt;""),"PAGADA",IF(I1273&lt;&gt;"","PENDIENTE","SIN EMITIR")),"")</f>
        <v/>
      </c>
      <c r="I1273" s="10"/>
      <c r="J1273" s="2"/>
      <c r="K1273" s="29"/>
      <c r="L1273" s="29"/>
    </row>
    <row r="1274" spans="1:12" ht="15.75" x14ac:dyDescent="0.25">
      <c r="A1274" s="5"/>
      <c r="B1274" s="7"/>
      <c r="C1274" s="5"/>
      <c r="D1274" s="5"/>
      <c r="E1274" s="8"/>
      <c r="F1274" s="9"/>
      <c r="G1274" s="5"/>
      <c r="H1274" s="28" t="str">
        <f>IFERROR(IF(AND(COUNTIF(RegistroPago!$A$1:$A$2000,Consolidado!B1274)&gt;0,INDEX(RegistroPago!$E$1:$E$2000,MATCH(Consolidado!B1274,RegistroPago!$A$1:$A$2000,0))&lt;&gt;""),"PAGADA",IF(I1274&lt;&gt;"","PENDIENTE","SIN EMITIR")),"")</f>
        <v/>
      </c>
      <c r="I1274" s="10"/>
      <c r="J1274" s="2"/>
      <c r="K1274" s="29"/>
      <c r="L1274" s="29"/>
    </row>
    <row r="1275" spans="1:12" ht="15.75" x14ac:dyDescent="0.25">
      <c r="A1275" s="5"/>
      <c r="B1275" s="7"/>
      <c r="C1275" s="5"/>
      <c r="D1275" s="5"/>
      <c r="E1275" s="8"/>
      <c r="F1275" s="9"/>
      <c r="G1275" s="5"/>
      <c r="H1275" s="28" t="str">
        <f>IFERROR(IF(AND(COUNTIF(RegistroPago!$A$1:$A$2000,Consolidado!B1275)&gt;0,INDEX(RegistroPago!$E$1:$E$2000,MATCH(Consolidado!B1275,RegistroPago!$A$1:$A$2000,0))&lt;&gt;""),"PAGADA",IF(I1275&lt;&gt;"","PENDIENTE","SIN EMITIR")),"")</f>
        <v/>
      </c>
      <c r="I1275" s="10"/>
      <c r="J1275" s="2"/>
      <c r="K1275" s="29"/>
      <c r="L1275" s="29"/>
    </row>
    <row r="1276" spans="1:12" ht="15.75" x14ac:dyDescent="0.25">
      <c r="A1276" s="5"/>
      <c r="B1276" s="7"/>
      <c r="C1276" s="5"/>
      <c r="D1276" s="5"/>
      <c r="E1276" s="8"/>
      <c r="F1276" s="9"/>
      <c r="G1276" s="5"/>
      <c r="H1276" s="28" t="str">
        <f>IFERROR(IF(AND(COUNTIF(RegistroPago!$A$1:$A$2000,Consolidado!B1276)&gt;0,INDEX(RegistroPago!$E$1:$E$2000,MATCH(Consolidado!B1276,RegistroPago!$A$1:$A$2000,0))&lt;&gt;""),"PAGADA",IF(I1276&lt;&gt;"","PENDIENTE","SIN EMITIR")),"")</f>
        <v/>
      </c>
      <c r="I1276" s="10"/>
      <c r="J1276" s="2"/>
      <c r="K1276" s="29"/>
      <c r="L1276" s="29"/>
    </row>
    <row r="1277" spans="1:12" ht="15.75" x14ac:dyDescent="0.25">
      <c r="A1277" s="5"/>
      <c r="B1277" s="7"/>
      <c r="C1277" s="5"/>
      <c r="D1277" s="5"/>
      <c r="E1277" s="8"/>
      <c r="F1277" s="9"/>
      <c r="G1277" s="5"/>
      <c r="H1277" s="28" t="str">
        <f>IFERROR(IF(AND(COUNTIF(RegistroPago!$A$1:$A$2000,Consolidado!B1277)&gt;0,INDEX(RegistroPago!$E$1:$E$2000,MATCH(Consolidado!B1277,RegistroPago!$A$1:$A$2000,0))&lt;&gt;""),"PAGADA",IF(I1277&lt;&gt;"","PENDIENTE","SIN EMITIR")),"")</f>
        <v/>
      </c>
      <c r="I1277" s="10"/>
      <c r="J1277" s="2"/>
      <c r="K1277" s="29"/>
      <c r="L1277" s="29"/>
    </row>
    <row r="1278" spans="1:12" ht="15.75" x14ac:dyDescent="0.25">
      <c r="A1278" s="5"/>
      <c r="B1278" s="7"/>
      <c r="C1278" s="5"/>
      <c r="D1278" s="5"/>
      <c r="E1278" s="8"/>
      <c r="F1278" s="9"/>
      <c r="G1278" s="5"/>
      <c r="H1278" s="28" t="str">
        <f>IFERROR(IF(AND(COUNTIF(RegistroPago!$A$1:$A$2000,Consolidado!B1278)&gt;0,INDEX(RegistroPago!$E$1:$E$2000,MATCH(Consolidado!B1278,RegistroPago!$A$1:$A$2000,0))&lt;&gt;""),"PAGADA",IF(I1278&lt;&gt;"","PENDIENTE","SIN EMITIR")),"")</f>
        <v/>
      </c>
      <c r="I1278" s="10"/>
      <c r="J1278" s="2"/>
      <c r="K1278" s="29"/>
      <c r="L1278" s="29"/>
    </row>
    <row r="1279" spans="1:12" ht="15.75" x14ac:dyDescent="0.25">
      <c r="A1279" s="5"/>
      <c r="B1279" s="7"/>
      <c r="C1279" s="5"/>
      <c r="D1279" s="5"/>
      <c r="E1279" s="8"/>
      <c r="F1279" s="9"/>
      <c r="G1279" s="5"/>
      <c r="H1279" s="28" t="str">
        <f>IFERROR(IF(AND(COUNTIF(RegistroPago!$A$1:$A$2000,Consolidado!B1279)&gt;0,INDEX(RegistroPago!$E$1:$E$2000,MATCH(Consolidado!B1279,RegistroPago!$A$1:$A$2000,0))&lt;&gt;""),"PAGADA",IF(I1279&lt;&gt;"","PENDIENTE","SIN EMITIR")),"")</f>
        <v/>
      </c>
      <c r="I1279" s="10"/>
      <c r="J1279" s="2"/>
      <c r="K1279" s="29"/>
      <c r="L1279" s="29"/>
    </row>
    <row r="1280" spans="1:12" ht="15.75" x14ac:dyDescent="0.25">
      <c r="A1280" s="5"/>
      <c r="B1280" s="7"/>
      <c r="C1280" s="5"/>
      <c r="D1280" s="5"/>
      <c r="E1280" s="8"/>
      <c r="F1280" s="9"/>
      <c r="G1280" s="5"/>
      <c r="H1280" s="28" t="str">
        <f>IFERROR(IF(AND(COUNTIF(RegistroPago!$A$1:$A$2000,Consolidado!B1280)&gt;0,INDEX(RegistroPago!$E$1:$E$2000,MATCH(Consolidado!B1280,RegistroPago!$A$1:$A$2000,0))&lt;&gt;""),"PAGADA",IF(I1280&lt;&gt;"","PENDIENTE","SIN EMITIR")),"")</f>
        <v/>
      </c>
      <c r="I1280" s="10"/>
      <c r="J1280" s="2"/>
      <c r="K1280" s="29"/>
      <c r="L1280" s="29"/>
    </row>
    <row r="1281" spans="1:12" ht="15.75" x14ac:dyDescent="0.25">
      <c r="A1281" s="5"/>
      <c r="B1281" s="7"/>
      <c r="C1281" s="5"/>
      <c r="D1281" s="5"/>
      <c r="E1281" s="8"/>
      <c r="F1281" s="9"/>
      <c r="G1281" s="5"/>
      <c r="H1281" s="28" t="str">
        <f>IFERROR(IF(AND(COUNTIF(RegistroPago!$A$1:$A$2000,Consolidado!B1281)&gt;0,INDEX(RegistroPago!$E$1:$E$2000,MATCH(Consolidado!B1281,RegistroPago!$A$1:$A$2000,0))&lt;&gt;""),"PAGADA",IF(I1281&lt;&gt;"","PENDIENTE","SIN EMITIR")),"")</f>
        <v/>
      </c>
      <c r="I1281" s="10"/>
      <c r="J1281" s="2"/>
      <c r="K1281" s="29"/>
      <c r="L1281" s="29"/>
    </row>
    <row r="1282" spans="1:12" ht="15.75" x14ac:dyDescent="0.25">
      <c r="A1282" s="5"/>
      <c r="B1282" s="7"/>
      <c r="C1282" s="5"/>
      <c r="D1282" s="5"/>
      <c r="E1282" s="8"/>
      <c r="F1282" s="9"/>
      <c r="G1282" s="5"/>
      <c r="H1282" s="28" t="str">
        <f>IFERROR(IF(AND(COUNTIF(RegistroPago!$A$1:$A$2000,Consolidado!B1282)&gt;0,INDEX(RegistroPago!$E$1:$E$2000,MATCH(Consolidado!B1282,RegistroPago!$A$1:$A$2000,0))&lt;&gt;""),"PAGADA",IF(I1282&lt;&gt;"","PENDIENTE","SIN EMITIR")),"")</f>
        <v/>
      </c>
      <c r="I1282" s="10"/>
      <c r="J1282" s="2"/>
      <c r="K1282" s="29"/>
      <c r="L1282" s="29"/>
    </row>
    <row r="1283" spans="1:12" ht="15.75" x14ac:dyDescent="0.25">
      <c r="A1283" s="5"/>
      <c r="B1283" s="7"/>
      <c r="C1283" s="5"/>
      <c r="D1283" s="5"/>
      <c r="E1283" s="8"/>
      <c r="F1283" s="9"/>
      <c r="G1283" s="5"/>
      <c r="H1283" s="28" t="str">
        <f>IFERROR(IF(AND(COUNTIF(RegistroPago!$A$1:$A$2000,Consolidado!B1283)&gt;0,INDEX(RegistroPago!$E$1:$E$2000,MATCH(Consolidado!B1283,RegistroPago!$A$1:$A$2000,0))&lt;&gt;""),"PAGADA",IF(I1283&lt;&gt;"","PENDIENTE","SIN EMITIR")),"")</f>
        <v/>
      </c>
      <c r="I1283" s="10"/>
      <c r="J1283" s="2"/>
      <c r="K1283" s="29"/>
      <c r="L1283" s="29"/>
    </row>
    <row r="1284" spans="1:12" ht="15.75" x14ac:dyDescent="0.25">
      <c r="A1284" s="5"/>
      <c r="B1284" s="7"/>
      <c r="C1284" s="5"/>
      <c r="D1284" s="5"/>
      <c r="E1284" s="8"/>
      <c r="F1284" s="9"/>
      <c r="G1284" s="5"/>
      <c r="H1284" s="28" t="str">
        <f>IFERROR(IF(AND(COUNTIF(RegistroPago!$A$1:$A$2000,Consolidado!B1284)&gt;0,INDEX(RegistroPago!$E$1:$E$2000,MATCH(Consolidado!B1284,RegistroPago!$A$1:$A$2000,0))&lt;&gt;""),"PAGADA",IF(I1284&lt;&gt;"","PENDIENTE","SIN EMITIR")),"")</f>
        <v/>
      </c>
      <c r="I1284" s="10"/>
      <c r="J1284" s="2"/>
      <c r="K1284" s="29"/>
      <c r="L1284" s="29"/>
    </row>
    <row r="1285" spans="1:12" ht="15.75" x14ac:dyDescent="0.25">
      <c r="A1285" s="5"/>
      <c r="B1285" s="7"/>
      <c r="C1285" s="5"/>
      <c r="D1285" s="5"/>
      <c r="E1285" s="8"/>
      <c r="F1285" s="9"/>
      <c r="G1285" s="5"/>
      <c r="H1285" s="28" t="str">
        <f>IFERROR(IF(AND(COUNTIF(RegistroPago!$A$1:$A$2000,Consolidado!B1285)&gt;0,INDEX(RegistroPago!$E$1:$E$2000,MATCH(Consolidado!B1285,RegistroPago!$A$1:$A$2000,0))&lt;&gt;""),"PAGADA",IF(I1285&lt;&gt;"","PENDIENTE","SIN EMITIR")),"")</f>
        <v/>
      </c>
      <c r="I1285" s="10"/>
      <c r="J1285" s="2"/>
      <c r="K1285" s="29"/>
      <c r="L1285" s="29"/>
    </row>
    <row r="1286" spans="1:12" ht="15.75" x14ac:dyDescent="0.25">
      <c r="A1286" s="5"/>
      <c r="B1286" s="7"/>
      <c r="C1286" s="5"/>
      <c r="D1286" s="5"/>
      <c r="E1286" s="8"/>
      <c r="F1286" s="9"/>
      <c r="G1286" s="5"/>
      <c r="H1286" s="28" t="str">
        <f>IFERROR(IF(AND(COUNTIF(RegistroPago!$A$1:$A$2000,Consolidado!B1286)&gt;0,INDEX(RegistroPago!$E$1:$E$2000,MATCH(Consolidado!B1286,RegistroPago!$A$1:$A$2000,0))&lt;&gt;""),"PAGADA",IF(I1286&lt;&gt;"","PENDIENTE","SIN EMITIR")),"")</f>
        <v/>
      </c>
      <c r="I1286" s="10"/>
      <c r="J1286" s="2"/>
      <c r="K1286" s="29"/>
      <c r="L1286" s="29"/>
    </row>
    <row r="1287" spans="1:12" ht="15.75" x14ac:dyDescent="0.25">
      <c r="A1287" s="5"/>
      <c r="B1287" s="7"/>
      <c r="C1287" s="5"/>
      <c r="D1287" s="5"/>
      <c r="E1287" s="8"/>
      <c r="F1287" s="9"/>
      <c r="G1287" s="5"/>
      <c r="H1287" s="28" t="str">
        <f>IFERROR(IF(AND(COUNTIF(RegistroPago!$A$1:$A$2000,Consolidado!B1287)&gt;0,INDEX(RegistroPago!$E$1:$E$2000,MATCH(Consolidado!B1287,RegistroPago!$A$1:$A$2000,0))&lt;&gt;""),"PAGADA",IF(I1287&lt;&gt;"","PENDIENTE","SIN EMITIR")),"")</f>
        <v/>
      </c>
      <c r="I1287" s="10"/>
      <c r="J1287" s="2"/>
      <c r="K1287" s="29"/>
      <c r="L1287" s="29"/>
    </row>
    <row r="1288" spans="1:12" ht="15.75" x14ac:dyDescent="0.25">
      <c r="A1288" s="5"/>
      <c r="B1288" s="7"/>
      <c r="C1288" s="5"/>
      <c r="D1288" s="5"/>
      <c r="E1288" s="8"/>
      <c r="F1288" s="9"/>
      <c r="G1288" s="5"/>
      <c r="H1288" s="28" t="str">
        <f>IFERROR(IF(AND(COUNTIF(RegistroPago!$A$1:$A$2000,Consolidado!B1288)&gt;0,INDEX(RegistroPago!$E$1:$E$2000,MATCH(Consolidado!B1288,RegistroPago!$A$1:$A$2000,0))&lt;&gt;""),"PAGADA",IF(I1288&lt;&gt;"","PENDIENTE","SIN EMITIR")),"")</f>
        <v/>
      </c>
      <c r="I1288" s="10"/>
      <c r="J1288" s="2"/>
      <c r="K1288" s="29"/>
      <c r="L1288" s="29"/>
    </row>
    <row r="1289" spans="1:12" ht="15.75" x14ac:dyDescent="0.25">
      <c r="A1289" s="5"/>
      <c r="B1289" s="7"/>
      <c r="C1289" s="5"/>
      <c r="D1289" s="5"/>
      <c r="E1289" s="8"/>
      <c r="F1289" s="9"/>
      <c r="G1289" s="5"/>
      <c r="H1289" s="28" t="str">
        <f>IFERROR(IF(AND(COUNTIF(RegistroPago!$A$1:$A$2000,Consolidado!B1289)&gt;0,INDEX(RegistroPago!$E$1:$E$2000,MATCH(Consolidado!B1289,RegistroPago!$A$1:$A$2000,0))&lt;&gt;""),"PAGADA",IF(I1289&lt;&gt;"","PENDIENTE","SIN EMITIR")),"")</f>
        <v/>
      </c>
      <c r="I1289" s="10"/>
      <c r="J1289" s="2"/>
      <c r="K1289" s="29"/>
      <c r="L1289" s="29"/>
    </row>
    <row r="1290" spans="1:12" ht="15.75" x14ac:dyDescent="0.25">
      <c r="A1290" s="5"/>
      <c r="B1290" s="7"/>
      <c r="C1290" s="5"/>
      <c r="D1290" s="5"/>
      <c r="E1290" s="8"/>
      <c r="F1290" s="9"/>
      <c r="G1290" s="5"/>
      <c r="H1290" s="28" t="str">
        <f>IFERROR(IF(AND(COUNTIF(RegistroPago!$A$1:$A$2000,Consolidado!B1290)&gt;0,INDEX(RegistroPago!$E$1:$E$2000,MATCH(Consolidado!B1290,RegistroPago!$A$1:$A$2000,0))&lt;&gt;""),"PAGADA",IF(I1290&lt;&gt;"","PENDIENTE","SIN EMITIR")),"")</f>
        <v/>
      </c>
      <c r="I1290" s="10"/>
      <c r="J1290" s="2"/>
      <c r="K1290" s="29"/>
      <c r="L1290" s="29"/>
    </row>
    <row r="1291" spans="1:12" ht="15.75" x14ac:dyDescent="0.25">
      <c r="A1291" s="5"/>
      <c r="B1291" s="7"/>
      <c r="C1291" s="5"/>
      <c r="D1291" s="5"/>
      <c r="E1291" s="8"/>
      <c r="F1291" s="9"/>
      <c r="G1291" s="5"/>
      <c r="H1291" s="28" t="str">
        <f>IFERROR(IF(AND(COUNTIF(RegistroPago!$A$1:$A$2000,Consolidado!B1291)&gt;0,INDEX(RegistroPago!$E$1:$E$2000,MATCH(Consolidado!B1291,RegistroPago!$A$1:$A$2000,0))&lt;&gt;""),"PAGADA",IF(I1291&lt;&gt;"","PENDIENTE","SIN EMITIR")),"")</f>
        <v/>
      </c>
      <c r="I1291" s="10"/>
      <c r="J1291" s="2"/>
      <c r="K1291" s="29"/>
      <c r="L1291" s="29"/>
    </row>
    <row r="1292" spans="1:12" ht="15.75" x14ac:dyDescent="0.25">
      <c r="A1292" s="5"/>
      <c r="B1292" s="7"/>
      <c r="C1292" s="5"/>
      <c r="D1292" s="5"/>
      <c r="E1292" s="8"/>
      <c r="F1292" s="9"/>
      <c r="G1292" s="5"/>
      <c r="H1292" s="28" t="str">
        <f>IFERROR(IF(AND(COUNTIF(RegistroPago!$A$1:$A$2000,Consolidado!B1292)&gt;0,INDEX(RegistroPago!$E$1:$E$2000,MATCH(Consolidado!B1292,RegistroPago!$A$1:$A$2000,0))&lt;&gt;""),"PAGADA",IF(I1292&lt;&gt;"","PENDIENTE","SIN EMITIR")),"")</f>
        <v/>
      </c>
      <c r="I1292" s="10"/>
      <c r="J1292" s="2"/>
      <c r="K1292" s="29"/>
      <c r="L1292" s="29"/>
    </row>
    <row r="1293" spans="1:12" ht="15.75" x14ac:dyDescent="0.25">
      <c r="A1293" s="5"/>
      <c r="B1293" s="7"/>
      <c r="C1293" s="5"/>
      <c r="D1293" s="5"/>
      <c r="E1293" s="8"/>
      <c r="F1293" s="9"/>
      <c r="G1293" s="5"/>
      <c r="H1293" s="28" t="str">
        <f>IFERROR(IF(AND(COUNTIF(RegistroPago!$A$1:$A$2000,Consolidado!B1293)&gt;0,INDEX(RegistroPago!$E$1:$E$2000,MATCH(Consolidado!B1293,RegistroPago!$A$1:$A$2000,0))&lt;&gt;""),"PAGADA",IF(I1293&lt;&gt;"","PENDIENTE","SIN EMITIR")),"")</f>
        <v/>
      </c>
      <c r="I1293" s="10"/>
      <c r="J1293" s="2"/>
      <c r="K1293" s="29"/>
      <c r="L1293" s="29"/>
    </row>
    <row r="1294" spans="1:12" ht="15.75" x14ac:dyDescent="0.25">
      <c r="A1294" s="5"/>
      <c r="B1294" s="7"/>
      <c r="C1294" s="5"/>
      <c r="D1294" s="5"/>
      <c r="E1294" s="8"/>
      <c r="F1294" s="9"/>
      <c r="G1294" s="5"/>
      <c r="H1294" s="28" t="str">
        <f>IFERROR(IF(AND(COUNTIF(RegistroPago!$A$1:$A$2000,Consolidado!B1294)&gt;0,INDEX(RegistroPago!$E$1:$E$2000,MATCH(Consolidado!B1294,RegistroPago!$A$1:$A$2000,0))&lt;&gt;""),"PAGADA",IF(I1294&lt;&gt;"","PENDIENTE","SIN EMITIR")),"")</f>
        <v/>
      </c>
      <c r="I1294" s="10"/>
      <c r="J1294" s="2"/>
      <c r="K1294" s="29"/>
      <c r="L1294" s="29"/>
    </row>
    <row r="1295" spans="1:12" ht="15.75" x14ac:dyDescent="0.25">
      <c r="A1295" s="5"/>
      <c r="B1295" s="7"/>
      <c r="C1295" s="5"/>
      <c r="D1295" s="5"/>
      <c r="E1295" s="8"/>
      <c r="F1295" s="9"/>
      <c r="G1295" s="5"/>
      <c r="H1295" s="28" t="str">
        <f>IFERROR(IF(AND(COUNTIF(RegistroPago!$A$1:$A$2000,Consolidado!B1295)&gt;0,INDEX(RegistroPago!$E$1:$E$2000,MATCH(Consolidado!B1295,RegistroPago!$A$1:$A$2000,0))&lt;&gt;""),"PAGADA",IF(I1295&lt;&gt;"","PENDIENTE","SIN EMITIR")),"")</f>
        <v/>
      </c>
      <c r="I1295" s="10"/>
      <c r="J1295" s="2"/>
      <c r="K1295" s="29"/>
      <c r="L1295" s="29"/>
    </row>
    <row r="1296" spans="1:12" ht="15.75" x14ac:dyDescent="0.25">
      <c r="A1296" s="5"/>
      <c r="B1296" s="7"/>
      <c r="C1296" s="5"/>
      <c r="D1296" s="5"/>
      <c r="E1296" s="8"/>
      <c r="F1296" s="9"/>
      <c r="G1296" s="5"/>
      <c r="H1296" s="28" t="str">
        <f>IFERROR(IF(AND(COUNTIF(RegistroPago!$A$1:$A$2000,Consolidado!B1296)&gt;0,INDEX(RegistroPago!$E$1:$E$2000,MATCH(Consolidado!B1296,RegistroPago!$A$1:$A$2000,0))&lt;&gt;""),"PAGADA",IF(I1296&lt;&gt;"","PENDIENTE","SIN EMITIR")),"")</f>
        <v/>
      </c>
      <c r="I1296" s="10"/>
      <c r="J1296" s="2"/>
      <c r="K1296" s="29"/>
      <c r="L1296" s="29"/>
    </row>
    <row r="1297" spans="1:12" ht="15.75" x14ac:dyDescent="0.25">
      <c r="A1297" s="5"/>
      <c r="B1297" s="7"/>
      <c r="C1297" s="5"/>
      <c r="D1297" s="5"/>
      <c r="E1297" s="8"/>
      <c r="F1297" s="9"/>
      <c r="G1297" s="5"/>
      <c r="H1297" s="28" t="str">
        <f>IFERROR(IF(AND(COUNTIF(RegistroPago!$A$1:$A$2000,Consolidado!B1297)&gt;0,INDEX(RegistroPago!$E$1:$E$2000,MATCH(Consolidado!B1297,RegistroPago!$A$1:$A$2000,0))&lt;&gt;""),"PAGADA",IF(I1297&lt;&gt;"","PENDIENTE","SIN EMITIR")),"")</f>
        <v/>
      </c>
      <c r="I1297" s="10"/>
      <c r="J1297" s="2"/>
      <c r="K1297" s="29"/>
      <c r="L1297" s="29"/>
    </row>
    <row r="1298" spans="1:12" ht="15.75" x14ac:dyDescent="0.25">
      <c r="A1298" s="5"/>
      <c r="B1298" s="7"/>
      <c r="C1298" s="5"/>
      <c r="D1298" s="5"/>
      <c r="E1298" s="8"/>
      <c r="F1298" s="9"/>
      <c r="G1298" s="5"/>
      <c r="H1298" s="28" t="str">
        <f>IFERROR(IF(AND(COUNTIF(RegistroPago!$A$1:$A$2000,Consolidado!B1298)&gt;0,INDEX(RegistroPago!$E$1:$E$2000,MATCH(Consolidado!B1298,RegistroPago!$A$1:$A$2000,0))&lt;&gt;""),"PAGADA",IF(I1298&lt;&gt;"","PENDIENTE","SIN EMITIR")),"")</f>
        <v/>
      </c>
      <c r="I1298" s="10"/>
      <c r="J1298" s="2"/>
      <c r="K1298" s="29"/>
      <c r="L1298" s="29"/>
    </row>
    <row r="1299" spans="1:12" ht="15.75" x14ac:dyDescent="0.25">
      <c r="A1299" s="5"/>
      <c r="B1299" s="7"/>
      <c r="C1299" s="5"/>
      <c r="D1299" s="5"/>
      <c r="E1299" s="8"/>
      <c r="F1299" s="9"/>
      <c r="G1299" s="5"/>
      <c r="H1299" s="28" t="str">
        <f>IFERROR(IF(AND(COUNTIF(RegistroPago!$A$1:$A$2000,Consolidado!B1299)&gt;0,INDEX(RegistroPago!$E$1:$E$2000,MATCH(Consolidado!B1299,RegistroPago!$A$1:$A$2000,0))&lt;&gt;""),"PAGADA",IF(I1299&lt;&gt;"","PENDIENTE","SIN EMITIR")),"")</f>
        <v/>
      </c>
      <c r="I1299" s="10"/>
      <c r="J1299" s="2"/>
      <c r="K1299" s="29"/>
      <c r="L1299" s="29"/>
    </row>
    <row r="1300" spans="1:12" ht="15.75" x14ac:dyDescent="0.25">
      <c r="A1300" s="5"/>
      <c r="B1300" s="7"/>
      <c r="C1300" s="5"/>
      <c r="D1300" s="5"/>
      <c r="E1300" s="8"/>
      <c r="F1300" s="9"/>
      <c r="G1300" s="5"/>
      <c r="H1300" s="28" t="str">
        <f>IFERROR(IF(AND(COUNTIF(RegistroPago!$A$1:$A$2000,Consolidado!B1300)&gt;0,INDEX(RegistroPago!$E$1:$E$2000,MATCH(Consolidado!B1300,RegistroPago!$A$1:$A$2000,0))&lt;&gt;""),"PAGADA",IF(I1300&lt;&gt;"","PENDIENTE","SIN EMITIR")),"")</f>
        <v/>
      </c>
      <c r="I1300" s="10"/>
      <c r="J1300" s="2"/>
      <c r="K1300" s="29"/>
      <c r="L1300" s="29"/>
    </row>
    <row r="1301" spans="1:12" ht="15.75" x14ac:dyDescent="0.25">
      <c r="A1301" s="5"/>
      <c r="B1301" s="7"/>
      <c r="C1301" s="5"/>
      <c r="D1301" s="5"/>
      <c r="E1301" s="8"/>
      <c r="F1301" s="9"/>
      <c r="G1301" s="5"/>
      <c r="H1301" s="28" t="str">
        <f>IFERROR(IF(AND(COUNTIF(RegistroPago!$A$1:$A$2000,Consolidado!B1301)&gt;0,INDEX(RegistroPago!$E$1:$E$2000,MATCH(Consolidado!B1301,RegistroPago!$A$1:$A$2000,0))&lt;&gt;""),"PAGADA",IF(I1301&lt;&gt;"","PENDIENTE","SIN EMITIR")),"")</f>
        <v/>
      </c>
      <c r="I1301" s="10"/>
      <c r="J1301" s="2"/>
      <c r="K1301" s="29"/>
      <c r="L1301" s="29"/>
    </row>
    <row r="1302" spans="1:12" ht="15.75" x14ac:dyDescent="0.25">
      <c r="A1302" s="5"/>
      <c r="B1302" s="7"/>
      <c r="C1302" s="5"/>
      <c r="D1302" s="5"/>
      <c r="E1302" s="8"/>
      <c r="F1302" s="9"/>
      <c r="G1302" s="5"/>
      <c r="H1302" s="28" t="str">
        <f>IFERROR(IF(AND(COUNTIF(RegistroPago!$A$1:$A$2000,Consolidado!B1302)&gt;0,INDEX(RegistroPago!$E$1:$E$2000,MATCH(Consolidado!B1302,RegistroPago!$A$1:$A$2000,0))&lt;&gt;""),"PAGADA",IF(I1302&lt;&gt;"","PENDIENTE","SIN EMITIR")),"")</f>
        <v/>
      </c>
      <c r="I1302" s="10"/>
      <c r="J1302" s="2"/>
      <c r="K1302" s="29"/>
      <c r="L1302" s="29"/>
    </row>
    <row r="1303" spans="1:12" ht="15.75" x14ac:dyDescent="0.25">
      <c r="A1303" s="5"/>
      <c r="B1303" s="7"/>
      <c r="C1303" s="5"/>
      <c r="D1303" s="5"/>
      <c r="E1303" s="8"/>
      <c r="F1303" s="9"/>
      <c r="G1303" s="5"/>
      <c r="H1303" s="28" t="str">
        <f>IFERROR(IF(AND(COUNTIF(RegistroPago!$A$1:$A$2000,Consolidado!B1303)&gt;0,INDEX(RegistroPago!$E$1:$E$2000,MATCH(Consolidado!B1303,RegistroPago!$A$1:$A$2000,0))&lt;&gt;""),"PAGADA",IF(I1303&lt;&gt;"","PENDIENTE","SIN EMITIR")),"")</f>
        <v/>
      </c>
      <c r="I1303" s="10"/>
      <c r="J1303" s="2"/>
      <c r="K1303" s="29"/>
      <c r="L1303" s="29"/>
    </row>
    <row r="1304" spans="1:12" ht="15.75" x14ac:dyDescent="0.25">
      <c r="A1304" s="5"/>
      <c r="B1304" s="7"/>
      <c r="C1304" s="5"/>
      <c r="D1304" s="5"/>
      <c r="E1304" s="8"/>
      <c r="F1304" s="9"/>
      <c r="G1304" s="5"/>
      <c r="H1304" s="28" t="str">
        <f>IFERROR(IF(AND(COUNTIF(RegistroPago!$A$1:$A$2000,Consolidado!B1304)&gt;0,INDEX(RegistroPago!$E$1:$E$2000,MATCH(Consolidado!B1304,RegistroPago!$A$1:$A$2000,0))&lt;&gt;""),"PAGADA",IF(I1304&lt;&gt;"","PENDIENTE","SIN EMITIR")),"")</f>
        <v/>
      </c>
      <c r="I1304" s="10"/>
      <c r="J1304" s="2"/>
      <c r="K1304" s="29"/>
      <c r="L1304" s="29"/>
    </row>
    <row r="1305" spans="1:12" ht="15.75" x14ac:dyDescent="0.25">
      <c r="A1305" s="5"/>
      <c r="B1305" s="7"/>
      <c r="C1305" s="5"/>
      <c r="D1305" s="5"/>
      <c r="E1305" s="8"/>
      <c r="F1305" s="9"/>
      <c r="G1305" s="5"/>
      <c r="H1305" s="28" t="str">
        <f>IFERROR(IF(AND(COUNTIF(RegistroPago!$A$1:$A$2000,Consolidado!B1305)&gt;0,INDEX(RegistroPago!$E$1:$E$2000,MATCH(Consolidado!B1305,RegistroPago!$A$1:$A$2000,0))&lt;&gt;""),"PAGADA",IF(I1305&lt;&gt;"","PENDIENTE","SIN EMITIR")),"")</f>
        <v/>
      </c>
      <c r="I1305" s="10"/>
      <c r="J1305" s="2"/>
      <c r="K1305" s="29"/>
      <c r="L1305" s="29"/>
    </row>
    <row r="1306" spans="1:12" ht="15.75" x14ac:dyDescent="0.25">
      <c r="A1306" s="5"/>
      <c r="B1306" s="7"/>
      <c r="C1306" s="5"/>
      <c r="D1306" s="5"/>
      <c r="E1306" s="8"/>
      <c r="F1306" s="9"/>
      <c r="G1306" s="5"/>
      <c r="H1306" s="28" t="str">
        <f>IFERROR(IF(AND(COUNTIF(RegistroPago!$A$1:$A$2000,Consolidado!B1306)&gt;0,INDEX(RegistroPago!$E$1:$E$2000,MATCH(Consolidado!B1306,RegistroPago!$A$1:$A$2000,0))&lt;&gt;""),"PAGADA",IF(I1306&lt;&gt;"","PENDIENTE","SIN EMITIR")),"")</f>
        <v/>
      </c>
      <c r="I1306" s="10"/>
      <c r="J1306" s="2"/>
      <c r="K1306" s="29"/>
      <c r="L1306" s="29"/>
    </row>
    <row r="1307" spans="1:12" ht="15.75" x14ac:dyDescent="0.25">
      <c r="A1307" s="5"/>
      <c r="B1307" s="7"/>
      <c r="C1307" s="5"/>
      <c r="D1307" s="5"/>
      <c r="E1307" s="8"/>
      <c r="F1307" s="9"/>
      <c r="G1307" s="5"/>
      <c r="H1307" s="28" t="str">
        <f>IFERROR(IF(AND(COUNTIF(RegistroPago!$A$1:$A$2000,Consolidado!B1307)&gt;0,INDEX(RegistroPago!$E$1:$E$2000,MATCH(Consolidado!B1307,RegistroPago!$A$1:$A$2000,0))&lt;&gt;""),"PAGADA",IF(I1307&lt;&gt;"","PENDIENTE","SIN EMITIR")),"")</f>
        <v/>
      </c>
      <c r="I1307" s="10"/>
      <c r="J1307" s="2"/>
      <c r="K1307" s="29"/>
      <c r="L1307" s="29"/>
    </row>
    <row r="1308" spans="1:12" ht="15.75" x14ac:dyDescent="0.25">
      <c r="A1308" s="5"/>
      <c r="B1308" s="7"/>
      <c r="C1308" s="5"/>
      <c r="D1308" s="5"/>
      <c r="E1308" s="8"/>
      <c r="F1308" s="9"/>
      <c r="G1308" s="5"/>
      <c r="H1308" s="28" t="str">
        <f>IFERROR(IF(AND(COUNTIF(RegistroPago!$A$1:$A$2000,Consolidado!B1308)&gt;0,INDEX(RegistroPago!$E$1:$E$2000,MATCH(Consolidado!B1308,RegistroPago!$A$1:$A$2000,0))&lt;&gt;""),"PAGADA",IF(I1308&lt;&gt;"","PENDIENTE","SIN EMITIR")),"")</f>
        <v/>
      </c>
      <c r="I1308" s="10"/>
      <c r="J1308" s="2"/>
      <c r="K1308" s="29"/>
      <c r="L1308" s="29"/>
    </row>
    <row r="1309" spans="1:12" ht="15.75" x14ac:dyDescent="0.25">
      <c r="A1309" s="5"/>
      <c r="B1309" s="7"/>
      <c r="C1309" s="5"/>
      <c r="D1309" s="5"/>
      <c r="E1309" s="8"/>
      <c r="F1309" s="9"/>
      <c r="G1309" s="5"/>
      <c r="H1309" s="28" t="str">
        <f>IFERROR(IF(AND(COUNTIF(RegistroPago!$A$1:$A$2000,Consolidado!B1309)&gt;0,INDEX(RegistroPago!$E$1:$E$2000,MATCH(Consolidado!B1309,RegistroPago!$A$1:$A$2000,0))&lt;&gt;""),"PAGADA",IF(I1309&lt;&gt;"","PENDIENTE","SIN EMITIR")),"")</f>
        <v/>
      </c>
      <c r="I1309" s="10"/>
      <c r="J1309" s="2"/>
      <c r="K1309" s="29"/>
      <c r="L1309" s="29"/>
    </row>
    <row r="1310" spans="1:12" ht="15.75" x14ac:dyDescent="0.25">
      <c r="A1310" s="5"/>
      <c r="B1310" s="7"/>
      <c r="C1310" s="5"/>
      <c r="D1310" s="5"/>
      <c r="E1310" s="8"/>
      <c r="F1310" s="9"/>
      <c r="G1310" s="5"/>
      <c r="H1310" s="28" t="str">
        <f>IFERROR(IF(AND(COUNTIF(RegistroPago!$A$1:$A$2000,Consolidado!B1310)&gt;0,INDEX(RegistroPago!$E$1:$E$2000,MATCH(Consolidado!B1310,RegistroPago!$A$1:$A$2000,0))&lt;&gt;""),"PAGADA",IF(I1310&lt;&gt;"","PENDIENTE","SIN EMITIR")),"")</f>
        <v/>
      </c>
      <c r="I1310" s="10"/>
      <c r="J1310" s="2"/>
      <c r="K1310" s="29"/>
      <c r="L1310" s="29"/>
    </row>
    <row r="1311" spans="1:12" ht="15.75" x14ac:dyDescent="0.25">
      <c r="A1311" s="5"/>
      <c r="B1311" s="7"/>
      <c r="C1311" s="5"/>
      <c r="D1311" s="5"/>
      <c r="E1311" s="8"/>
      <c r="F1311" s="9"/>
      <c r="G1311" s="5"/>
      <c r="H1311" s="28" t="str">
        <f>IFERROR(IF(AND(COUNTIF(RegistroPago!$A$1:$A$2000,Consolidado!B1311)&gt;0,INDEX(RegistroPago!$E$1:$E$2000,MATCH(Consolidado!B1311,RegistroPago!$A$1:$A$2000,0))&lt;&gt;""),"PAGADA",IF(I1311&lt;&gt;"","PENDIENTE","SIN EMITIR")),"")</f>
        <v/>
      </c>
      <c r="I1311" s="10"/>
      <c r="J1311" s="2"/>
      <c r="K1311" s="29"/>
      <c r="L1311" s="29"/>
    </row>
    <row r="1312" spans="1:12" ht="15.75" x14ac:dyDescent="0.25">
      <c r="A1312" s="5"/>
      <c r="B1312" s="7"/>
      <c r="C1312" s="5"/>
      <c r="D1312" s="5"/>
      <c r="E1312" s="8"/>
      <c r="F1312" s="9"/>
      <c r="G1312" s="5"/>
      <c r="H1312" s="28" t="str">
        <f>IFERROR(IF(AND(COUNTIF(RegistroPago!$A$1:$A$2000,Consolidado!B1312)&gt;0,INDEX(RegistroPago!$E$1:$E$2000,MATCH(Consolidado!B1312,RegistroPago!$A$1:$A$2000,0))&lt;&gt;""),"PAGADA",IF(I1312&lt;&gt;"","PENDIENTE","SIN EMITIR")),"")</f>
        <v/>
      </c>
      <c r="I1312" s="10"/>
      <c r="J1312" s="2"/>
      <c r="K1312" s="29"/>
      <c r="L1312" s="29"/>
    </row>
    <row r="1313" spans="1:12" ht="15.75" x14ac:dyDescent="0.25">
      <c r="A1313" s="5"/>
      <c r="B1313" s="7"/>
      <c r="C1313" s="5"/>
      <c r="D1313" s="5"/>
      <c r="E1313" s="8"/>
      <c r="F1313" s="9"/>
      <c r="G1313" s="5"/>
      <c r="H1313" s="28" t="str">
        <f>IFERROR(IF(AND(COUNTIF(RegistroPago!$A$1:$A$2000,Consolidado!B1313)&gt;0,INDEX(RegistroPago!$E$1:$E$2000,MATCH(Consolidado!B1313,RegistroPago!$A$1:$A$2000,0))&lt;&gt;""),"PAGADA",IF(I1313&lt;&gt;"","PENDIENTE","SIN EMITIR")),"")</f>
        <v/>
      </c>
      <c r="I1313" s="10"/>
      <c r="J1313" s="2"/>
      <c r="K1313" s="29"/>
      <c r="L1313" s="29"/>
    </row>
    <row r="1314" spans="1:12" ht="15.75" x14ac:dyDescent="0.25">
      <c r="A1314" s="5"/>
      <c r="B1314" s="7"/>
      <c r="C1314" s="5"/>
      <c r="D1314" s="5"/>
      <c r="E1314" s="8"/>
      <c r="F1314" s="9"/>
      <c r="G1314" s="5"/>
      <c r="H1314" s="28" t="str">
        <f>IFERROR(IF(AND(COUNTIF(RegistroPago!$A$1:$A$2000,Consolidado!B1314)&gt;0,INDEX(RegistroPago!$E$1:$E$2000,MATCH(Consolidado!B1314,RegistroPago!$A$1:$A$2000,0))&lt;&gt;""),"PAGADA",IF(I1314&lt;&gt;"","PENDIENTE","SIN EMITIR")),"")</f>
        <v/>
      </c>
      <c r="I1314" s="10"/>
      <c r="J1314" s="2"/>
      <c r="K1314" s="29"/>
      <c r="L1314" s="29"/>
    </row>
    <row r="1315" spans="1:12" ht="15.75" x14ac:dyDescent="0.25">
      <c r="A1315" s="5"/>
      <c r="B1315" s="7"/>
      <c r="C1315" s="5"/>
      <c r="D1315" s="5"/>
      <c r="E1315" s="8"/>
      <c r="F1315" s="9"/>
      <c r="G1315" s="5"/>
      <c r="H1315" s="28" t="str">
        <f>IFERROR(IF(AND(COUNTIF(RegistroPago!$A$1:$A$2000,Consolidado!B1315)&gt;0,INDEX(RegistroPago!$E$1:$E$2000,MATCH(Consolidado!B1315,RegistroPago!$A$1:$A$2000,0))&lt;&gt;""),"PAGADA",IF(I1315&lt;&gt;"","PENDIENTE","SIN EMITIR")),"")</f>
        <v/>
      </c>
      <c r="I1315" s="10"/>
      <c r="J1315" s="2"/>
      <c r="K1315" s="29"/>
      <c r="L1315" s="29"/>
    </row>
    <row r="1316" spans="1:12" ht="15.75" x14ac:dyDescent="0.25">
      <c r="A1316" s="5"/>
      <c r="B1316" s="7"/>
      <c r="C1316" s="5"/>
      <c r="D1316" s="5"/>
      <c r="E1316" s="8"/>
      <c r="F1316" s="9"/>
      <c r="G1316" s="5"/>
      <c r="H1316" s="28" t="str">
        <f>IFERROR(IF(AND(COUNTIF(RegistroPago!$A$1:$A$2000,Consolidado!B1316)&gt;0,INDEX(RegistroPago!$E$1:$E$2000,MATCH(Consolidado!B1316,RegistroPago!$A$1:$A$2000,0))&lt;&gt;""),"PAGADA",IF(I1316&lt;&gt;"","PENDIENTE","SIN EMITIR")),"")</f>
        <v/>
      </c>
      <c r="I1316" s="10"/>
      <c r="J1316" s="2"/>
      <c r="K1316" s="29"/>
      <c r="L1316" s="29"/>
    </row>
    <row r="1317" spans="1:12" ht="15.75" x14ac:dyDescent="0.25">
      <c r="A1317" s="5"/>
      <c r="B1317" s="7"/>
      <c r="C1317" s="5"/>
      <c r="D1317" s="5"/>
      <c r="E1317" s="8"/>
      <c r="F1317" s="9"/>
      <c r="G1317" s="5"/>
      <c r="H1317" s="28" t="str">
        <f>IFERROR(IF(AND(COUNTIF(RegistroPago!$A$1:$A$2000,Consolidado!B1317)&gt;0,INDEX(RegistroPago!$E$1:$E$2000,MATCH(Consolidado!B1317,RegistroPago!$A$1:$A$2000,0))&lt;&gt;""),"PAGADA",IF(I1317&lt;&gt;"","PENDIENTE","SIN EMITIR")),"")</f>
        <v/>
      </c>
      <c r="I1317" s="10"/>
      <c r="J1317" s="2"/>
      <c r="K1317" s="29"/>
      <c r="L1317" s="29"/>
    </row>
    <row r="1318" spans="1:12" ht="15.75" x14ac:dyDescent="0.25">
      <c r="A1318" s="5"/>
      <c r="B1318" s="7"/>
      <c r="C1318" s="5"/>
      <c r="D1318" s="5"/>
      <c r="E1318" s="8"/>
      <c r="F1318" s="9"/>
      <c r="G1318" s="5"/>
      <c r="H1318" s="28" t="str">
        <f>IFERROR(IF(AND(COUNTIF(RegistroPago!$A$1:$A$2000,Consolidado!B1318)&gt;0,INDEX(RegistroPago!$E$1:$E$2000,MATCH(Consolidado!B1318,RegistroPago!$A$1:$A$2000,0))&lt;&gt;""),"PAGADA",IF(I1318&lt;&gt;"","PENDIENTE","SIN EMITIR")),"")</f>
        <v/>
      </c>
      <c r="I1318" s="10"/>
      <c r="J1318" s="2"/>
      <c r="K1318" s="29"/>
      <c r="L1318" s="29"/>
    </row>
    <row r="1319" spans="1:12" ht="15.75" x14ac:dyDescent="0.25">
      <c r="A1319" s="5"/>
      <c r="B1319" s="7"/>
      <c r="C1319" s="5"/>
      <c r="D1319" s="5"/>
      <c r="E1319" s="8"/>
      <c r="F1319" s="9"/>
      <c r="G1319" s="5"/>
      <c r="H1319" s="28" t="str">
        <f>IFERROR(IF(AND(COUNTIF(RegistroPago!$A$1:$A$2000,Consolidado!B1319)&gt;0,INDEX(RegistroPago!$E$1:$E$2000,MATCH(Consolidado!B1319,RegistroPago!$A$1:$A$2000,0))&lt;&gt;""),"PAGADA",IF(I1319&lt;&gt;"","PENDIENTE","SIN EMITIR")),"")</f>
        <v/>
      </c>
      <c r="I1319" s="10"/>
      <c r="J1319" s="2"/>
      <c r="K1319" s="29"/>
      <c r="L1319" s="29"/>
    </row>
    <row r="1320" spans="1:12" ht="15.75" x14ac:dyDescent="0.25">
      <c r="A1320" s="5"/>
      <c r="B1320" s="7"/>
      <c r="C1320" s="5"/>
      <c r="D1320" s="5"/>
      <c r="E1320" s="8"/>
      <c r="F1320" s="9"/>
      <c r="G1320" s="5"/>
      <c r="H1320" s="28" t="str">
        <f>IFERROR(IF(AND(COUNTIF(RegistroPago!$A$1:$A$2000,Consolidado!B1320)&gt;0,INDEX(RegistroPago!$E$1:$E$2000,MATCH(Consolidado!B1320,RegistroPago!$A$1:$A$2000,0))&lt;&gt;""),"PAGADA",IF(I1320&lt;&gt;"","PENDIENTE","SIN EMITIR")),"")</f>
        <v/>
      </c>
      <c r="I1320" s="10"/>
      <c r="J1320" s="2"/>
      <c r="K1320" s="29"/>
      <c r="L1320" s="29"/>
    </row>
    <row r="1321" spans="1:12" ht="15.75" x14ac:dyDescent="0.25">
      <c r="A1321" s="5"/>
      <c r="B1321" s="7"/>
      <c r="C1321" s="5"/>
      <c r="D1321" s="5"/>
      <c r="E1321" s="8"/>
      <c r="F1321" s="9"/>
      <c r="G1321" s="5"/>
      <c r="H1321" s="28" t="str">
        <f>IFERROR(IF(AND(COUNTIF(RegistroPago!$A$1:$A$2000,Consolidado!B1321)&gt;0,INDEX(RegistroPago!$E$1:$E$2000,MATCH(Consolidado!B1321,RegistroPago!$A$1:$A$2000,0))&lt;&gt;""),"PAGADA",IF(I1321&lt;&gt;"","PENDIENTE","SIN EMITIR")),"")</f>
        <v/>
      </c>
      <c r="I1321" s="10"/>
      <c r="J1321" s="2"/>
      <c r="K1321" s="29"/>
      <c r="L1321" s="29"/>
    </row>
    <row r="1322" spans="1:12" ht="15.75" x14ac:dyDescent="0.25">
      <c r="A1322" s="5"/>
      <c r="B1322" s="7"/>
      <c r="C1322" s="5"/>
      <c r="D1322" s="5"/>
      <c r="E1322" s="8"/>
      <c r="F1322" s="9"/>
      <c r="G1322" s="5"/>
      <c r="H1322" s="28" t="str">
        <f>IFERROR(IF(AND(COUNTIF(RegistroPago!$A$1:$A$2000,Consolidado!B1322)&gt;0,INDEX(RegistroPago!$E$1:$E$2000,MATCH(Consolidado!B1322,RegistroPago!$A$1:$A$2000,0))&lt;&gt;""),"PAGADA",IF(I1322&lt;&gt;"","PENDIENTE","SIN EMITIR")),"")</f>
        <v/>
      </c>
      <c r="I1322" s="10"/>
      <c r="J1322" s="2"/>
      <c r="K1322" s="29"/>
      <c r="L1322" s="29"/>
    </row>
    <row r="1323" spans="1:12" ht="15.75" x14ac:dyDescent="0.25">
      <c r="A1323" s="5"/>
      <c r="B1323" s="7"/>
      <c r="C1323" s="5"/>
      <c r="D1323" s="5"/>
      <c r="E1323" s="8"/>
      <c r="F1323" s="9"/>
      <c r="G1323" s="5"/>
      <c r="H1323" s="28" t="str">
        <f>IFERROR(IF(AND(COUNTIF(RegistroPago!$A$1:$A$2000,Consolidado!B1323)&gt;0,INDEX(RegistroPago!$E$1:$E$2000,MATCH(Consolidado!B1323,RegistroPago!$A$1:$A$2000,0))&lt;&gt;""),"PAGADA",IF(I1323&lt;&gt;"","PENDIENTE","SIN EMITIR")),"")</f>
        <v/>
      </c>
      <c r="I1323" s="10"/>
      <c r="J1323" s="2"/>
      <c r="K1323" s="29"/>
      <c r="L1323" s="29"/>
    </row>
    <row r="1324" spans="1:12" ht="15.75" x14ac:dyDescent="0.25">
      <c r="A1324" s="5"/>
      <c r="B1324" s="7"/>
      <c r="C1324" s="5"/>
      <c r="D1324" s="5"/>
      <c r="E1324" s="8"/>
      <c r="F1324" s="9"/>
      <c r="G1324" s="5"/>
      <c r="H1324" s="28" t="str">
        <f>IFERROR(IF(AND(COUNTIF(RegistroPago!$A$1:$A$2000,Consolidado!B1324)&gt;0,INDEX(RegistroPago!$E$1:$E$2000,MATCH(Consolidado!B1324,RegistroPago!$A$1:$A$2000,0))&lt;&gt;""),"PAGADA",IF(I1324&lt;&gt;"","PENDIENTE","SIN EMITIR")),"")</f>
        <v/>
      </c>
      <c r="I1324" s="10"/>
      <c r="J1324" s="2"/>
      <c r="K1324" s="29"/>
      <c r="L1324" s="29"/>
    </row>
    <row r="1325" spans="1:12" ht="15.75" x14ac:dyDescent="0.25">
      <c r="A1325" s="5"/>
      <c r="B1325" s="7"/>
      <c r="C1325" s="5"/>
      <c r="D1325" s="5"/>
      <c r="E1325" s="8"/>
      <c r="F1325" s="9"/>
      <c r="G1325" s="5"/>
      <c r="H1325" s="28" t="str">
        <f>IFERROR(IF(AND(COUNTIF(RegistroPago!$A$1:$A$2000,Consolidado!B1325)&gt;0,INDEX(RegistroPago!$E$1:$E$2000,MATCH(Consolidado!B1325,RegistroPago!$A$1:$A$2000,0))&lt;&gt;""),"PAGADA",IF(I1325&lt;&gt;"","PENDIENTE","SIN EMITIR")),"")</f>
        <v/>
      </c>
      <c r="I1325" s="10"/>
      <c r="J1325" s="2"/>
      <c r="K1325" s="29"/>
      <c r="L1325" s="29"/>
    </row>
    <row r="1326" spans="1:12" ht="15.75" x14ac:dyDescent="0.25">
      <c r="A1326" s="5"/>
      <c r="B1326" s="7"/>
      <c r="C1326" s="5"/>
      <c r="D1326" s="5"/>
      <c r="E1326" s="8"/>
      <c r="F1326" s="9"/>
      <c r="G1326" s="5"/>
      <c r="H1326" s="28" t="str">
        <f>IFERROR(IF(AND(COUNTIF(RegistroPago!$A$1:$A$2000,Consolidado!B1326)&gt;0,INDEX(RegistroPago!$E$1:$E$2000,MATCH(Consolidado!B1326,RegistroPago!$A$1:$A$2000,0))&lt;&gt;""),"PAGADA",IF(I1326&lt;&gt;"","PENDIENTE","SIN EMITIR")),"")</f>
        <v/>
      </c>
      <c r="I1326" s="10"/>
      <c r="J1326" s="2"/>
      <c r="K1326" s="29"/>
      <c r="L1326" s="29"/>
    </row>
    <row r="1327" spans="1:12" ht="15.75" x14ac:dyDescent="0.25">
      <c r="A1327" s="5"/>
      <c r="B1327" s="7"/>
      <c r="C1327" s="5"/>
      <c r="D1327" s="5"/>
      <c r="E1327" s="8"/>
      <c r="F1327" s="9"/>
      <c r="G1327" s="5"/>
      <c r="H1327" s="28" t="str">
        <f>IFERROR(IF(AND(COUNTIF(RegistroPago!$A$1:$A$2000,Consolidado!B1327)&gt;0,INDEX(RegistroPago!$E$1:$E$2000,MATCH(Consolidado!B1327,RegistroPago!$A$1:$A$2000,0))&lt;&gt;""),"PAGADA",IF(I1327&lt;&gt;"","PENDIENTE","SIN EMITIR")),"")</f>
        <v/>
      </c>
      <c r="I1327" s="10"/>
      <c r="J1327" s="2"/>
      <c r="K1327" s="29"/>
      <c r="L1327" s="29"/>
    </row>
    <row r="1328" spans="1:12" ht="15.75" x14ac:dyDescent="0.25">
      <c r="A1328" s="5"/>
      <c r="B1328" s="7"/>
      <c r="C1328" s="5"/>
      <c r="D1328" s="5"/>
      <c r="E1328" s="8"/>
      <c r="F1328" s="9"/>
      <c r="G1328" s="5"/>
      <c r="H1328" s="28" t="str">
        <f>IFERROR(IF(AND(COUNTIF(RegistroPago!$A$1:$A$2000,Consolidado!B1328)&gt;0,INDEX(RegistroPago!$E$1:$E$2000,MATCH(Consolidado!B1328,RegistroPago!$A$1:$A$2000,0))&lt;&gt;""),"PAGADA",IF(I1328&lt;&gt;"","PENDIENTE","SIN EMITIR")),"")</f>
        <v/>
      </c>
      <c r="I1328" s="10"/>
      <c r="J1328" s="2"/>
      <c r="K1328" s="29"/>
      <c r="L1328" s="29"/>
    </row>
    <row r="1329" spans="1:12" ht="15.75" x14ac:dyDescent="0.25">
      <c r="A1329" s="5"/>
      <c r="B1329" s="7"/>
      <c r="C1329" s="5"/>
      <c r="D1329" s="5"/>
      <c r="E1329" s="8"/>
      <c r="F1329" s="9"/>
      <c r="G1329" s="5"/>
      <c r="H1329" s="28" t="str">
        <f>IFERROR(IF(AND(COUNTIF(RegistroPago!$A$1:$A$2000,Consolidado!B1329)&gt;0,INDEX(RegistroPago!$E$1:$E$2000,MATCH(Consolidado!B1329,RegistroPago!$A$1:$A$2000,0))&lt;&gt;""),"PAGADA",IF(I1329&lt;&gt;"","PENDIENTE","SIN EMITIR")),"")</f>
        <v/>
      </c>
      <c r="I1329" s="10"/>
      <c r="J1329" s="2"/>
      <c r="K1329" s="29"/>
      <c r="L1329" s="29"/>
    </row>
    <row r="1330" spans="1:12" ht="15.75" x14ac:dyDescent="0.25">
      <c r="A1330" s="5"/>
      <c r="B1330" s="7"/>
      <c r="C1330" s="5"/>
      <c r="D1330" s="5"/>
      <c r="E1330" s="8"/>
      <c r="F1330" s="9"/>
      <c r="G1330" s="5"/>
      <c r="H1330" s="28" t="str">
        <f>IFERROR(IF(AND(COUNTIF(RegistroPago!$A$1:$A$2000,Consolidado!B1330)&gt;0,INDEX(RegistroPago!$E$1:$E$2000,MATCH(Consolidado!B1330,RegistroPago!$A$1:$A$2000,0))&lt;&gt;""),"PAGADA",IF(I1330&lt;&gt;"","PENDIENTE","SIN EMITIR")),"")</f>
        <v/>
      </c>
      <c r="I1330" s="10"/>
      <c r="J1330" s="2"/>
      <c r="K1330" s="29"/>
      <c r="L1330" s="29"/>
    </row>
    <row r="1331" spans="1:12" ht="15.75" x14ac:dyDescent="0.25">
      <c r="A1331" s="5"/>
      <c r="B1331" s="7"/>
      <c r="C1331" s="5"/>
      <c r="D1331" s="5"/>
      <c r="E1331" s="8"/>
      <c r="F1331" s="9"/>
      <c r="G1331" s="5"/>
      <c r="H1331" s="28" t="str">
        <f>IFERROR(IF(AND(COUNTIF(RegistroPago!$A$1:$A$2000,Consolidado!B1331)&gt;0,INDEX(RegistroPago!$E$1:$E$2000,MATCH(Consolidado!B1331,RegistroPago!$A$1:$A$2000,0))&lt;&gt;""),"PAGADA",IF(I1331&lt;&gt;"","PENDIENTE","SIN EMITIR")),"")</f>
        <v/>
      </c>
      <c r="I1331" s="10"/>
      <c r="J1331" s="2"/>
      <c r="K1331" s="29"/>
      <c r="L1331" s="29"/>
    </row>
    <row r="1332" spans="1:12" ht="15.75" x14ac:dyDescent="0.25">
      <c r="A1332" s="5"/>
      <c r="B1332" s="7"/>
      <c r="C1332" s="5"/>
      <c r="D1332" s="5"/>
      <c r="E1332" s="8"/>
      <c r="F1332" s="9"/>
      <c r="G1332" s="5"/>
      <c r="H1332" s="28" t="str">
        <f>IFERROR(IF(AND(COUNTIF(RegistroPago!$A$1:$A$2000,Consolidado!B1332)&gt;0,INDEX(RegistroPago!$E$1:$E$2000,MATCH(Consolidado!B1332,RegistroPago!$A$1:$A$2000,0))&lt;&gt;""),"PAGADA",IF(I1332&lt;&gt;"","PENDIENTE","SIN EMITIR")),"")</f>
        <v/>
      </c>
      <c r="I1332" s="10"/>
      <c r="J1332" s="2"/>
      <c r="K1332" s="29"/>
      <c r="L1332" s="29"/>
    </row>
    <row r="1333" spans="1:12" ht="15.75" x14ac:dyDescent="0.25">
      <c r="A1333" s="5"/>
      <c r="B1333" s="7"/>
      <c r="C1333" s="5"/>
      <c r="D1333" s="5"/>
      <c r="E1333" s="8"/>
      <c r="F1333" s="9"/>
      <c r="G1333" s="5"/>
      <c r="H1333" s="28" t="str">
        <f>IFERROR(IF(AND(COUNTIF(RegistroPago!$A$1:$A$2000,Consolidado!B1333)&gt;0,INDEX(RegistroPago!$E$1:$E$2000,MATCH(Consolidado!B1333,RegistroPago!$A$1:$A$2000,0))&lt;&gt;""),"PAGADA",IF(I1333&lt;&gt;"","PENDIENTE","SIN EMITIR")),"")</f>
        <v/>
      </c>
      <c r="I1333" s="10"/>
      <c r="J1333" s="2"/>
      <c r="K1333" s="29"/>
      <c r="L1333" s="29"/>
    </row>
    <row r="1334" spans="1:12" ht="15.75" x14ac:dyDescent="0.25">
      <c r="A1334" s="5"/>
      <c r="B1334" s="7"/>
      <c r="C1334" s="5"/>
      <c r="D1334" s="5"/>
      <c r="E1334" s="8"/>
      <c r="F1334" s="9"/>
      <c r="G1334" s="5"/>
      <c r="H1334" s="28" t="str">
        <f>IFERROR(IF(AND(COUNTIF(RegistroPago!$A$1:$A$2000,Consolidado!B1334)&gt;0,INDEX(RegistroPago!$E$1:$E$2000,MATCH(Consolidado!B1334,RegistroPago!$A$1:$A$2000,0))&lt;&gt;""),"PAGADA",IF(I1334&lt;&gt;"","PENDIENTE","SIN EMITIR")),"")</f>
        <v/>
      </c>
      <c r="I1334" s="10"/>
      <c r="J1334" s="2"/>
      <c r="K1334" s="29"/>
      <c r="L1334" s="29"/>
    </row>
    <row r="1335" spans="1:12" ht="15.75" x14ac:dyDescent="0.25">
      <c r="A1335" s="5"/>
      <c r="B1335" s="7"/>
      <c r="C1335" s="5"/>
      <c r="D1335" s="5"/>
      <c r="E1335" s="8"/>
      <c r="F1335" s="9"/>
      <c r="G1335" s="5"/>
      <c r="H1335" s="28" t="str">
        <f>IFERROR(IF(AND(COUNTIF(RegistroPago!$A$1:$A$2000,Consolidado!B1335)&gt;0,INDEX(RegistroPago!$E$1:$E$2000,MATCH(Consolidado!B1335,RegistroPago!$A$1:$A$2000,0))&lt;&gt;""),"PAGADA",IF(I1335&lt;&gt;"","PENDIENTE","SIN EMITIR")),"")</f>
        <v/>
      </c>
      <c r="I1335" s="10"/>
      <c r="J1335" s="2"/>
      <c r="K1335" s="29"/>
      <c r="L1335" s="29"/>
    </row>
    <row r="1336" spans="1:12" ht="15.75" x14ac:dyDescent="0.25">
      <c r="A1336" s="5"/>
      <c r="B1336" s="7"/>
      <c r="C1336" s="5"/>
      <c r="D1336" s="5"/>
      <c r="E1336" s="8"/>
      <c r="F1336" s="9"/>
      <c r="G1336" s="5"/>
      <c r="H1336" s="28" t="str">
        <f>IFERROR(IF(AND(COUNTIF(RegistroPago!$A$1:$A$2000,Consolidado!B1336)&gt;0,INDEX(RegistroPago!$E$1:$E$2000,MATCH(Consolidado!B1336,RegistroPago!$A$1:$A$2000,0))&lt;&gt;""),"PAGADA",IF(I1336&lt;&gt;"","PENDIENTE","SIN EMITIR")),"")</f>
        <v/>
      </c>
      <c r="I1336" s="10"/>
      <c r="J1336" s="2"/>
      <c r="K1336" s="29"/>
      <c r="L1336" s="29"/>
    </row>
    <row r="1337" spans="1:12" ht="15.75" x14ac:dyDescent="0.25">
      <c r="A1337" s="5"/>
      <c r="B1337" s="7"/>
      <c r="C1337" s="5"/>
      <c r="D1337" s="5"/>
      <c r="E1337" s="8"/>
      <c r="F1337" s="9"/>
      <c r="G1337" s="5"/>
      <c r="H1337" s="28" t="str">
        <f>IFERROR(IF(AND(COUNTIF(RegistroPago!$A$1:$A$2000,Consolidado!B1337)&gt;0,INDEX(RegistroPago!$E$1:$E$2000,MATCH(Consolidado!B1337,RegistroPago!$A$1:$A$2000,0))&lt;&gt;""),"PAGADA",IF(I1337&lt;&gt;"","PENDIENTE","SIN EMITIR")),"")</f>
        <v/>
      </c>
      <c r="I1337" s="10"/>
      <c r="J1337" s="2"/>
      <c r="K1337" s="29"/>
      <c r="L1337" s="29"/>
    </row>
    <row r="1338" spans="1:12" ht="15.75" x14ac:dyDescent="0.25">
      <c r="A1338" s="5"/>
      <c r="B1338" s="7"/>
      <c r="C1338" s="5"/>
      <c r="D1338" s="5"/>
      <c r="E1338" s="8"/>
      <c r="F1338" s="9"/>
      <c r="G1338" s="5"/>
      <c r="H1338" s="28" t="str">
        <f>IFERROR(IF(AND(COUNTIF(RegistroPago!$A$1:$A$2000,Consolidado!B1338)&gt;0,INDEX(RegistroPago!$E$1:$E$2000,MATCH(Consolidado!B1338,RegistroPago!$A$1:$A$2000,0))&lt;&gt;""),"PAGADA",IF(I1338&lt;&gt;"","PENDIENTE","SIN EMITIR")),"")</f>
        <v/>
      </c>
      <c r="I1338" s="10"/>
      <c r="J1338" s="2"/>
      <c r="K1338" s="29"/>
      <c r="L1338" s="29"/>
    </row>
    <row r="1339" spans="1:12" ht="15.75" x14ac:dyDescent="0.25">
      <c r="A1339" s="5"/>
      <c r="B1339" s="7"/>
      <c r="C1339" s="5"/>
      <c r="D1339" s="5"/>
      <c r="E1339" s="8"/>
      <c r="F1339" s="9"/>
      <c r="G1339" s="5"/>
      <c r="H1339" s="28" t="str">
        <f>IFERROR(IF(AND(COUNTIF(RegistroPago!$A$1:$A$2000,Consolidado!B1339)&gt;0,INDEX(RegistroPago!$E$1:$E$2000,MATCH(Consolidado!B1339,RegistroPago!$A$1:$A$2000,0))&lt;&gt;""),"PAGADA",IF(I1339&lt;&gt;"","PENDIENTE","SIN EMITIR")),"")</f>
        <v/>
      </c>
      <c r="I1339" s="10"/>
      <c r="J1339" s="2"/>
      <c r="K1339" s="29"/>
      <c r="L1339" s="29"/>
    </row>
    <row r="1340" spans="1:12" ht="15.75" x14ac:dyDescent="0.25">
      <c r="A1340" s="5"/>
      <c r="B1340" s="7"/>
      <c r="C1340" s="5"/>
      <c r="D1340" s="5"/>
      <c r="E1340" s="8"/>
      <c r="F1340" s="9"/>
      <c r="G1340" s="5"/>
      <c r="H1340" s="28" t="str">
        <f>IFERROR(IF(AND(COUNTIF(RegistroPago!$A$1:$A$2000,Consolidado!B1340)&gt;0,INDEX(RegistroPago!$E$1:$E$2000,MATCH(Consolidado!B1340,RegistroPago!$A$1:$A$2000,0))&lt;&gt;""),"PAGADA",IF(I1340&lt;&gt;"","PENDIENTE","SIN EMITIR")),"")</f>
        <v/>
      </c>
      <c r="I1340" s="10"/>
      <c r="J1340" s="2"/>
      <c r="K1340" s="29"/>
      <c r="L1340" s="29"/>
    </row>
    <row r="1341" spans="1:12" ht="15.75" x14ac:dyDescent="0.25">
      <c r="A1341" s="5"/>
      <c r="B1341" s="7"/>
      <c r="C1341" s="5"/>
      <c r="D1341" s="5"/>
      <c r="E1341" s="8"/>
      <c r="F1341" s="9"/>
      <c r="G1341" s="5"/>
      <c r="H1341" s="28" t="str">
        <f>IFERROR(IF(AND(COUNTIF(RegistroPago!$A$1:$A$2000,Consolidado!B1341)&gt;0,INDEX(RegistroPago!$E$1:$E$2000,MATCH(Consolidado!B1341,RegistroPago!$A$1:$A$2000,0))&lt;&gt;""),"PAGADA",IF(I1341&lt;&gt;"","PENDIENTE","SIN EMITIR")),"")</f>
        <v/>
      </c>
      <c r="I1341" s="10"/>
      <c r="J1341" s="2"/>
      <c r="K1341" s="29"/>
      <c r="L1341" s="29"/>
    </row>
    <row r="1342" spans="1:12" ht="15.75" x14ac:dyDescent="0.25">
      <c r="A1342" s="5"/>
      <c r="B1342" s="7"/>
      <c r="C1342" s="5"/>
      <c r="D1342" s="5"/>
      <c r="E1342" s="8"/>
      <c r="F1342" s="9"/>
      <c r="G1342" s="5"/>
      <c r="H1342" s="28" t="str">
        <f>IFERROR(IF(AND(COUNTIF(RegistroPago!$A$1:$A$2000,Consolidado!B1342)&gt;0,INDEX(RegistroPago!$E$1:$E$2000,MATCH(Consolidado!B1342,RegistroPago!$A$1:$A$2000,0))&lt;&gt;""),"PAGADA",IF(I1342&lt;&gt;"","PENDIENTE","SIN EMITIR")),"")</f>
        <v/>
      </c>
      <c r="I1342" s="10"/>
      <c r="J1342" s="2"/>
      <c r="K1342" s="29"/>
      <c r="L1342" s="29"/>
    </row>
    <row r="1343" spans="1:12" ht="15.75" x14ac:dyDescent="0.25">
      <c r="A1343" s="5"/>
      <c r="B1343" s="7"/>
      <c r="C1343" s="5"/>
      <c r="D1343" s="5"/>
      <c r="E1343" s="8"/>
      <c r="F1343" s="9"/>
      <c r="G1343" s="5"/>
      <c r="H1343" s="28" t="str">
        <f>IFERROR(IF(AND(COUNTIF(RegistroPago!$A$1:$A$2000,Consolidado!B1343)&gt;0,INDEX(RegistroPago!$E$1:$E$2000,MATCH(Consolidado!B1343,RegistroPago!$A$1:$A$2000,0))&lt;&gt;""),"PAGADA",IF(I1343&lt;&gt;"","PENDIENTE","SIN EMITIR")),"")</f>
        <v/>
      </c>
      <c r="I1343" s="10"/>
      <c r="J1343" s="2"/>
      <c r="K1343" s="29"/>
      <c r="L1343" s="29"/>
    </row>
    <row r="1344" spans="1:12" ht="15.75" x14ac:dyDescent="0.25">
      <c r="A1344" s="5"/>
      <c r="B1344" s="7"/>
      <c r="C1344" s="5"/>
      <c r="D1344" s="5"/>
      <c r="E1344" s="8"/>
      <c r="F1344" s="9"/>
      <c r="G1344" s="5"/>
      <c r="H1344" s="28" t="str">
        <f>IFERROR(IF(AND(COUNTIF(RegistroPago!$A$1:$A$2000,Consolidado!B1344)&gt;0,INDEX(RegistroPago!$E$1:$E$2000,MATCH(Consolidado!B1344,RegistroPago!$A$1:$A$2000,0))&lt;&gt;""),"PAGADA",IF(I1344&lt;&gt;"","PENDIENTE","SIN EMITIR")),"")</f>
        <v/>
      </c>
      <c r="I1344" s="10"/>
      <c r="J1344" s="2"/>
      <c r="K1344" s="29"/>
      <c r="L1344" s="29"/>
    </row>
    <row r="1345" spans="1:12" ht="15.75" x14ac:dyDescent="0.25">
      <c r="A1345" s="5"/>
      <c r="B1345" s="7"/>
      <c r="C1345" s="5"/>
      <c r="D1345" s="5"/>
      <c r="E1345" s="8"/>
      <c r="F1345" s="9"/>
      <c r="G1345" s="5"/>
      <c r="H1345" s="28" t="str">
        <f>IFERROR(IF(AND(COUNTIF(RegistroPago!$A$1:$A$2000,Consolidado!B1345)&gt;0,INDEX(RegistroPago!$E$1:$E$2000,MATCH(Consolidado!B1345,RegistroPago!$A$1:$A$2000,0))&lt;&gt;""),"PAGADA",IF(I1345&lt;&gt;"","PENDIENTE","SIN EMITIR")),"")</f>
        <v/>
      </c>
      <c r="I1345" s="10"/>
      <c r="J1345" s="2"/>
      <c r="K1345" s="29"/>
      <c r="L1345" s="29"/>
    </row>
    <row r="1346" spans="1:12" ht="15.75" x14ac:dyDescent="0.25">
      <c r="A1346" s="5"/>
      <c r="B1346" s="7"/>
      <c r="C1346" s="5"/>
      <c r="D1346" s="5"/>
      <c r="E1346" s="8"/>
      <c r="F1346" s="9"/>
      <c r="G1346" s="5"/>
      <c r="H1346" s="28" t="str">
        <f>IFERROR(IF(AND(COUNTIF(RegistroPago!$A$1:$A$2000,Consolidado!B1346)&gt;0,INDEX(RegistroPago!$E$1:$E$2000,MATCH(Consolidado!B1346,RegistroPago!$A$1:$A$2000,0))&lt;&gt;""),"PAGADA",IF(I1346&lt;&gt;"","PENDIENTE","SIN EMITIR")),"")</f>
        <v/>
      </c>
      <c r="I1346" s="10"/>
      <c r="J1346" s="2"/>
      <c r="K1346" s="29"/>
      <c r="L1346" s="29"/>
    </row>
    <row r="1347" spans="1:12" ht="15.75" x14ac:dyDescent="0.25">
      <c r="A1347" s="5"/>
      <c r="B1347" s="7"/>
      <c r="C1347" s="5"/>
      <c r="D1347" s="5"/>
      <c r="E1347" s="8"/>
      <c r="F1347" s="9"/>
      <c r="G1347" s="5"/>
      <c r="H1347" s="28" t="str">
        <f>IFERROR(IF(AND(COUNTIF(RegistroPago!$A$1:$A$2000,Consolidado!B1347)&gt;0,INDEX(RegistroPago!$E$1:$E$2000,MATCH(Consolidado!B1347,RegistroPago!$A$1:$A$2000,0))&lt;&gt;""),"PAGADA",IF(I1347&lt;&gt;"","PENDIENTE","SIN EMITIR")),"")</f>
        <v/>
      </c>
      <c r="I1347" s="10"/>
      <c r="J1347" s="2"/>
      <c r="K1347" s="29"/>
      <c r="L1347" s="29"/>
    </row>
    <row r="1348" spans="1:12" ht="15.75" x14ac:dyDescent="0.25">
      <c r="A1348" s="5"/>
      <c r="B1348" s="7"/>
      <c r="C1348" s="5"/>
      <c r="D1348" s="5"/>
      <c r="E1348" s="8"/>
      <c r="F1348" s="9"/>
      <c r="G1348" s="5"/>
      <c r="H1348" s="28" t="str">
        <f>IFERROR(IF(AND(COUNTIF(RegistroPago!$A$1:$A$2000,Consolidado!B1348)&gt;0,INDEX(RegistroPago!$E$1:$E$2000,MATCH(Consolidado!B1348,RegistroPago!$A$1:$A$2000,0))&lt;&gt;""),"PAGADA",IF(I1348&lt;&gt;"","PENDIENTE","SIN EMITIR")),"")</f>
        <v/>
      </c>
      <c r="I1348" s="10"/>
      <c r="J1348" s="2"/>
      <c r="K1348" s="29"/>
      <c r="L1348" s="29"/>
    </row>
    <row r="1349" spans="1:12" ht="15.75" x14ac:dyDescent="0.25">
      <c r="A1349" s="5"/>
      <c r="B1349" s="7"/>
      <c r="C1349" s="5"/>
      <c r="D1349" s="5"/>
      <c r="E1349" s="8"/>
      <c r="F1349" s="9"/>
      <c r="G1349" s="5"/>
      <c r="H1349" s="28" t="str">
        <f>IFERROR(IF(AND(COUNTIF(RegistroPago!$A$1:$A$2000,Consolidado!B1349)&gt;0,INDEX(RegistroPago!$E$1:$E$2000,MATCH(Consolidado!B1349,RegistroPago!$A$1:$A$2000,0))&lt;&gt;""),"PAGADA",IF(I1349&lt;&gt;"","PENDIENTE","SIN EMITIR")),"")</f>
        <v/>
      </c>
      <c r="I1349" s="10"/>
      <c r="J1349" s="2"/>
      <c r="K1349" s="29"/>
      <c r="L1349" s="29"/>
    </row>
    <row r="1350" spans="1:12" ht="15.75" x14ac:dyDescent="0.25">
      <c r="A1350" s="5"/>
      <c r="B1350" s="7"/>
      <c r="C1350" s="5"/>
      <c r="D1350" s="5"/>
      <c r="E1350" s="8"/>
      <c r="F1350" s="9"/>
      <c r="G1350" s="5"/>
      <c r="H1350" s="28" t="str">
        <f>IFERROR(IF(AND(COUNTIF(RegistroPago!$A$1:$A$2000,Consolidado!B1350)&gt;0,INDEX(RegistroPago!$E$1:$E$2000,MATCH(Consolidado!B1350,RegistroPago!$A$1:$A$2000,0))&lt;&gt;""),"PAGADA",IF(I1350&lt;&gt;"","PENDIENTE","SIN EMITIR")),"")</f>
        <v/>
      </c>
      <c r="I1350" s="10"/>
      <c r="J1350" s="2"/>
      <c r="K1350" s="29"/>
      <c r="L1350" s="29"/>
    </row>
    <row r="1351" spans="1:12" ht="15.75" x14ac:dyDescent="0.25">
      <c r="A1351" s="5"/>
      <c r="B1351" s="7"/>
      <c r="C1351" s="5"/>
      <c r="D1351" s="5"/>
      <c r="E1351" s="8"/>
      <c r="F1351" s="9"/>
      <c r="G1351" s="5"/>
      <c r="H1351" s="28" t="str">
        <f>IFERROR(IF(AND(COUNTIF(RegistroPago!$A$1:$A$2000,Consolidado!B1351)&gt;0,INDEX(RegistroPago!$E$1:$E$2000,MATCH(Consolidado!B1351,RegistroPago!$A$1:$A$2000,0))&lt;&gt;""),"PAGADA",IF(I1351&lt;&gt;"","PENDIENTE","SIN EMITIR")),"")</f>
        <v/>
      </c>
      <c r="I1351" s="10"/>
      <c r="J1351" s="2"/>
      <c r="K1351" s="29"/>
      <c r="L1351" s="29"/>
    </row>
    <row r="1352" spans="1:12" ht="15.75" x14ac:dyDescent="0.25">
      <c r="A1352" s="5"/>
      <c r="B1352" s="7"/>
      <c r="C1352" s="5"/>
      <c r="D1352" s="5"/>
      <c r="E1352" s="8"/>
      <c r="F1352" s="9"/>
      <c r="G1352" s="5"/>
      <c r="H1352" s="28" t="str">
        <f>IFERROR(IF(AND(COUNTIF(RegistroPago!$A$1:$A$2000,Consolidado!B1352)&gt;0,INDEX(RegistroPago!$E$1:$E$2000,MATCH(Consolidado!B1352,RegistroPago!$A$1:$A$2000,0))&lt;&gt;""),"PAGADA",IF(I1352&lt;&gt;"","PENDIENTE","SIN EMITIR")),"")</f>
        <v/>
      </c>
      <c r="I1352" s="10"/>
      <c r="J1352" s="2"/>
      <c r="K1352" s="29"/>
      <c r="L1352" s="29"/>
    </row>
    <row r="1353" spans="1:12" ht="15.75" x14ac:dyDescent="0.25">
      <c r="A1353" s="5"/>
      <c r="B1353" s="7"/>
      <c r="C1353" s="5"/>
      <c r="D1353" s="5"/>
      <c r="E1353" s="8"/>
      <c r="F1353" s="9"/>
      <c r="G1353" s="5"/>
      <c r="H1353" s="28" t="str">
        <f>IFERROR(IF(AND(COUNTIF(RegistroPago!$A$1:$A$2000,Consolidado!B1353)&gt;0,INDEX(RegistroPago!$E$1:$E$2000,MATCH(Consolidado!B1353,RegistroPago!$A$1:$A$2000,0))&lt;&gt;""),"PAGADA",IF(I1353&lt;&gt;"","PENDIENTE","SIN EMITIR")),"")</f>
        <v/>
      </c>
      <c r="I1353" s="10"/>
      <c r="J1353" s="2"/>
      <c r="K1353" s="29"/>
      <c r="L1353" s="29"/>
    </row>
    <row r="1354" spans="1:12" ht="15.75" x14ac:dyDescent="0.25">
      <c r="A1354" s="5"/>
      <c r="B1354" s="7"/>
      <c r="C1354" s="5"/>
      <c r="D1354" s="5"/>
      <c r="E1354" s="8"/>
      <c r="F1354" s="9"/>
      <c r="G1354" s="5"/>
      <c r="H1354" s="28" t="str">
        <f>IFERROR(IF(AND(COUNTIF(RegistroPago!$A$1:$A$2000,Consolidado!B1354)&gt;0,INDEX(RegistroPago!$E$1:$E$2000,MATCH(Consolidado!B1354,RegistroPago!$A$1:$A$2000,0))&lt;&gt;""),"PAGADA",IF(I1354&lt;&gt;"","PENDIENTE","SIN EMITIR")),"")</f>
        <v/>
      </c>
      <c r="I1354" s="10"/>
      <c r="J1354" s="2"/>
      <c r="K1354" s="29"/>
      <c r="L1354" s="29"/>
    </row>
    <row r="1355" spans="1:12" ht="15.75" x14ac:dyDescent="0.25">
      <c r="A1355" s="5"/>
      <c r="B1355" s="7"/>
      <c r="C1355" s="5"/>
      <c r="D1355" s="5"/>
      <c r="E1355" s="8"/>
      <c r="F1355" s="9"/>
      <c r="G1355" s="5"/>
      <c r="H1355" s="28" t="str">
        <f>IFERROR(IF(AND(COUNTIF(RegistroPago!$A$1:$A$2000,Consolidado!B1355)&gt;0,INDEX(RegistroPago!$E$1:$E$2000,MATCH(Consolidado!B1355,RegistroPago!$A$1:$A$2000,0))&lt;&gt;""),"PAGADA",IF(I1355&lt;&gt;"","PENDIENTE","SIN EMITIR")),"")</f>
        <v/>
      </c>
      <c r="I1355" s="10"/>
      <c r="J1355" s="2"/>
      <c r="K1355" s="29"/>
      <c r="L1355" s="29"/>
    </row>
    <row r="1356" spans="1:12" ht="15.75" x14ac:dyDescent="0.25">
      <c r="A1356" s="5"/>
      <c r="B1356" s="7"/>
      <c r="C1356" s="5"/>
      <c r="D1356" s="5"/>
      <c r="E1356" s="8"/>
      <c r="F1356" s="9"/>
      <c r="G1356" s="5"/>
      <c r="H1356" s="28" t="str">
        <f>IFERROR(IF(AND(COUNTIF(RegistroPago!$A$1:$A$2000,Consolidado!B1356)&gt;0,INDEX(RegistroPago!$E$1:$E$2000,MATCH(Consolidado!B1356,RegistroPago!$A$1:$A$2000,0))&lt;&gt;""),"PAGADA",IF(I1356&lt;&gt;"","PENDIENTE","SIN EMITIR")),"")</f>
        <v/>
      </c>
      <c r="I1356" s="10"/>
      <c r="J1356" s="2"/>
      <c r="K1356" s="29"/>
      <c r="L1356" s="29"/>
    </row>
    <row r="1357" spans="1:12" ht="15.75" x14ac:dyDescent="0.25">
      <c r="A1357" s="5"/>
      <c r="B1357" s="7"/>
      <c r="C1357" s="5"/>
      <c r="D1357" s="5"/>
      <c r="E1357" s="8"/>
      <c r="F1357" s="9"/>
      <c r="G1357" s="5"/>
      <c r="H1357" s="28" t="str">
        <f>IFERROR(IF(AND(COUNTIF(RegistroPago!$A$1:$A$2000,Consolidado!B1357)&gt;0,INDEX(RegistroPago!$E$1:$E$2000,MATCH(Consolidado!B1357,RegistroPago!$A$1:$A$2000,0))&lt;&gt;""),"PAGADA",IF(I1357&lt;&gt;"","PENDIENTE","SIN EMITIR")),"")</f>
        <v/>
      </c>
      <c r="I1357" s="10"/>
      <c r="J1357" s="2"/>
      <c r="K1357" s="29"/>
      <c r="L1357" s="29"/>
    </row>
    <row r="1358" spans="1:12" ht="15.75" x14ac:dyDescent="0.25">
      <c r="A1358" s="5"/>
      <c r="B1358" s="7"/>
      <c r="C1358" s="5"/>
      <c r="D1358" s="5"/>
      <c r="E1358" s="8"/>
      <c r="F1358" s="9"/>
      <c r="G1358" s="5"/>
      <c r="H1358" s="28" t="str">
        <f>IFERROR(IF(AND(COUNTIF(RegistroPago!$A$1:$A$2000,Consolidado!B1358)&gt;0,INDEX(RegistroPago!$E$1:$E$2000,MATCH(Consolidado!B1358,RegistroPago!$A$1:$A$2000,0))&lt;&gt;""),"PAGADA",IF(I1358&lt;&gt;"","PENDIENTE","SIN EMITIR")),"")</f>
        <v/>
      </c>
      <c r="I1358" s="10"/>
      <c r="J1358" s="2"/>
      <c r="K1358" s="29"/>
      <c r="L1358" s="29"/>
    </row>
    <row r="1359" spans="1:12" ht="15.75" x14ac:dyDescent="0.25">
      <c r="A1359" s="5"/>
      <c r="B1359" s="7"/>
      <c r="C1359" s="5"/>
      <c r="D1359" s="5"/>
      <c r="E1359" s="8"/>
      <c r="F1359" s="9"/>
      <c r="G1359" s="5"/>
      <c r="H1359" s="28" t="str">
        <f>IFERROR(IF(AND(COUNTIF(RegistroPago!$A$1:$A$2000,Consolidado!B1359)&gt;0,INDEX(RegistroPago!$E$1:$E$2000,MATCH(Consolidado!B1359,RegistroPago!$A$1:$A$2000,0))&lt;&gt;""),"PAGADA",IF(I1359&lt;&gt;"","PENDIENTE","SIN EMITIR")),"")</f>
        <v/>
      </c>
      <c r="I1359" s="10"/>
      <c r="J1359" s="2"/>
      <c r="K1359" s="29"/>
      <c r="L1359" s="29"/>
    </row>
    <row r="1360" spans="1:12" ht="15.75" x14ac:dyDescent="0.25">
      <c r="A1360" s="5"/>
      <c r="B1360" s="7"/>
      <c r="C1360" s="5"/>
      <c r="D1360" s="5"/>
      <c r="E1360" s="8"/>
      <c r="F1360" s="9"/>
      <c r="G1360" s="5"/>
      <c r="H1360" s="28" t="str">
        <f>IFERROR(IF(AND(COUNTIF(RegistroPago!$A$1:$A$2000,Consolidado!B1360)&gt;0,INDEX(RegistroPago!$E$1:$E$2000,MATCH(Consolidado!B1360,RegistroPago!$A$1:$A$2000,0))&lt;&gt;""),"PAGADA",IF(I1360&lt;&gt;"","PENDIENTE","SIN EMITIR")),"")</f>
        <v/>
      </c>
      <c r="I1360" s="10"/>
      <c r="J1360" s="2"/>
      <c r="K1360" s="29"/>
      <c r="L1360" s="29"/>
    </row>
    <row r="1361" spans="1:12" ht="15.75" x14ac:dyDescent="0.25">
      <c r="A1361" s="5"/>
      <c r="B1361" s="7"/>
      <c r="C1361" s="5"/>
      <c r="D1361" s="5"/>
      <c r="E1361" s="8"/>
      <c r="F1361" s="9"/>
      <c r="G1361" s="5"/>
      <c r="H1361" s="28" t="str">
        <f>IFERROR(IF(AND(COUNTIF(RegistroPago!$A$1:$A$2000,Consolidado!B1361)&gt;0,INDEX(RegistroPago!$E$1:$E$2000,MATCH(Consolidado!B1361,RegistroPago!$A$1:$A$2000,0))&lt;&gt;""),"PAGADA",IF(I1361&lt;&gt;"","PENDIENTE","SIN EMITIR")),"")</f>
        <v/>
      </c>
      <c r="I1361" s="10"/>
      <c r="J1361" s="2"/>
      <c r="K1361" s="29"/>
      <c r="L1361" s="29"/>
    </row>
    <row r="1362" spans="1:12" ht="15.75" x14ac:dyDescent="0.25">
      <c r="A1362" s="5"/>
      <c r="B1362" s="7"/>
      <c r="C1362" s="5"/>
      <c r="D1362" s="5"/>
      <c r="E1362" s="8"/>
      <c r="F1362" s="9"/>
      <c r="G1362" s="5"/>
      <c r="H1362" s="28" t="str">
        <f>IFERROR(IF(AND(COUNTIF(RegistroPago!$A$1:$A$2000,Consolidado!B1362)&gt;0,INDEX(RegistroPago!$E$1:$E$2000,MATCH(Consolidado!B1362,RegistroPago!$A$1:$A$2000,0))&lt;&gt;""),"PAGADA",IF(I1362&lt;&gt;"","PENDIENTE","SIN EMITIR")),"")</f>
        <v/>
      </c>
      <c r="I1362" s="10"/>
      <c r="J1362" s="2"/>
      <c r="K1362" s="29"/>
      <c r="L1362" s="29"/>
    </row>
    <row r="1363" spans="1:12" ht="15.75" x14ac:dyDescent="0.25">
      <c r="A1363" s="5"/>
      <c r="B1363" s="7"/>
      <c r="C1363" s="5"/>
      <c r="D1363" s="5"/>
      <c r="E1363" s="8"/>
      <c r="F1363" s="9"/>
      <c r="G1363" s="5"/>
      <c r="H1363" s="28" t="str">
        <f>IFERROR(IF(AND(COUNTIF(RegistroPago!$A$1:$A$2000,Consolidado!B1363)&gt;0,INDEX(RegistroPago!$E$1:$E$2000,MATCH(Consolidado!B1363,RegistroPago!$A$1:$A$2000,0))&lt;&gt;""),"PAGADA",IF(I1363&lt;&gt;"","PENDIENTE","SIN EMITIR")),"")</f>
        <v/>
      </c>
      <c r="I1363" s="10"/>
      <c r="J1363" s="2"/>
      <c r="K1363" s="29"/>
      <c r="L1363" s="29"/>
    </row>
    <row r="1364" spans="1:12" ht="15.75" x14ac:dyDescent="0.25">
      <c r="A1364" s="5"/>
      <c r="B1364" s="7"/>
      <c r="C1364" s="5"/>
      <c r="D1364" s="5"/>
      <c r="E1364" s="8"/>
      <c r="F1364" s="9"/>
      <c r="G1364" s="5"/>
      <c r="H1364" s="28" t="str">
        <f>IFERROR(IF(AND(COUNTIF(RegistroPago!$A$1:$A$2000,Consolidado!B1364)&gt;0,INDEX(RegistroPago!$E$1:$E$2000,MATCH(Consolidado!B1364,RegistroPago!$A$1:$A$2000,0))&lt;&gt;""),"PAGADA",IF(I1364&lt;&gt;"","PENDIENTE","SIN EMITIR")),"")</f>
        <v/>
      </c>
      <c r="I1364" s="10"/>
      <c r="J1364" s="2"/>
      <c r="K1364" s="29"/>
      <c r="L1364" s="29"/>
    </row>
    <row r="1365" spans="1:12" ht="15.75" x14ac:dyDescent="0.25">
      <c r="A1365" s="5"/>
      <c r="B1365" s="7"/>
      <c r="C1365" s="5"/>
      <c r="D1365" s="5"/>
      <c r="E1365" s="8"/>
      <c r="F1365" s="9"/>
      <c r="G1365" s="5"/>
      <c r="H1365" s="28" t="str">
        <f>IFERROR(IF(AND(COUNTIF(RegistroPago!$A$1:$A$2000,Consolidado!B1365)&gt;0,INDEX(RegistroPago!$E$1:$E$2000,MATCH(Consolidado!B1365,RegistroPago!$A$1:$A$2000,0))&lt;&gt;""),"PAGADA",IF(I1365&lt;&gt;"","PENDIENTE","SIN EMITIR")),"")</f>
        <v/>
      </c>
      <c r="I1365" s="10"/>
      <c r="J1365" s="2"/>
      <c r="K1365" s="29"/>
      <c r="L1365" s="29"/>
    </row>
    <row r="1366" spans="1:12" ht="15.75" x14ac:dyDescent="0.25">
      <c r="A1366" s="5"/>
      <c r="B1366" s="7"/>
      <c r="C1366" s="5"/>
      <c r="D1366" s="5"/>
      <c r="E1366" s="8"/>
      <c r="F1366" s="9"/>
      <c r="G1366" s="5"/>
      <c r="H1366" s="28" t="str">
        <f>IFERROR(IF(AND(COUNTIF(RegistroPago!$A$1:$A$2000,Consolidado!B1366)&gt;0,INDEX(RegistroPago!$E$1:$E$2000,MATCH(Consolidado!B1366,RegistroPago!$A$1:$A$2000,0))&lt;&gt;""),"PAGADA",IF(I1366&lt;&gt;"","PENDIENTE","SIN EMITIR")),"")</f>
        <v/>
      </c>
      <c r="I1366" s="10"/>
      <c r="J1366" s="2"/>
      <c r="K1366" s="29"/>
      <c r="L1366" s="29"/>
    </row>
    <row r="1367" spans="1:12" ht="15.75" x14ac:dyDescent="0.25">
      <c r="A1367" s="5"/>
      <c r="B1367" s="7"/>
      <c r="C1367" s="5"/>
      <c r="D1367" s="5"/>
      <c r="E1367" s="8"/>
      <c r="F1367" s="9"/>
      <c r="G1367" s="5"/>
      <c r="H1367" s="28" t="str">
        <f>IFERROR(IF(AND(COUNTIF(RegistroPago!$A$1:$A$2000,Consolidado!B1367)&gt;0,INDEX(RegistroPago!$E$1:$E$2000,MATCH(Consolidado!B1367,RegistroPago!$A$1:$A$2000,0))&lt;&gt;""),"PAGADA",IF(I1367&lt;&gt;"","PENDIENTE","SIN EMITIR")),"")</f>
        <v/>
      </c>
      <c r="I1367" s="10"/>
      <c r="J1367" s="2"/>
      <c r="K1367" s="29"/>
      <c r="L1367" s="29"/>
    </row>
    <row r="1368" spans="1:12" ht="15.75" x14ac:dyDescent="0.25">
      <c r="A1368" s="5"/>
      <c r="B1368" s="7"/>
      <c r="C1368" s="5"/>
      <c r="D1368" s="5"/>
      <c r="E1368" s="8"/>
      <c r="F1368" s="9"/>
      <c r="G1368" s="5"/>
      <c r="H1368" s="28" t="str">
        <f>IFERROR(IF(AND(COUNTIF(RegistroPago!$A$1:$A$2000,Consolidado!B1368)&gt;0,INDEX(RegistroPago!$E$1:$E$2000,MATCH(Consolidado!B1368,RegistroPago!$A$1:$A$2000,0))&lt;&gt;""),"PAGADA",IF(I1368&lt;&gt;"","PENDIENTE","SIN EMITIR")),"")</f>
        <v/>
      </c>
      <c r="I1368" s="10"/>
      <c r="J1368" s="2"/>
      <c r="K1368" s="29"/>
      <c r="L1368" s="29"/>
    </row>
    <row r="1369" spans="1:12" ht="15.75" x14ac:dyDescent="0.25">
      <c r="A1369" s="5"/>
      <c r="B1369" s="7"/>
      <c r="C1369" s="5"/>
      <c r="D1369" s="5"/>
      <c r="E1369" s="8"/>
      <c r="F1369" s="9"/>
      <c r="G1369" s="5"/>
      <c r="H1369" s="28" t="str">
        <f>IFERROR(IF(AND(COUNTIF(RegistroPago!$A$1:$A$2000,Consolidado!B1369)&gt;0,INDEX(RegistroPago!$E$1:$E$2000,MATCH(Consolidado!B1369,RegistroPago!$A$1:$A$2000,0))&lt;&gt;""),"PAGADA",IF(I1369&lt;&gt;"","PENDIENTE","SIN EMITIR")),"")</f>
        <v/>
      </c>
      <c r="I1369" s="10"/>
      <c r="J1369" s="2"/>
      <c r="K1369" s="29"/>
      <c r="L1369" s="29"/>
    </row>
    <row r="1370" spans="1:12" ht="15.75" x14ac:dyDescent="0.25">
      <c r="A1370" s="5"/>
      <c r="B1370" s="7"/>
      <c r="C1370" s="5"/>
      <c r="D1370" s="5"/>
      <c r="E1370" s="8"/>
      <c r="F1370" s="9"/>
      <c r="G1370" s="5"/>
      <c r="H1370" s="28" t="str">
        <f>IFERROR(IF(AND(COUNTIF(RegistroPago!$A$1:$A$2000,Consolidado!B1370)&gt;0,INDEX(RegistroPago!$E$1:$E$2000,MATCH(Consolidado!B1370,RegistroPago!$A$1:$A$2000,0))&lt;&gt;""),"PAGADA",IF(I1370&lt;&gt;"","PENDIENTE","SIN EMITIR")),"")</f>
        <v/>
      </c>
      <c r="I1370" s="10"/>
      <c r="J1370" s="2"/>
      <c r="K1370" s="29"/>
      <c r="L1370" s="29"/>
    </row>
    <row r="1371" spans="1:12" ht="15.75" x14ac:dyDescent="0.25">
      <c r="A1371" s="5"/>
      <c r="B1371" s="7"/>
      <c r="C1371" s="5"/>
      <c r="D1371" s="5"/>
      <c r="E1371" s="8"/>
      <c r="F1371" s="9"/>
      <c r="G1371" s="5"/>
      <c r="H1371" s="28" t="str">
        <f>IFERROR(IF(AND(COUNTIF(RegistroPago!$A$1:$A$2000,Consolidado!B1371)&gt;0,INDEX(RegistroPago!$E$1:$E$2000,MATCH(Consolidado!B1371,RegistroPago!$A$1:$A$2000,0))&lt;&gt;""),"PAGADA",IF(I1371&lt;&gt;"","PENDIENTE","SIN EMITIR")),"")</f>
        <v/>
      </c>
      <c r="I1371" s="10"/>
      <c r="J1371" s="2"/>
      <c r="K1371" s="29"/>
      <c r="L1371" s="29"/>
    </row>
    <row r="1372" spans="1:12" ht="15.75" x14ac:dyDescent="0.25">
      <c r="A1372" s="5"/>
      <c r="B1372" s="7"/>
      <c r="C1372" s="5"/>
      <c r="D1372" s="5"/>
      <c r="E1372" s="8"/>
      <c r="F1372" s="9"/>
      <c r="G1372" s="5"/>
      <c r="H1372" s="28" t="str">
        <f>IFERROR(IF(AND(COUNTIF(RegistroPago!$A$1:$A$2000,Consolidado!B1372)&gt;0,INDEX(RegistroPago!$E$1:$E$2000,MATCH(Consolidado!B1372,RegistroPago!$A$1:$A$2000,0))&lt;&gt;""),"PAGADA",IF(I1372&lt;&gt;"","PENDIENTE","SIN EMITIR")),"")</f>
        <v/>
      </c>
      <c r="I1372" s="10"/>
      <c r="J1372" s="2"/>
      <c r="K1372" s="29"/>
      <c r="L1372" s="29"/>
    </row>
    <row r="1373" spans="1:12" ht="15.75" x14ac:dyDescent="0.25">
      <c r="A1373" s="5"/>
      <c r="B1373" s="7"/>
      <c r="C1373" s="5"/>
      <c r="D1373" s="5"/>
      <c r="E1373" s="8"/>
      <c r="F1373" s="9"/>
      <c r="G1373" s="5"/>
      <c r="H1373" s="28" t="str">
        <f>IFERROR(IF(AND(COUNTIF(RegistroPago!$A$1:$A$2000,Consolidado!B1373)&gt;0,INDEX(RegistroPago!$E$1:$E$2000,MATCH(Consolidado!B1373,RegistroPago!$A$1:$A$2000,0))&lt;&gt;""),"PAGADA",IF(I1373&lt;&gt;"","PENDIENTE","SIN EMITIR")),"")</f>
        <v/>
      </c>
      <c r="I1373" s="10"/>
      <c r="J1373" s="2"/>
      <c r="K1373" s="29"/>
      <c r="L1373" s="29"/>
    </row>
    <row r="1374" spans="1:12" ht="15.75" x14ac:dyDescent="0.25">
      <c r="A1374" s="5"/>
      <c r="B1374" s="7"/>
      <c r="C1374" s="5"/>
      <c r="D1374" s="5"/>
      <c r="E1374" s="8"/>
      <c r="F1374" s="9"/>
      <c r="G1374" s="5"/>
      <c r="H1374" s="28" t="str">
        <f>IFERROR(IF(AND(COUNTIF(RegistroPago!$A$1:$A$2000,Consolidado!B1374)&gt;0,INDEX(RegistroPago!$E$1:$E$2000,MATCH(Consolidado!B1374,RegistroPago!$A$1:$A$2000,0))&lt;&gt;""),"PAGADA",IF(I1374&lt;&gt;"","PENDIENTE","SIN EMITIR")),"")</f>
        <v/>
      </c>
      <c r="I1374" s="10"/>
      <c r="J1374" s="2"/>
      <c r="K1374" s="29"/>
      <c r="L1374" s="29"/>
    </row>
    <row r="1375" spans="1:12" ht="15.75" x14ac:dyDescent="0.25">
      <c r="A1375" s="5"/>
      <c r="B1375" s="7"/>
      <c r="C1375" s="5"/>
      <c r="D1375" s="5"/>
      <c r="E1375" s="8"/>
      <c r="F1375" s="9"/>
      <c r="G1375" s="5"/>
      <c r="H1375" s="28" t="str">
        <f>IFERROR(IF(AND(COUNTIF(RegistroPago!$A$1:$A$2000,Consolidado!B1375)&gt;0,INDEX(RegistroPago!$E$1:$E$2000,MATCH(Consolidado!B1375,RegistroPago!$A$1:$A$2000,0))&lt;&gt;""),"PAGADA",IF(I1375&lt;&gt;"","PENDIENTE","SIN EMITIR")),"")</f>
        <v/>
      </c>
      <c r="I1375" s="10"/>
      <c r="J1375" s="2"/>
      <c r="K1375" s="29"/>
      <c r="L1375" s="29"/>
    </row>
    <row r="1376" spans="1:12" ht="15.75" x14ac:dyDescent="0.25">
      <c r="A1376" s="5"/>
      <c r="B1376" s="7"/>
      <c r="C1376" s="5"/>
      <c r="D1376" s="5"/>
      <c r="E1376" s="8"/>
      <c r="F1376" s="9"/>
      <c r="G1376" s="5"/>
      <c r="H1376" s="28" t="str">
        <f>IFERROR(IF(AND(COUNTIF(RegistroPago!$A$1:$A$2000,Consolidado!B1376)&gt;0,INDEX(RegistroPago!$E$1:$E$2000,MATCH(Consolidado!B1376,RegistroPago!$A$1:$A$2000,0))&lt;&gt;""),"PAGADA",IF(I1376&lt;&gt;"","PENDIENTE","SIN EMITIR")),"")</f>
        <v/>
      </c>
      <c r="I1376" s="10"/>
      <c r="J1376" s="2"/>
      <c r="K1376" s="29"/>
      <c r="L1376" s="29"/>
    </row>
    <row r="1377" spans="1:12" ht="15.75" x14ac:dyDescent="0.25">
      <c r="A1377" s="5"/>
      <c r="B1377" s="7"/>
      <c r="C1377" s="5"/>
      <c r="D1377" s="5"/>
      <c r="E1377" s="8"/>
      <c r="F1377" s="9"/>
      <c r="G1377" s="5"/>
      <c r="H1377" s="28" t="str">
        <f>IFERROR(IF(AND(COUNTIF(RegistroPago!$A$1:$A$2000,Consolidado!B1377)&gt;0,INDEX(RegistroPago!$E$1:$E$2000,MATCH(Consolidado!B1377,RegistroPago!$A$1:$A$2000,0))&lt;&gt;""),"PAGADA",IF(I1377&lt;&gt;"","PENDIENTE","SIN EMITIR")),"")</f>
        <v/>
      </c>
      <c r="I1377" s="10"/>
      <c r="J1377" s="2"/>
      <c r="K1377" s="29"/>
      <c r="L1377" s="29"/>
    </row>
    <row r="1378" spans="1:12" ht="15.75" x14ac:dyDescent="0.25">
      <c r="A1378" s="5"/>
      <c r="B1378" s="7"/>
      <c r="C1378" s="5"/>
      <c r="D1378" s="5"/>
      <c r="E1378" s="8"/>
      <c r="F1378" s="9"/>
      <c r="G1378" s="5"/>
      <c r="H1378" s="28" t="str">
        <f>IFERROR(IF(AND(COUNTIF(RegistroPago!$A$1:$A$2000,Consolidado!B1378)&gt;0,INDEX(RegistroPago!$E$1:$E$2000,MATCH(Consolidado!B1378,RegistroPago!$A$1:$A$2000,0))&lt;&gt;""),"PAGADA",IF(I1378&lt;&gt;"","PENDIENTE","SIN EMITIR")),"")</f>
        <v/>
      </c>
      <c r="I1378" s="10"/>
      <c r="J1378" s="2"/>
      <c r="K1378" s="29"/>
      <c r="L1378" s="29"/>
    </row>
    <row r="1379" spans="1:12" ht="15.75" x14ac:dyDescent="0.25">
      <c r="A1379" s="5"/>
      <c r="B1379" s="7"/>
      <c r="C1379" s="5"/>
      <c r="D1379" s="5"/>
      <c r="E1379" s="8"/>
      <c r="F1379" s="9"/>
      <c r="G1379" s="5"/>
      <c r="H1379" s="28" t="str">
        <f>IFERROR(IF(AND(COUNTIF(RegistroPago!$A$1:$A$2000,Consolidado!B1379)&gt;0,INDEX(RegistroPago!$E$1:$E$2000,MATCH(Consolidado!B1379,RegistroPago!$A$1:$A$2000,0))&lt;&gt;""),"PAGADA",IF(I1379&lt;&gt;"","PENDIENTE","SIN EMITIR")),"")</f>
        <v/>
      </c>
      <c r="I1379" s="10"/>
      <c r="J1379" s="2"/>
      <c r="K1379" s="29"/>
      <c r="L1379" s="29"/>
    </row>
    <row r="1380" spans="1:12" ht="15.75" x14ac:dyDescent="0.25">
      <c r="A1380" s="5"/>
      <c r="B1380" s="7"/>
      <c r="C1380" s="5"/>
      <c r="D1380" s="5"/>
      <c r="E1380" s="8"/>
      <c r="F1380" s="9"/>
      <c r="G1380" s="5"/>
      <c r="H1380" s="28" t="str">
        <f>IFERROR(IF(AND(COUNTIF(RegistroPago!$A$1:$A$2000,Consolidado!B1380)&gt;0,INDEX(RegistroPago!$E$1:$E$2000,MATCH(Consolidado!B1380,RegistroPago!$A$1:$A$2000,0))&lt;&gt;""),"PAGADA",IF(I1380&lt;&gt;"","PENDIENTE","SIN EMITIR")),"")</f>
        <v/>
      </c>
      <c r="I1380" s="10"/>
      <c r="J1380" s="2"/>
      <c r="K1380" s="29"/>
      <c r="L1380" s="29"/>
    </row>
    <row r="1381" spans="1:12" ht="15.75" x14ac:dyDescent="0.25">
      <c r="A1381" s="5"/>
      <c r="B1381" s="7"/>
      <c r="C1381" s="5"/>
      <c r="D1381" s="5"/>
      <c r="E1381" s="8"/>
      <c r="F1381" s="9"/>
      <c r="G1381" s="5"/>
      <c r="H1381" s="28" t="str">
        <f>IFERROR(IF(AND(COUNTIF(RegistroPago!$A$1:$A$2000,Consolidado!B1381)&gt;0,INDEX(RegistroPago!$E$1:$E$2000,MATCH(Consolidado!B1381,RegistroPago!$A$1:$A$2000,0))&lt;&gt;""),"PAGADA",IF(I1381&lt;&gt;"","PENDIENTE","SIN EMITIR")),"")</f>
        <v/>
      </c>
      <c r="I1381" s="10"/>
      <c r="J1381" s="2"/>
      <c r="K1381" s="29"/>
      <c r="L1381" s="29"/>
    </row>
    <row r="1382" spans="1:12" ht="15.75" x14ac:dyDescent="0.25">
      <c r="A1382" s="5"/>
      <c r="B1382" s="7"/>
      <c r="C1382" s="5"/>
      <c r="D1382" s="5"/>
      <c r="E1382" s="8"/>
      <c r="F1382" s="9"/>
      <c r="G1382" s="5"/>
      <c r="H1382" s="28" t="str">
        <f>IFERROR(IF(AND(COUNTIF(RegistroPago!$A$1:$A$2000,Consolidado!B1382)&gt;0,INDEX(RegistroPago!$E$1:$E$2000,MATCH(Consolidado!B1382,RegistroPago!$A$1:$A$2000,0))&lt;&gt;""),"PAGADA",IF(I1382&lt;&gt;"","PENDIENTE","SIN EMITIR")),"")</f>
        <v/>
      </c>
      <c r="I1382" s="10"/>
      <c r="J1382" s="2"/>
      <c r="K1382" s="29"/>
      <c r="L1382" s="29"/>
    </row>
    <row r="1383" spans="1:12" ht="15.75" x14ac:dyDescent="0.25">
      <c r="A1383" s="5"/>
      <c r="B1383" s="7"/>
      <c r="C1383" s="5"/>
      <c r="D1383" s="5"/>
      <c r="E1383" s="8"/>
      <c r="F1383" s="9"/>
      <c r="G1383" s="5"/>
      <c r="H1383" s="28" t="str">
        <f>IFERROR(IF(AND(COUNTIF(RegistroPago!$A$1:$A$2000,Consolidado!B1383)&gt;0,INDEX(RegistroPago!$E$1:$E$2000,MATCH(Consolidado!B1383,RegistroPago!$A$1:$A$2000,0))&lt;&gt;""),"PAGADA",IF(I1383&lt;&gt;"","PENDIENTE","SIN EMITIR")),"")</f>
        <v/>
      </c>
      <c r="I1383" s="10"/>
      <c r="J1383" s="2"/>
      <c r="K1383" s="29"/>
      <c r="L1383" s="29"/>
    </row>
    <row r="1384" spans="1:12" ht="15.75" x14ac:dyDescent="0.25">
      <c r="A1384" s="5"/>
      <c r="B1384" s="7"/>
      <c r="C1384" s="5"/>
      <c r="D1384" s="5"/>
      <c r="E1384" s="8"/>
      <c r="F1384" s="9"/>
      <c r="G1384" s="5"/>
      <c r="H1384" s="28" t="str">
        <f>IFERROR(IF(AND(COUNTIF(RegistroPago!$A$1:$A$2000,Consolidado!B1384)&gt;0,INDEX(RegistroPago!$E$1:$E$2000,MATCH(Consolidado!B1384,RegistroPago!$A$1:$A$2000,0))&lt;&gt;""),"PAGADA",IF(I1384&lt;&gt;"","PENDIENTE","SIN EMITIR")),"")</f>
        <v/>
      </c>
      <c r="I1384" s="10"/>
      <c r="J1384" s="2"/>
      <c r="K1384" s="29"/>
      <c r="L1384" s="29"/>
    </row>
    <row r="1385" spans="1:12" ht="15.75" x14ac:dyDescent="0.25">
      <c r="A1385" s="5"/>
      <c r="B1385" s="7"/>
      <c r="C1385" s="5"/>
      <c r="D1385" s="5"/>
      <c r="E1385" s="8"/>
      <c r="F1385" s="9"/>
      <c r="G1385" s="5"/>
      <c r="H1385" s="28" t="str">
        <f>IFERROR(IF(AND(COUNTIF(RegistroPago!$A$1:$A$2000,Consolidado!B1385)&gt;0,INDEX(RegistroPago!$E$1:$E$2000,MATCH(Consolidado!B1385,RegistroPago!$A$1:$A$2000,0))&lt;&gt;""),"PAGADA",IF(I1385&lt;&gt;"","PENDIENTE","SIN EMITIR")),"")</f>
        <v/>
      </c>
      <c r="I1385" s="10"/>
      <c r="J1385" s="2"/>
      <c r="K1385" s="29"/>
      <c r="L1385" s="29"/>
    </row>
    <row r="1386" spans="1:12" ht="15.75" x14ac:dyDescent="0.25">
      <c r="A1386" s="5"/>
      <c r="B1386" s="7"/>
      <c r="C1386" s="5"/>
      <c r="D1386" s="5"/>
      <c r="E1386" s="8"/>
      <c r="F1386" s="9"/>
      <c r="G1386" s="5"/>
      <c r="H1386" s="28" t="str">
        <f>IFERROR(IF(AND(COUNTIF(RegistroPago!$A$1:$A$2000,Consolidado!B1386)&gt;0,INDEX(RegistroPago!$E$1:$E$2000,MATCH(Consolidado!B1386,RegistroPago!$A$1:$A$2000,0))&lt;&gt;""),"PAGADA",IF(I1386&lt;&gt;"","PENDIENTE","SIN EMITIR")),"")</f>
        <v/>
      </c>
      <c r="I1386" s="10"/>
      <c r="J1386" s="2"/>
      <c r="K1386" s="29"/>
      <c r="L1386" s="29"/>
    </row>
    <row r="1387" spans="1:12" ht="15.75" x14ac:dyDescent="0.25">
      <c r="A1387" s="5"/>
      <c r="B1387" s="7"/>
      <c r="C1387" s="5"/>
      <c r="D1387" s="5"/>
      <c r="E1387" s="8"/>
      <c r="F1387" s="9"/>
      <c r="G1387" s="5"/>
      <c r="H1387" s="28" t="str">
        <f>IFERROR(IF(AND(COUNTIF(RegistroPago!$A$1:$A$2000,Consolidado!B1387)&gt;0,INDEX(RegistroPago!$E$1:$E$2000,MATCH(Consolidado!B1387,RegistroPago!$A$1:$A$2000,0))&lt;&gt;""),"PAGADA",IF(I1387&lt;&gt;"","PENDIENTE","SIN EMITIR")),"")</f>
        <v/>
      </c>
      <c r="I1387" s="10"/>
      <c r="J1387" s="2"/>
      <c r="K1387" s="29"/>
      <c r="L1387" s="29"/>
    </row>
    <row r="1388" spans="1:12" ht="15.75" x14ac:dyDescent="0.25">
      <c r="A1388" s="5"/>
      <c r="B1388" s="7"/>
      <c r="C1388" s="5"/>
      <c r="D1388" s="5"/>
      <c r="E1388" s="8"/>
      <c r="F1388" s="9"/>
      <c r="G1388" s="5"/>
      <c r="H1388" s="28" t="str">
        <f>IFERROR(IF(AND(COUNTIF(RegistroPago!$A$1:$A$2000,Consolidado!B1388)&gt;0,INDEX(RegistroPago!$E$1:$E$2000,MATCH(Consolidado!B1388,RegistroPago!$A$1:$A$2000,0))&lt;&gt;""),"PAGADA",IF(I1388&lt;&gt;"","PENDIENTE","SIN EMITIR")),"")</f>
        <v/>
      </c>
      <c r="I1388" s="10"/>
      <c r="J1388" s="2"/>
      <c r="K1388" s="29"/>
      <c r="L1388" s="29"/>
    </row>
    <row r="1389" spans="1:12" ht="15.75" x14ac:dyDescent="0.25">
      <c r="A1389" s="5"/>
      <c r="B1389" s="7"/>
      <c r="C1389" s="5"/>
      <c r="D1389" s="5"/>
      <c r="E1389" s="8"/>
      <c r="F1389" s="9"/>
      <c r="G1389" s="5"/>
      <c r="H1389" s="28" t="str">
        <f>IFERROR(IF(AND(COUNTIF(RegistroPago!$A$1:$A$2000,Consolidado!B1389)&gt;0,INDEX(RegistroPago!$E$1:$E$2000,MATCH(Consolidado!B1389,RegistroPago!$A$1:$A$2000,0))&lt;&gt;""),"PAGADA",IF(I1389&lt;&gt;"","PENDIENTE","SIN EMITIR")),"")</f>
        <v/>
      </c>
      <c r="I1389" s="10"/>
      <c r="J1389" s="2"/>
      <c r="K1389" s="29"/>
      <c r="L1389" s="29"/>
    </row>
    <row r="1390" spans="1:12" ht="15.75" x14ac:dyDescent="0.25">
      <c r="A1390" s="5"/>
      <c r="B1390" s="7"/>
      <c r="C1390" s="5"/>
      <c r="D1390" s="5"/>
      <c r="E1390" s="8"/>
      <c r="F1390" s="9"/>
      <c r="G1390" s="5"/>
      <c r="H1390" s="28" t="str">
        <f>IFERROR(IF(AND(COUNTIF(RegistroPago!$A$1:$A$2000,Consolidado!B1390)&gt;0,INDEX(RegistroPago!$E$1:$E$2000,MATCH(Consolidado!B1390,RegistroPago!$A$1:$A$2000,0))&lt;&gt;""),"PAGADA",IF(I1390&lt;&gt;"","PENDIENTE","SIN EMITIR")),"")</f>
        <v/>
      </c>
      <c r="I1390" s="10"/>
      <c r="J1390" s="2"/>
      <c r="K1390" s="29"/>
      <c r="L1390" s="29"/>
    </row>
    <row r="1391" spans="1:12" ht="15.75" x14ac:dyDescent="0.25">
      <c r="A1391" s="5"/>
      <c r="B1391" s="7"/>
      <c r="C1391" s="5"/>
      <c r="D1391" s="5"/>
      <c r="E1391" s="8"/>
      <c r="F1391" s="9"/>
      <c r="G1391" s="5"/>
      <c r="H1391" s="28" t="str">
        <f>IFERROR(IF(AND(COUNTIF(RegistroPago!$A$1:$A$2000,Consolidado!B1391)&gt;0,INDEX(RegistroPago!$E$1:$E$2000,MATCH(Consolidado!B1391,RegistroPago!$A$1:$A$2000,0))&lt;&gt;""),"PAGADA",IF(I1391&lt;&gt;"","PENDIENTE","SIN EMITIR")),"")</f>
        <v/>
      </c>
      <c r="I1391" s="10"/>
      <c r="J1391" s="2"/>
      <c r="K1391" s="29"/>
      <c r="L1391" s="29"/>
    </row>
    <row r="1392" spans="1:12" ht="15.75" x14ac:dyDescent="0.25">
      <c r="A1392" s="5"/>
      <c r="B1392" s="7"/>
      <c r="C1392" s="5"/>
      <c r="D1392" s="5"/>
      <c r="E1392" s="8"/>
      <c r="F1392" s="9"/>
      <c r="G1392" s="5"/>
      <c r="H1392" s="28" t="str">
        <f>IFERROR(IF(AND(COUNTIF(RegistroPago!$A$1:$A$2000,Consolidado!B1392)&gt;0,INDEX(RegistroPago!$E$1:$E$2000,MATCH(Consolidado!B1392,RegistroPago!$A$1:$A$2000,0))&lt;&gt;""),"PAGADA",IF(I1392&lt;&gt;"","PENDIENTE","SIN EMITIR")),"")</f>
        <v/>
      </c>
      <c r="I1392" s="10"/>
      <c r="J1392" s="2"/>
      <c r="K1392" s="29"/>
      <c r="L1392" s="29"/>
    </row>
    <row r="1393" spans="1:12" ht="15.75" x14ac:dyDescent="0.25">
      <c r="A1393" s="5"/>
      <c r="B1393" s="7"/>
      <c r="C1393" s="5"/>
      <c r="D1393" s="5"/>
      <c r="E1393" s="8"/>
      <c r="F1393" s="9"/>
      <c r="G1393" s="5"/>
      <c r="H1393" s="28" t="str">
        <f>IFERROR(IF(AND(COUNTIF(RegistroPago!$A$1:$A$2000,Consolidado!B1393)&gt;0,INDEX(RegistroPago!$E$1:$E$2000,MATCH(Consolidado!B1393,RegistroPago!$A$1:$A$2000,0))&lt;&gt;""),"PAGADA",IF(I1393&lt;&gt;"","PENDIENTE","SIN EMITIR")),"")</f>
        <v/>
      </c>
      <c r="I1393" s="10"/>
      <c r="J1393" s="2"/>
      <c r="K1393" s="29"/>
      <c r="L1393" s="29"/>
    </row>
    <row r="1394" spans="1:12" ht="15.75" x14ac:dyDescent="0.25">
      <c r="A1394" s="5"/>
      <c r="B1394" s="7"/>
      <c r="C1394" s="5"/>
      <c r="D1394" s="5"/>
      <c r="E1394" s="8"/>
      <c r="F1394" s="9"/>
      <c r="G1394" s="5"/>
      <c r="H1394" s="28" t="str">
        <f>IFERROR(IF(AND(COUNTIF(RegistroPago!$A$1:$A$2000,Consolidado!B1394)&gt;0,INDEX(RegistroPago!$E$1:$E$2000,MATCH(Consolidado!B1394,RegistroPago!$A$1:$A$2000,0))&lt;&gt;""),"PAGADA",IF(I1394&lt;&gt;"","PENDIENTE","SIN EMITIR")),"")</f>
        <v/>
      </c>
      <c r="I1394" s="10"/>
      <c r="J1394" s="2"/>
      <c r="K1394" s="29"/>
      <c r="L1394" s="29"/>
    </row>
    <row r="1395" spans="1:12" ht="15.75" x14ac:dyDescent="0.25">
      <c r="A1395" s="5"/>
      <c r="B1395" s="7"/>
      <c r="C1395" s="5"/>
      <c r="D1395" s="5"/>
      <c r="E1395" s="8"/>
      <c r="F1395" s="9"/>
      <c r="G1395" s="5"/>
      <c r="H1395" s="28" t="str">
        <f>IFERROR(IF(AND(COUNTIF(RegistroPago!$A$1:$A$2000,Consolidado!B1395)&gt;0,INDEX(RegistroPago!$E$1:$E$2000,MATCH(Consolidado!B1395,RegistroPago!$A$1:$A$2000,0))&lt;&gt;""),"PAGADA",IF(I1395&lt;&gt;"","PENDIENTE","SIN EMITIR")),"")</f>
        <v/>
      </c>
      <c r="I1395" s="10"/>
      <c r="J1395" s="2"/>
      <c r="K1395" s="29"/>
      <c r="L1395" s="29"/>
    </row>
    <row r="1396" spans="1:12" ht="15.75" x14ac:dyDescent="0.25">
      <c r="A1396" s="5"/>
      <c r="B1396" s="7"/>
      <c r="C1396" s="5"/>
      <c r="D1396" s="5"/>
      <c r="E1396" s="8"/>
      <c r="F1396" s="9"/>
      <c r="G1396" s="5"/>
      <c r="H1396" s="28" t="str">
        <f>IFERROR(IF(AND(COUNTIF(RegistroPago!$A$1:$A$2000,Consolidado!B1396)&gt;0,INDEX(RegistroPago!$E$1:$E$2000,MATCH(Consolidado!B1396,RegistroPago!$A$1:$A$2000,0))&lt;&gt;""),"PAGADA",IF(I1396&lt;&gt;"","PENDIENTE","SIN EMITIR")),"")</f>
        <v/>
      </c>
      <c r="I1396" s="10"/>
      <c r="J1396" s="2"/>
      <c r="K1396" s="29"/>
      <c r="L1396" s="29"/>
    </row>
    <row r="1397" spans="1:12" ht="15.75" x14ac:dyDescent="0.25">
      <c r="A1397" s="5"/>
      <c r="B1397" s="7"/>
      <c r="C1397" s="5"/>
      <c r="D1397" s="5"/>
      <c r="E1397" s="8"/>
      <c r="F1397" s="9"/>
      <c r="G1397" s="5"/>
      <c r="H1397" s="28" t="str">
        <f>IFERROR(IF(AND(COUNTIF(RegistroPago!$A$1:$A$2000,Consolidado!B1397)&gt;0,INDEX(RegistroPago!$E$1:$E$2000,MATCH(Consolidado!B1397,RegistroPago!$A$1:$A$2000,0))&lt;&gt;""),"PAGADA",IF(I1397&lt;&gt;"","PENDIENTE","SIN EMITIR")),"")</f>
        <v/>
      </c>
      <c r="I1397" s="10"/>
      <c r="J1397" s="2"/>
      <c r="K1397" s="29"/>
      <c r="L1397" s="29"/>
    </row>
    <row r="1398" spans="1:12" ht="15.75" x14ac:dyDescent="0.25">
      <c r="A1398" s="5"/>
      <c r="B1398" s="7"/>
      <c r="C1398" s="5"/>
      <c r="D1398" s="5"/>
      <c r="E1398" s="8"/>
      <c r="F1398" s="9"/>
      <c r="G1398" s="5"/>
      <c r="H1398" s="28" t="str">
        <f>IFERROR(IF(AND(COUNTIF(RegistroPago!$A$1:$A$2000,Consolidado!B1398)&gt;0,INDEX(RegistroPago!$E$1:$E$2000,MATCH(Consolidado!B1398,RegistroPago!$A$1:$A$2000,0))&lt;&gt;""),"PAGADA",IF(I1398&lt;&gt;"","PENDIENTE","SIN EMITIR")),"")</f>
        <v/>
      </c>
      <c r="I1398" s="10"/>
      <c r="J1398" s="2"/>
      <c r="K1398" s="29"/>
      <c r="L1398" s="29"/>
    </row>
    <row r="1399" spans="1:12" ht="15.75" x14ac:dyDescent="0.25">
      <c r="A1399" s="5"/>
      <c r="B1399" s="7"/>
      <c r="C1399" s="5"/>
      <c r="D1399" s="5"/>
      <c r="E1399" s="8"/>
      <c r="F1399" s="9"/>
      <c r="G1399" s="5"/>
      <c r="H1399" s="28" t="str">
        <f>IFERROR(IF(AND(COUNTIF(RegistroPago!$A$1:$A$2000,Consolidado!B1399)&gt;0,INDEX(RegistroPago!$E$1:$E$2000,MATCH(Consolidado!B1399,RegistroPago!$A$1:$A$2000,0))&lt;&gt;""),"PAGADA",IF(I1399&lt;&gt;"","PENDIENTE","SIN EMITIR")),"")</f>
        <v/>
      </c>
      <c r="I1399" s="10"/>
      <c r="J1399" s="2"/>
      <c r="K1399" s="29"/>
      <c r="L1399" s="29"/>
    </row>
    <row r="1400" spans="1:12" ht="15.75" x14ac:dyDescent="0.25">
      <c r="A1400" s="5"/>
      <c r="B1400" s="7"/>
      <c r="C1400" s="5"/>
      <c r="D1400" s="5"/>
      <c r="E1400" s="8"/>
      <c r="F1400" s="9"/>
      <c r="G1400" s="5"/>
      <c r="H1400" s="28" t="str">
        <f>IFERROR(IF(AND(COUNTIF(RegistroPago!$A$1:$A$2000,Consolidado!B1400)&gt;0,INDEX(RegistroPago!$E$1:$E$2000,MATCH(Consolidado!B1400,RegistroPago!$A$1:$A$2000,0))&lt;&gt;""),"PAGADA",IF(I1400&lt;&gt;"","PENDIENTE","SIN EMITIR")),"")</f>
        <v/>
      </c>
      <c r="I1400" s="10"/>
      <c r="J1400" s="2"/>
      <c r="K1400" s="29"/>
      <c r="L1400" s="29"/>
    </row>
    <row r="1401" spans="1:12" ht="15.75" x14ac:dyDescent="0.25">
      <c r="A1401" s="5"/>
      <c r="B1401" s="7"/>
      <c r="C1401" s="5"/>
      <c r="D1401" s="5"/>
      <c r="E1401" s="8"/>
      <c r="F1401" s="9"/>
      <c r="G1401" s="5"/>
      <c r="H1401" s="28" t="str">
        <f>IFERROR(IF(AND(COUNTIF(RegistroPago!$A$1:$A$2000,Consolidado!B1401)&gt;0,INDEX(RegistroPago!$E$1:$E$2000,MATCH(Consolidado!B1401,RegistroPago!$A$1:$A$2000,0))&lt;&gt;""),"PAGADA",IF(I1401&lt;&gt;"","PENDIENTE","SIN EMITIR")),"")</f>
        <v/>
      </c>
      <c r="I1401" s="10"/>
      <c r="J1401" s="2"/>
      <c r="K1401" s="29"/>
      <c r="L1401" s="29"/>
    </row>
    <row r="1402" spans="1:12" ht="15.75" x14ac:dyDescent="0.25">
      <c r="A1402" s="5"/>
      <c r="B1402" s="7"/>
      <c r="C1402" s="5"/>
      <c r="D1402" s="5"/>
      <c r="E1402" s="8"/>
      <c r="F1402" s="9"/>
      <c r="G1402" s="5"/>
      <c r="H1402" s="28" t="str">
        <f>IFERROR(IF(AND(COUNTIF(RegistroPago!$A$1:$A$2000,Consolidado!B1402)&gt;0,INDEX(RegistroPago!$E$1:$E$2000,MATCH(Consolidado!B1402,RegistroPago!$A$1:$A$2000,0))&lt;&gt;""),"PAGADA",IF(I1402&lt;&gt;"","PENDIENTE","SIN EMITIR")),"")</f>
        <v/>
      </c>
      <c r="I1402" s="10"/>
      <c r="J1402" s="2"/>
      <c r="K1402" s="29"/>
      <c r="L1402" s="29"/>
    </row>
    <row r="1403" spans="1:12" ht="15.75" x14ac:dyDescent="0.25">
      <c r="A1403" s="5"/>
      <c r="B1403" s="7"/>
      <c r="C1403" s="5"/>
      <c r="D1403" s="5"/>
      <c r="E1403" s="8"/>
      <c r="F1403" s="9"/>
      <c r="G1403" s="5"/>
      <c r="H1403" s="28" t="str">
        <f>IFERROR(IF(AND(COUNTIF(RegistroPago!$A$1:$A$2000,Consolidado!B1403)&gt;0,INDEX(RegistroPago!$E$1:$E$2000,MATCH(Consolidado!B1403,RegistroPago!$A$1:$A$2000,0))&lt;&gt;""),"PAGADA",IF(I1403&lt;&gt;"","PENDIENTE","SIN EMITIR")),"")</f>
        <v/>
      </c>
      <c r="I1403" s="10"/>
      <c r="J1403" s="2"/>
      <c r="K1403" s="29"/>
      <c r="L1403" s="29"/>
    </row>
    <row r="1404" spans="1:12" ht="15.75" x14ac:dyDescent="0.25">
      <c r="A1404" s="5"/>
      <c r="B1404" s="7"/>
      <c r="C1404" s="5"/>
      <c r="D1404" s="5"/>
      <c r="E1404" s="8"/>
      <c r="F1404" s="9"/>
      <c r="G1404" s="5"/>
      <c r="H1404" s="28" t="str">
        <f>IFERROR(IF(AND(COUNTIF(RegistroPago!$A$1:$A$2000,Consolidado!B1404)&gt;0,INDEX(RegistroPago!$E$1:$E$2000,MATCH(Consolidado!B1404,RegistroPago!$A$1:$A$2000,0))&lt;&gt;""),"PAGADA",IF(I1404&lt;&gt;"","PENDIENTE","SIN EMITIR")),"")</f>
        <v/>
      </c>
      <c r="I1404" s="10"/>
      <c r="J1404" s="2"/>
      <c r="K1404" s="29"/>
      <c r="L1404" s="29"/>
    </row>
    <row r="1405" spans="1:12" ht="15.75" x14ac:dyDescent="0.25">
      <c r="A1405" s="5"/>
      <c r="B1405" s="7"/>
      <c r="C1405" s="5"/>
      <c r="D1405" s="5"/>
      <c r="E1405" s="8"/>
      <c r="F1405" s="9"/>
      <c r="G1405" s="5"/>
      <c r="H1405" s="28" t="str">
        <f>IFERROR(IF(AND(COUNTIF(RegistroPago!$A$1:$A$2000,Consolidado!B1405)&gt;0,INDEX(RegistroPago!$E$1:$E$2000,MATCH(Consolidado!B1405,RegistroPago!$A$1:$A$2000,0))&lt;&gt;""),"PAGADA",IF(I1405&lt;&gt;"","PENDIENTE","SIN EMITIR")),"")</f>
        <v/>
      </c>
      <c r="I1405" s="10"/>
      <c r="J1405" s="2"/>
      <c r="K1405" s="29"/>
      <c r="L1405" s="29"/>
    </row>
    <row r="1406" spans="1:12" ht="15.75" x14ac:dyDescent="0.25">
      <c r="A1406" s="5"/>
      <c r="B1406" s="7"/>
      <c r="C1406" s="5"/>
      <c r="D1406" s="5"/>
      <c r="E1406" s="8"/>
      <c r="F1406" s="9"/>
      <c r="G1406" s="5"/>
      <c r="H1406" s="28" t="str">
        <f>IFERROR(IF(AND(COUNTIF(RegistroPago!$A$1:$A$2000,Consolidado!B1406)&gt;0,INDEX(RegistroPago!$E$1:$E$2000,MATCH(Consolidado!B1406,RegistroPago!$A$1:$A$2000,0))&lt;&gt;""),"PAGADA",IF(I1406&lt;&gt;"","PENDIENTE","SIN EMITIR")),"")</f>
        <v/>
      </c>
      <c r="I1406" s="10"/>
      <c r="J1406" s="2"/>
      <c r="K1406" s="29"/>
      <c r="L1406" s="29"/>
    </row>
    <row r="1407" spans="1:12" ht="15.75" x14ac:dyDescent="0.25">
      <c r="A1407" s="5"/>
      <c r="B1407" s="7"/>
      <c r="C1407" s="5"/>
      <c r="D1407" s="5"/>
      <c r="E1407" s="8"/>
      <c r="F1407" s="9"/>
      <c r="G1407" s="5"/>
      <c r="H1407" s="28" t="str">
        <f>IFERROR(IF(AND(COUNTIF(RegistroPago!$A$1:$A$2000,Consolidado!B1407)&gt;0,INDEX(RegistroPago!$E$1:$E$2000,MATCH(Consolidado!B1407,RegistroPago!$A$1:$A$2000,0))&lt;&gt;""),"PAGADA",IF(I1407&lt;&gt;"","PENDIENTE","SIN EMITIR")),"")</f>
        <v/>
      </c>
      <c r="I1407" s="10"/>
      <c r="J1407" s="2"/>
      <c r="K1407" s="29"/>
      <c r="L1407" s="29"/>
    </row>
    <row r="1408" spans="1:12" ht="15.75" x14ac:dyDescent="0.25">
      <c r="A1408" s="5"/>
      <c r="B1408" s="7"/>
      <c r="C1408" s="5"/>
      <c r="D1408" s="5"/>
      <c r="E1408" s="8"/>
      <c r="F1408" s="9"/>
      <c r="G1408" s="5"/>
      <c r="H1408" s="28" t="str">
        <f>IFERROR(IF(AND(COUNTIF(RegistroPago!$A$1:$A$2000,Consolidado!B1408)&gt;0,INDEX(RegistroPago!$E$1:$E$2000,MATCH(Consolidado!B1408,RegistroPago!$A$1:$A$2000,0))&lt;&gt;""),"PAGADA",IF(I1408&lt;&gt;"","PENDIENTE","SIN EMITIR")),"")</f>
        <v/>
      </c>
      <c r="I1408" s="10"/>
      <c r="J1408" s="2"/>
      <c r="K1408" s="29"/>
      <c r="L1408" s="29"/>
    </row>
    <row r="1409" spans="1:12" ht="15.75" x14ac:dyDescent="0.25">
      <c r="A1409" s="5"/>
      <c r="B1409" s="7"/>
      <c r="C1409" s="5"/>
      <c r="D1409" s="5"/>
      <c r="E1409" s="8"/>
      <c r="F1409" s="9"/>
      <c r="G1409" s="5"/>
      <c r="H1409" s="28" t="str">
        <f>IFERROR(IF(AND(COUNTIF(RegistroPago!$A$1:$A$2000,Consolidado!B1409)&gt;0,INDEX(RegistroPago!$E$1:$E$2000,MATCH(Consolidado!B1409,RegistroPago!$A$1:$A$2000,0))&lt;&gt;""),"PAGADA",IF(I1409&lt;&gt;"","PENDIENTE","SIN EMITIR")),"")</f>
        <v/>
      </c>
      <c r="I1409" s="10"/>
      <c r="J1409" s="2"/>
      <c r="K1409" s="29"/>
      <c r="L1409" s="29"/>
    </row>
    <row r="1410" spans="1:12" ht="15.75" x14ac:dyDescent="0.25">
      <c r="A1410" s="5"/>
      <c r="B1410" s="7"/>
      <c r="C1410" s="5"/>
      <c r="D1410" s="5"/>
      <c r="E1410" s="8"/>
      <c r="F1410" s="9"/>
      <c r="G1410" s="5"/>
      <c r="H1410" s="28" t="str">
        <f>IFERROR(IF(AND(COUNTIF(RegistroPago!$A$1:$A$2000,Consolidado!B1410)&gt;0,INDEX(RegistroPago!$E$1:$E$2000,MATCH(Consolidado!B1410,RegistroPago!$A$1:$A$2000,0))&lt;&gt;""),"PAGADA",IF(I1410&lt;&gt;"","PENDIENTE","SIN EMITIR")),"")</f>
        <v/>
      </c>
      <c r="I1410" s="10"/>
      <c r="J1410" s="2"/>
      <c r="K1410" s="29"/>
      <c r="L1410" s="29"/>
    </row>
    <row r="1411" spans="1:12" ht="15.75" x14ac:dyDescent="0.25">
      <c r="A1411" s="5"/>
      <c r="B1411" s="7"/>
      <c r="C1411" s="5"/>
      <c r="D1411" s="5"/>
      <c r="E1411" s="8"/>
      <c r="F1411" s="9"/>
      <c r="G1411" s="5"/>
      <c r="H1411" s="28" t="str">
        <f>IFERROR(IF(AND(COUNTIF(RegistroPago!$A$1:$A$2000,Consolidado!B1411)&gt;0,INDEX(RegistroPago!$E$1:$E$2000,MATCH(Consolidado!B1411,RegistroPago!$A$1:$A$2000,0))&lt;&gt;""),"PAGADA",IF(I1411&lt;&gt;"","PENDIENTE","SIN EMITIR")),"")</f>
        <v/>
      </c>
      <c r="I1411" s="10"/>
      <c r="J1411" s="2"/>
      <c r="K1411" s="29"/>
      <c r="L1411" s="29"/>
    </row>
    <row r="1412" spans="1:12" ht="15.75" x14ac:dyDescent="0.25">
      <c r="A1412" s="5"/>
      <c r="B1412" s="7"/>
      <c r="C1412" s="5"/>
      <c r="D1412" s="5"/>
      <c r="E1412" s="8"/>
      <c r="F1412" s="9"/>
      <c r="G1412" s="5"/>
      <c r="H1412" s="28" t="str">
        <f>IFERROR(IF(AND(COUNTIF(RegistroPago!$A$1:$A$2000,Consolidado!B1412)&gt;0,INDEX(RegistroPago!$E$1:$E$2000,MATCH(Consolidado!B1412,RegistroPago!$A$1:$A$2000,0))&lt;&gt;""),"PAGADA",IF(I1412&lt;&gt;"","PENDIENTE","SIN EMITIR")),"")</f>
        <v/>
      </c>
      <c r="I1412" s="10"/>
      <c r="J1412" s="2"/>
      <c r="K1412" s="29"/>
      <c r="L1412" s="29"/>
    </row>
    <row r="1413" spans="1:12" ht="15.75" x14ac:dyDescent="0.25">
      <c r="A1413" s="5"/>
      <c r="B1413" s="7"/>
      <c r="C1413" s="5"/>
      <c r="D1413" s="5"/>
      <c r="E1413" s="8"/>
      <c r="F1413" s="9"/>
      <c r="G1413" s="5"/>
      <c r="H1413" s="28" t="str">
        <f>IFERROR(IF(AND(COUNTIF(RegistroPago!$A$1:$A$2000,Consolidado!B1413)&gt;0,INDEX(RegistroPago!$E$1:$E$2000,MATCH(Consolidado!B1413,RegistroPago!$A$1:$A$2000,0))&lt;&gt;""),"PAGADA",IF(I1413&lt;&gt;"","PENDIENTE","SIN EMITIR")),"")</f>
        <v/>
      </c>
      <c r="I1413" s="10"/>
      <c r="J1413" s="2"/>
      <c r="K1413" s="29"/>
      <c r="L1413" s="29"/>
    </row>
    <row r="1414" spans="1:12" ht="15.75" x14ac:dyDescent="0.25">
      <c r="A1414" s="5"/>
      <c r="B1414" s="7"/>
      <c r="C1414" s="5"/>
      <c r="D1414" s="5"/>
      <c r="E1414" s="8"/>
      <c r="F1414" s="9"/>
      <c r="G1414" s="5"/>
      <c r="H1414" s="28" t="str">
        <f>IFERROR(IF(AND(COUNTIF(RegistroPago!$A$1:$A$2000,Consolidado!B1414)&gt;0,INDEX(RegistroPago!$E$1:$E$2000,MATCH(Consolidado!B1414,RegistroPago!$A$1:$A$2000,0))&lt;&gt;""),"PAGADA",IF(I1414&lt;&gt;"","PENDIENTE","SIN EMITIR")),"")</f>
        <v/>
      </c>
      <c r="I1414" s="10"/>
      <c r="J1414" s="2"/>
      <c r="K1414" s="29"/>
      <c r="L1414" s="29"/>
    </row>
    <row r="1415" spans="1:12" ht="15.75" x14ac:dyDescent="0.25">
      <c r="A1415" s="5"/>
      <c r="B1415" s="7"/>
      <c r="C1415" s="5"/>
      <c r="D1415" s="5"/>
      <c r="E1415" s="8"/>
      <c r="F1415" s="9"/>
      <c r="G1415" s="5"/>
      <c r="H1415" s="28" t="str">
        <f>IFERROR(IF(AND(COUNTIF(RegistroPago!$A$1:$A$2000,Consolidado!B1415)&gt;0,INDEX(RegistroPago!$E$1:$E$2000,MATCH(Consolidado!B1415,RegistroPago!$A$1:$A$2000,0))&lt;&gt;""),"PAGADA",IF(I1415&lt;&gt;"","PENDIENTE","SIN EMITIR")),"")</f>
        <v/>
      </c>
      <c r="I1415" s="10"/>
      <c r="J1415" s="2"/>
      <c r="K1415" s="29"/>
      <c r="L1415" s="29"/>
    </row>
    <row r="1416" spans="1:12" ht="15.75" x14ac:dyDescent="0.25">
      <c r="A1416" s="5"/>
      <c r="B1416" s="7"/>
      <c r="C1416" s="5"/>
      <c r="D1416" s="5"/>
      <c r="E1416" s="8"/>
      <c r="F1416" s="9"/>
      <c r="G1416" s="5"/>
      <c r="H1416" s="28" t="str">
        <f>IFERROR(IF(AND(COUNTIF(RegistroPago!$A$1:$A$2000,Consolidado!B1416)&gt;0,INDEX(RegistroPago!$E$1:$E$2000,MATCH(Consolidado!B1416,RegistroPago!$A$1:$A$2000,0))&lt;&gt;""),"PAGADA",IF(I1416&lt;&gt;"","PENDIENTE","SIN EMITIR")),"")</f>
        <v/>
      </c>
      <c r="I1416" s="10"/>
      <c r="J1416" s="2"/>
      <c r="K1416" s="29"/>
      <c r="L1416" s="29"/>
    </row>
    <row r="1417" spans="1:12" ht="15.75" x14ac:dyDescent="0.25">
      <c r="A1417" s="5"/>
      <c r="B1417" s="7"/>
      <c r="C1417" s="5"/>
      <c r="D1417" s="5"/>
      <c r="E1417" s="8"/>
      <c r="F1417" s="9"/>
      <c r="G1417" s="5"/>
      <c r="H1417" s="28" t="str">
        <f>IFERROR(IF(AND(COUNTIF(RegistroPago!$A$1:$A$2000,Consolidado!B1417)&gt;0,INDEX(RegistroPago!$E$1:$E$2000,MATCH(Consolidado!B1417,RegistroPago!$A$1:$A$2000,0))&lt;&gt;""),"PAGADA",IF(I1417&lt;&gt;"","PENDIENTE","SIN EMITIR")),"")</f>
        <v/>
      </c>
      <c r="I1417" s="10"/>
      <c r="J1417" s="2"/>
      <c r="K1417" s="29"/>
      <c r="L1417" s="29"/>
    </row>
    <row r="1418" spans="1:12" ht="15.75" x14ac:dyDescent="0.25">
      <c r="A1418" s="5"/>
      <c r="B1418" s="7"/>
      <c r="C1418" s="5"/>
      <c r="D1418" s="5"/>
      <c r="E1418" s="8"/>
      <c r="F1418" s="9"/>
      <c r="G1418" s="5"/>
      <c r="H1418" s="28" t="str">
        <f>IFERROR(IF(AND(COUNTIF(RegistroPago!$A$1:$A$2000,Consolidado!B1418)&gt;0,INDEX(RegistroPago!$E$1:$E$2000,MATCH(Consolidado!B1418,RegistroPago!$A$1:$A$2000,0))&lt;&gt;""),"PAGADA",IF(I1418&lt;&gt;"","PENDIENTE","SIN EMITIR")),"")</f>
        <v/>
      </c>
      <c r="I1418" s="10"/>
      <c r="J1418" s="2"/>
      <c r="K1418" s="29"/>
      <c r="L1418" s="29"/>
    </row>
    <row r="1419" spans="1:12" ht="15.75" x14ac:dyDescent="0.25">
      <c r="A1419" s="5"/>
      <c r="B1419" s="7"/>
      <c r="C1419" s="5"/>
      <c r="D1419" s="5"/>
      <c r="E1419" s="8"/>
      <c r="F1419" s="9"/>
      <c r="G1419" s="5"/>
      <c r="H1419" s="28" t="str">
        <f>IFERROR(IF(AND(COUNTIF(RegistroPago!$A$1:$A$2000,Consolidado!B1419)&gt;0,INDEX(RegistroPago!$E$1:$E$2000,MATCH(Consolidado!B1419,RegistroPago!$A$1:$A$2000,0))&lt;&gt;""),"PAGADA",IF(I1419&lt;&gt;"","PENDIENTE","SIN EMITIR")),"")</f>
        <v/>
      </c>
      <c r="I1419" s="10"/>
      <c r="J1419" s="2"/>
      <c r="K1419" s="29"/>
      <c r="L1419" s="29"/>
    </row>
    <row r="1420" spans="1:12" ht="15.75" x14ac:dyDescent="0.25">
      <c r="A1420" s="5"/>
      <c r="B1420" s="7"/>
      <c r="C1420" s="5"/>
      <c r="D1420" s="5"/>
      <c r="E1420" s="8"/>
      <c r="F1420" s="9"/>
      <c r="G1420" s="5"/>
      <c r="H1420" s="28" t="str">
        <f>IFERROR(IF(AND(COUNTIF(RegistroPago!$A$1:$A$2000,Consolidado!B1420)&gt;0,INDEX(RegistroPago!$E$1:$E$2000,MATCH(Consolidado!B1420,RegistroPago!$A$1:$A$2000,0))&lt;&gt;""),"PAGADA",IF(I1420&lt;&gt;"","PENDIENTE","SIN EMITIR")),"")</f>
        <v/>
      </c>
      <c r="I1420" s="10"/>
      <c r="J1420" s="2"/>
      <c r="K1420" s="29"/>
      <c r="L1420" s="29"/>
    </row>
    <row r="1421" spans="1:12" ht="15.75" x14ac:dyDescent="0.25">
      <c r="A1421" s="5"/>
      <c r="B1421" s="7"/>
      <c r="C1421" s="5"/>
      <c r="D1421" s="5"/>
      <c r="E1421" s="8"/>
      <c r="F1421" s="9"/>
      <c r="G1421" s="5"/>
      <c r="H1421" s="28" t="str">
        <f>IFERROR(IF(AND(COUNTIF(RegistroPago!$A$1:$A$2000,Consolidado!B1421)&gt;0,INDEX(RegistroPago!$E$1:$E$2000,MATCH(Consolidado!B1421,RegistroPago!$A$1:$A$2000,0))&lt;&gt;""),"PAGADA",IF(I1421&lt;&gt;"","PENDIENTE","SIN EMITIR")),"")</f>
        <v/>
      </c>
      <c r="I1421" s="10"/>
      <c r="J1421" s="2"/>
      <c r="K1421" s="29"/>
      <c r="L1421" s="29"/>
    </row>
    <row r="1422" spans="1:12" ht="15.75" x14ac:dyDescent="0.25">
      <c r="A1422" s="5"/>
      <c r="B1422" s="7"/>
      <c r="C1422" s="5"/>
      <c r="D1422" s="5"/>
      <c r="E1422" s="8"/>
      <c r="F1422" s="9"/>
      <c r="G1422" s="5"/>
      <c r="H1422" s="28" t="str">
        <f>IFERROR(IF(AND(COUNTIF(RegistroPago!$A$1:$A$2000,Consolidado!B1422)&gt;0,INDEX(RegistroPago!$E$1:$E$2000,MATCH(Consolidado!B1422,RegistroPago!$A$1:$A$2000,0))&lt;&gt;""),"PAGADA",IF(I1422&lt;&gt;"","PENDIENTE","SIN EMITIR")),"")</f>
        <v/>
      </c>
      <c r="I1422" s="10"/>
      <c r="J1422" s="2"/>
      <c r="K1422" s="29"/>
      <c r="L1422" s="29"/>
    </row>
    <row r="1423" spans="1:12" ht="15.75" x14ac:dyDescent="0.25">
      <c r="A1423" s="5"/>
      <c r="B1423" s="7"/>
      <c r="C1423" s="5"/>
      <c r="D1423" s="5"/>
      <c r="E1423" s="8"/>
      <c r="F1423" s="9"/>
      <c r="G1423" s="5"/>
      <c r="H1423" s="28" t="str">
        <f>IFERROR(IF(AND(COUNTIF(RegistroPago!$A$1:$A$2000,Consolidado!B1423)&gt;0,INDEX(RegistroPago!$E$1:$E$2000,MATCH(Consolidado!B1423,RegistroPago!$A$1:$A$2000,0))&lt;&gt;""),"PAGADA",IF(I1423&lt;&gt;"","PENDIENTE","SIN EMITIR")),"")</f>
        <v/>
      </c>
      <c r="I1423" s="10"/>
      <c r="J1423" s="2"/>
      <c r="K1423" s="29"/>
      <c r="L1423" s="29"/>
    </row>
    <row r="1424" spans="1:12" ht="15.75" x14ac:dyDescent="0.25">
      <c r="A1424" s="5"/>
      <c r="B1424" s="7"/>
      <c r="C1424" s="5"/>
      <c r="D1424" s="5"/>
      <c r="E1424" s="8"/>
      <c r="F1424" s="9"/>
      <c r="G1424" s="5"/>
      <c r="H1424" s="28" t="str">
        <f>IFERROR(IF(AND(COUNTIF(RegistroPago!$A$1:$A$2000,Consolidado!B1424)&gt;0,INDEX(RegistroPago!$E$1:$E$2000,MATCH(Consolidado!B1424,RegistroPago!$A$1:$A$2000,0))&lt;&gt;""),"PAGADA",IF(I1424&lt;&gt;"","PENDIENTE","SIN EMITIR")),"")</f>
        <v/>
      </c>
      <c r="I1424" s="10"/>
      <c r="J1424" s="2"/>
      <c r="K1424" s="29"/>
      <c r="L1424" s="29"/>
    </row>
    <row r="1425" spans="1:12" ht="15.75" x14ac:dyDescent="0.25">
      <c r="A1425" s="5"/>
      <c r="B1425" s="7"/>
      <c r="C1425" s="5"/>
      <c r="D1425" s="5"/>
      <c r="E1425" s="8"/>
      <c r="F1425" s="9"/>
      <c r="G1425" s="5"/>
      <c r="H1425" s="28" t="str">
        <f>IFERROR(IF(AND(COUNTIF(RegistroPago!$A$1:$A$2000,Consolidado!B1425)&gt;0,INDEX(RegistroPago!$E$1:$E$2000,MATCH(Consolidado!B1425,RegistroPago!$A$1:$A$2000,0))&lt;&gt;""),"PAGADA",IF(I1425&lt;&gt;"","PENDIENTE","SIN EMITIR")),"")</f>
        <v/>
      </c>
      <c r="I1425" s="10"/>
      <c r="J1425" s="2"/>
      <c r="K1425" s="29"/>
      <c r="L1425" s="29"/>
    </row>
    <row r="1426" spans="1:12" ht="15.75" x14ac:dyDescent="0.25">
      <c r="A1426" s="5"/>
      <c r="B1426" s="7"/>
      <c r="C1426" s="5"/>
      <c r="D1426" s="5"/>
      <c r="E1426" s="8"/>
      <c r="F1426" s="9"/>
      <c r="G1426" s="5"/>
      <c r="H1426" s="28" t="str">
        <f>IFERROR(IF(AND(COUNTIF(RegistroPago!$A$1:$A$2000,Consolidado!B1426)&gt;0,INDEX(RegistroPago!$E$1:$E$2000,MATCH(Consolidado!B1426,RegistroPago!$A$1:$A$2000,0))&lt;&gt;""),"PAGADA",IF(I1426&lt;&gt;"","PENDIENTE","SIN EMITIR")),"")</f>
        <v/>
      </c>
      <c r="I1426" s="10"/>
      <c r="J1426" s="2"/>
      <c r="K1426" s="29"/>
      <c r="L1426" s="29"/>
    </row>
    <row r="1427" spans="1:12" ht="15.75" x14ac:dyDescent="0.25">
      <c r="A1427" s="5"/>
      <c r="B1427" s="7"/>
      <c r="C1427" s="5"/>
      <c r="D1427" s="5"/>
      <c r="E1427" s="8"/>
      <c r="F1427" s="9"/>
      <c r="G1427" s="5"/>
      <c r="H1427" s="28" t="str">
        <f>IFERROR(IF(AND(COUNTIF(RegistroPago!$A$1:$A$2000,Consolidado!B1427)&gt;0,INDEX(RegistroPago!$E$1:$E$2000,MATCH(Consolidado!B1427,RegistroPago!$A$1:$A$2000,0))&lt;&gt;""),"PAGADA",IF(I1427&lt;&gt;"","PENDIENTE","SIN EMITIR")),"")</f>
        <v/>
      </c>
      <c r="I1427" s="10"/>
      <c r="J1427" s="2"/>
      <c r="K1427" s="29"/>
      <c r="L1427" s="29"/>
    </row>
    <row r="1428" spans="1:12" ht="15.75" x14ac:dyDescent="0.25">
      <c r="A1428" s="5"/>
      <c r="B1428" s="7"/>
      <c r="C1428" s="5"/>
      <c r="D1428" s="5"/>
      <c r="E1428" s="8"/>
      <c r="F1428" s="9"/>
      <c r="G1428" s="5"/>
      <c r="H1428" s="28" t="str">
        <f>IFERROR(IF(AND(COUNTIF(RegistroPago!$A$1:$A$2000,Consolidado!B1428)&gt;0,INDEX(RegistroPago!$E$1:$E$2000,MATCH(Consolidado!B1428,RegistroPago!$A$1:$A$2000,0))&lt;&gt;""),"PAGADA",IF(I1428&lt;&gt;"","PENDIENTE","SIN EMITIR")),"")</f>
        <v/>
      </c>
      <c r="I1428" s="10"/>
      <c r="J1428" s="2"/>
      <c r="K1428" s="29"/>
      <c r="L1428" s="29"/>
    </row>
    <row r="1429" spans="1:12" ht="15.75" x14ac:dyDescent="0.25">
      <c r="A1429" s="5"/>
      <c r="B1429" s="7"/>
      <c r="C1429" s="5"/>
      <c r="D1429" s="5"/>
      <c r="E1429" s="8"/>
      <c r="F1429" s="9"/>
      <c r="G1429" s="5"/>
      <c r="H1429" s="28" t="str">
        <f>IFERROR(IF(AND(COUNTIF(RegistroPago!$A$1:$A$2000,Consolidado!B1429)&gt;0,INDEX(RegistroPago!$E$1:$E$2000,MATCH(Consolidado!B1429,RegistroPago!$A$1:$A$2000,0))&lt;&gt;""),"PAGADA",IF(I1429&lt;&gt;"","PENDIENTE","SIN EMITIR")),"")</f>
        <v/>
      </c>
      <c r="I1429" s="10"/>
      <c r="J1429" s="2"/>
      <c r="K1429" s="29"/>
      <c r="L1429" s="29"/>
    </row>
    <row r="1430" spans="1:12" ht="15.75" x14ac:dyDescent="0.25">
      <c r="A1430" s="5"/>
      <c r="B1430" s="7"/>
      <c r="C1430" s="5"/>
      <c r="D1430" s="5"/>
      <c r="E1430" s="8"/>
      <c r="F1430" s="9"/>
      <c r="G1430" s="5"/>
      <c r="H1430" s="28" t="str">
        <f>IFERROR(IF(AND(COUNTIF(RegistroPago!$A$1:$A$2000,Consolidado!B1430)&gt;0,INDEX(RegistroPago!$E$1:$E$2000,MATCH(Consolidado!B1430,RegistroPago!$A$1:$A$2000,0))&lt;&gt;""),"PAGADA",IF(I1430&lt;&gt;"","PENDIENTE","SIN EMITIR")),"")</f>
        <v/>
      </c>
      <c r="I1430" s="10"/>
      <c r="J1430" s="2"/>
      <c r="K1430" s="29"/>
      <c r="L1430" s="29"/>
    </row>
    <row r="1431" spans="1:12" ht="15.75" x14ac:dyDescent="0.25">
      <c r="A1431" s="5"/>
      <c r="B1431" s="7"/>
      <c r="C1431" s="5"/>
      <c r="D1431" s="5"/>
      <c r="E1431" s="8"/>
      <c r="F1431" s="9"/>
      <c r="G1431" s="5"/>
      <c r="H1431" s="28" t="str">
        <f>IFERROR(IF(AND(COUNTIF(RegistroPago!$A$1:$A$2000,Consolidado!B1431)&gt;0,INDEX(RegistroPago!$E$1:$E$2000,MATCH(Consolidado!B1431,RegistroPago!$A$1:$A$2000,0))&lt;&gt;""),"PAGADA",IF(I1431&lt;&gt;"","PENDIENTE","SIN EMITIR")),"")</f>
        <v/>
      </c>
      <c r="I1431" s="10"/>
      <c r="J1431" s="2"/>
      <c r="K1431" s="29"/>
      <c r="L1431" s="29"/>
    </row>
    <row r="1432" spans="1:12" ht="15.75" x14ac:dyDescent="0.25">
      <c r="A1432" s="5"/>
      <c r="B1432" s="7"/>
      <c r="C1432" s="5"/>
      <c r="D1432" s="5"/>
      <c r="E1432" s="8"/>
      <c r="F1432" s="9"/>
      <c r="G1432" s="5"/>
      <c r="H1432" s="28" t="str">
        <f>IFERROR(IF(AND(COUNTIF(RegistroPago!$A$1:$A$2000,Consolidado!B1432)&gt;0,INDEX(RegistroPago!$E$1:$E$2000,MATCH(Consolidado!B1432,RegistroPago!$A$1:$A$2000,0))&lt;&gt;""),"PAGADA",IF(I1432&lt;&gt;"","PENDIENTE","SIN EMITIR")),"")</f>
        <v/>
      </c>
      <c r="I1432" s="10"/>
      <c r="J1432" s="2"/>
      <c r="K1432" s="29"/>
      <c r="L1432" s="29"/>
    </row>
    <row r="1433" spans="1:12" ht="15.75" x14ac:dyDescent="0.25">
      <c r="A1433" s="5"/>
      <c r="B1433" s="7"/>
      <c r="C1433" s="5"/>
      <c r="D1433" s="5"/>
      <c r="E1433" s="8"/>
      <c r="F1433" s="9"/>
      <c r="G1433" s="5"/>
      <c r="H1433" s="28" t="str">
        <f>IFERROR(IF(AND(COUNTIF(RegistroPago!$A$1:$A$2000,Consolidado!B1433)&gt;0,INDEX(RegistroPago!$E$1:$E$2000,MATCH(Consolidado!B1433,RegistroPago!$A$1:$A$2000,0))&lt;&gt;""),"PAGADA",IF(I1433&lt;&gt;"","PENDIENTE","SIN EMITIR")),"")</f>
        <v/>
      </c>
      <c r="I1433" s="10"/>
      <c r="J1433" s="2"/>
      <c r="K1433" s="29"/>
      <c r="L1433" s="29"/>
    </row>
    <row r="1434" spans="1:12" ht="15.75" x14ac:dyDescent="0.25">
      <c r="A1434" s="5"/>
      <c r="B1434" s="7"/>
      <c r="C1434" s="5"/>
      <c r="D1434" s="5"/>
      <c r="E1434" s="8"/>
      <c r="F1434" s="9"/>
      <c r="G1434" s="5"/>
      <c r="H1434" s="28" t="str">
        <f>IFERROR(IF(AND(COUNTIF(RegistroPago!$A$1:$A$2000,Consolidado!B1434)&gt;0,INDEX(RegistroPago!$E$1:$E$2000,MATCH(Consolidado!B1434,RegistroPago!$A$1:$A$2000,0))&lt;&gt;""),"PAGADA",IF(I1434&lt;&gt;"","PENDIENTE","SIN EMITIR")),"")</f>
        <v/>
      </c>
      <c r="I1434" s="10"/>
      <c r="J1434" s="2"/>
      <c r="K1434" s="29"/>
      <c r="L1434" s="29"/>
    </row>
    <row r="1435" spans="1:12" ht="15.75" x14ac:dyDescent="0.25">
      <c r="A1435" s="5"/>
      <c r="B1435" s="7"/>
      <c r="C1435" s="5"/>
      <c r="D1435" s="5"/>
      <c r="E1435" s="8"/>
      <c r="F1435" s="9"/>
      <c r="G1435" s="5"/>
      <c r="H1435" s="28" t="str">
        <f>IFERROR(IF(AND(COUNTIF(RegistroPago!$A$1:$A$2000,Consolidado!B1435)&gt;0,INDEX(RegistroPago!$E$1:$E$2000,MATCH(Consolidado!B1435,RegistroPago!$A$1:$A$2000,0))&lt;&gt;""),"PAGADA",IF(I1435&lt;&gt;"","PENDIENTE","SIN EMITIR")),"")</f>
        <v/>
      </c>
      <c r="I1435" s="10"/>
      <c r="J1435" s="2"/>
      <c r="K1435" s="29"/>
      <c r="L1435" s="29"/>
    </row>
    <row r="1436" spans="1:12" ht="15.75" x14ac:dyDescent="0.25">
      <c r="A1436" s="5"/>
      <c r="B1436" s="7"/>
      <c r="C1436" s="5"/>
      <c r="D1436" s="5"/>
      <c r="E1436" s="8"/>
      <c r="F1436" s="9"/>
      <c r="G1436" s="5"/>
      <c r="H1436" s="28" t="str">
        <f>IFERROR(IF(AND(COUNTIF(RegistroPago!$A$1:$A$2000,Consolidado!B1436)&gt;0,INDEX(RegistroPago!$E$1:$E$2000,MATCH(Consolidado!B1436,RegistroPago!$A$1:$A$2000,0))&lt;&gt;""),"PAGADA",IF(I1436&lt;&gt;"","PENDIENTE","SIN EMITIR")),"")</f>
        <v/>
      </c>
      <c r="I1436" s="10"/>
      <c r="J1436" s="2"/>
      <c r="K1436" s="29"/>
      <c r="L1436" s="29"/>
    </row>
    <row r="1437" spans="1:12" ht="15.75" x14ac:dyDescent="0.25">
      <c r="A1437" s="5"/>
      <c r="B1437" s="7"/>
      <c r="C1437" s="5"/>
      <c r="D1437" s="5"/>
      <c r="E1437" s="8"/>
      <c r="F1437" s="9"/>
      <c r="G1437" s="5"/>
      <c r="H1437" s="28" t="str">
        <f>IFERROR(IF(AND(COUNTIF(RegistroPago!$A$1:$A$2000,Consolidado!B1437)&gt;0,INDEX(RegistroPago!$E$1:$E$2000,MATCH(Consolidado!B1437,RegistroPago!$A$1:$A$2000,0))&lt;&gt;""),"PAGADA",IF(I1437&lt;&gt;"","PENDIENTE","SIN EMITIR")),"")</f>
        <v/>
      </c>
      <c r="I1437" s="10"/>
      <c r="J1437" s="2"/>
      <c r="K1437" s="29"/>
      <c r="L1437" s="29"/>
    </row>
    <row r="1438" spans="1:12" ht="15.75" x14ac:dyDescent="0.25">
      <c r="A1438" s="5"/>
      <c r="B1438" s="7"/>
      <c r="C1438" s="5"/>
      <c r="D1438" s="5"/>
      <c r="E1438" s="8"/>
      <c r="F1438" s="9"/>
      <c r="G1438" s="5"/>
      <c r="H1438" s="28" t="str">
        <f>IFERROR(IF(AND(COUNTIF(RegistroPago!$A$1:$A$2000,Consolidado!B1438)&gt;0,INDEX(RegistroPago!$E$1:$E$2000,MATCH(Consolidado!B1438,RegistroPago!$A$1:$A$2000,0))&lt;&gt;""),"PAGADA",IF(I1438&lt;&gt;"","PENDIENTE","SIN EMITIR")),"")</f>
        <v/>
      </c>
      <c r="I1438" s="10"/>
      <c r="J1438" s="2"/>
      <c r="K1438" s="29"/>
      <c r="L1438" s="29"/>
    </row>
    <row r="1439" spans="1:12" ht="15.75" x14ac:dyDescent="0.25">
      <c r="A1439" s="5"/>
      <c r="B1439" s="7"/>
      <c r="C1439" s="5"/>
      <c r="D1439" s="5"/>
      <c r="E1439" s="8"/>
      <c r="F1439" s="9"/>
      <c r="G1439" s="5"/>
      <c r="H1439" s="28" t="str">
        <f>IFERROR(IF(AND(COUNTIF(RegistroPago!$A$1:$A$2000,Consolidado!B1439)&gt;0,INDEX(RegistroPago!$E$1:$E$2000,MATCH(Consolidado!B1439,RegistroPago!$A$1:$A$2000,0))&lt;&gt;""),"PAGADA",IF(I1439&lt;&gt;"","PENDIENTE","SIN EMITIR")),"")</f>
        <v/>
      </c>
      <c r="I1439" s="10"/>
      <c r="J1439" s="2"/>
      <c r="K1439" s="29"/>
      <c r="L1439" s="29"/>
    </row>
    <row r="1440" spans="1:12" ht="15.75" x14ac:dyDescent="0.25">
      <c r="A1440" s="5"/>
      <c r="B1440" s="7"/>
      <c r="C1440" s="5"/>
      <c r="D1440" s="5"/>
      <c r="E1440" s="8"/>
      <c r="F1440" s="9"/>
      <c r="G1440" s="5"/>
      <c r="H1440" s="28" t="str">
        <f>IFERROR(IF(AND(COUNTIF(RegistroPago!$A$1:$A$2000,Consolidado!B1440)&gt;0,INDEX(RegistroPago!$E$1:$E$2000,MATCH(Consolidado!B1440,RegistroPago!$A$1:$A$2000,0))&lt;&gt;""),"PAGADA",IF(I1440&lt;&gt;"","PENDIENTE","SIN EMITIR")),"")</f>
        <v/>
      </c>
      <c r="I1440" s="10"/>
      <c r="J1440" s="2"/>
      <c r="K1440" s="29"/>
      <c r="L1440" s="29"/>
    </row>
    <row r="1441" spans="1:12" ht="15.75" x14ac:dyDescent="0.25">
      <c r="A1441" s="5"/>
      <c r="B1441" s="7"/>
      <c r="C1441" s="5"/>
      <c r="D1441" s="5"/>
      <c r="E1441" s="8"/>
      <c r="F1441" s="9"/>
      <c r="G1441" s="5"/>
      <c r="H1441" s="28" t="str">
        <f>IFERROR(IF(AND(COUNTIF(RegistroPago!$A$1:$A$2000,Consolidado!B1441)&gt;0,INDEX(RegistroPago!$E$1:$E$2000,MATCH(Consolidado!B1441,RegistroPago!$A$1:$A$2000,0))&lt;&gt;""),"PAGADA",IF(I1441&lt;&gt;"","PENDIENTE","SIN EMITIR")),"")</f>
        <v/>
      </c>
      <c r="I1441" s="10"/>
      <c r="J1441" s="2"/>
      <c r="K1441" s="29"/>
      <c r="L1441" s="29"/>
    </row>
    <row r="1442" spans="1:12" ht="15.75" x14ac:dyDescent="0.25">
      <c r="A1442" s="5"/>
      <c r="B1442" s="7"/>
      <c r="C1442" s="5"/>
      <c r="D1442" s="5"/>
      <c r="E1442" s="8"/>
      <c r="F1442" s="9"/>
      <c r="G1442" s="5"/>
      <c r="H1442" s="28" t="str">
        <f>IFERROR(IF(AND(COUNTIF(RegistroPago!$A$1:$A$2000,Consolidado!B1442)&gt;0,INDEX(RegistroPago!$E$1:$E$2000,MATCH(Consolidado!B1442,RegistroPago!$A$1:$A$2000,0))&lt;&gt;""),"PAGADA",IF(I1442&lt;&gt;"","PENDIENTE","SIN EMITIR")),"")</f>
        <v/>
      </c>
      <c r="I1442" s="10"/>
      <c r="J1442" s="2"/>
      <c r="K1442" s="29"/>
      <c r="L1442" s="29"/>
    </row>
    <row r="1443" spans="1:12" ht="15.75" x14ac:dyDescent="0.25">
      <c r="A1443" s="5"/>
      <c r="B1443" s="7"/>
      <c r="C1443" s="5"/>
      <c r="D1443" s="5"/>
      <c r="E1443" s="8"/>
      <c r="F1443" s="9"/>
      <c r="G1443" s="5"/>
      <c r="H1443" s="28" t="str">
        <f>IFERROR(IF(AND(COUNTIF(RegistroPago!$A$1:$A$2000,Consolidado!B1443)&gt;0,INDEX(RegistroPago!$E$1:$E$2000,MATCH(Consolidado!B1443,RegistroPago!$A$1:$A$2000,0))&lt;&gt;""),"PAGADA",IF(I1443&lt;&gt;"","PENDIENTE","SIN EMITIR")),"")</f>
        <v/>
      </c>
      <c r="I1443" s="10"/>
      <c r="J1443" s="2"/>
      <c r="K1443" s="29"/>
      <c r="L1443" s="29"/>
    </row>
    <row r="1444" spans="1:12" ht="15.75" x14ac:dyDescent="0.25">
      <c r="A1444" s="5"/>
      <c r="B1444" s="7"/>
      <c r="C1444" s="5"/>
      <c r="D1444" s="5"/>
      <c r="E1444" s="8"/>
      <c r="F1444" s="9"/>
      <c r="G1444" s="5"/>
      <c r="H1444" s="28" t="str">
        <f>IFERROR(IF(AND(COUNTIF(RegistroPago!$A$1:$A$2000,Consolidado!B1444)&gt;0,INDEX(RegistroPago!$E$1:$E$2000,MATCH(Consolidado!B1444,RegistroPago!$A$1:$A$2000,0))&lt;&gt;""),"PAGADA",IF(I1444&lt;&gt;"","PENDIENTE","SIN EMITIR")),"")</f>
        <v/>
      </c>
      <c r="I1444" s="10"/>
      <c r="J1444" s="2"/>
      <c r="K1444" s="29"/>
      <c r="L1444" s="29"/>
    </row>
    <row r="1445" spans="1:12" ht="15.75" x14ac:dyDescent="0.25">
      <c r="A1445" s="5"/>
      <c r="B1445" s="7"/>
      <c r="C1445" s="5"/>
      <c r="D1445" s="5"/>
      <c r="E1445" s="8"/>
      <c r="F1445" s="9"/>
      <c r="G1445" s="5"/>
      <c r="H1445" s="28" t="str">
        <f>IFERROR(IF(AND(COUNTIF(RegistroPago!$A$1:$A$2000,Consolidado!B1445)&gt;0,INDEX(RegistroPago!$E$1:$E$2000,MATCH(Consolidado!B1445,RegistroPago!$A$1:$A$2000,0))&lt;&gt;""),"PAGADA",IF(I1445&lt;&gt;"","PENDIENTE","SIN EMITIR")),"")</f>
        <v/>
      </c>
      <c r="I1445" s="10"/>
      <c r="J1445" s="2"/>
      <c r="K1445" s="29"/>
      <c r="L1445" s="29"/>
    </row>
    <row r="1446" spans="1:12" ht="15.75" x14ac:dyDescent="0.25">
      <c r="A1446" s="5"/>
      <c r="B1446" s="7"/>
      <c r="C1446" s="5"/>
      <c r="D1446" s="5"/>
      <c r="E1446" s="8"/>
      <c r="F1446" s="9"/>
      <c r="G1446" s="5"/>
      <c r="H1446" s="28" t="str">
        <f>IFERROR(IF(AND(COUNTIF(RegistroPago!$A$1:$A$2000,Consolidado!B1446)&gt;0,INDEX(RegistroPago!$E$1:$E$2000,MATCH(Consolidado!B1446,RegistroPago!$A$1:$A$2000,0))&lt;&gt;""),"PAGADA",IF(I1446&lt;&gt;"","PENDIENTE","SIN EMITIR")),"")</f>
        <v/>
      </c>
      <c r="I1446" s="10"/>
      <c r="J1446" s="2"/>
      <c r="K1446" s="29"/>
      <c r="L1446" s="29"/>
    </row>
    <row r="1447" spans="1:12" ht="15.75" x14ac:dyDescent="0.25">
      <c r="A1447" s="5"/>
      <c r="B1447" s="7"/>
      <c r="C1447" s="5"/>
      <c r="D1447" s="5"/>
      <c r="E1447" s="8"/>
      <c r="F1447" s="9"/>
      <c r="G1447" s="5"/>
      <c r="H1447" s="28" t="str">
        <f>IFERROR(IF(AND(COUNTIF(RegistroPago!$A$1:$A$2000,Consolidado!B1447)&gt;0,INDEX(RegistroPago!$E$1:$E$2000,MATCH(Consolidado!B1447,RegistroPago!$A$1:$A$2000,0))&lt;&gt;""),"PAGADA",IF(I1447&lt;&gt;"","PENDIENTE","SIN EMITIR")),"")</f>
        <v/>
      </c>
      <c r="I1447" s="10"/>
      <c r="J1447" s="2"/>
      <c r="K1447" s="29"/>
      <c r="L1447" s="29"/>
    </row>
    <row r="1448" spans="1:12" ht="15.75" x14ac:dyDescent="0.25">
      <c r="A1448" s="5"/>
      <c r="B1448" s="7"/>
      <c r="C1448" s="5"/>
      <c r="D1448" s="5"/>
      <c r="E1448" s="8"/>
      <c r="F1448" s="9"/>
      <c r="G1448" s="5"/>
      <c r="H1448" s="28" t="str">
        <f>IFERROR(IF(AND(COUNTIF(RegistroPago!$A$1:$A$2000,Consolidado!B1448)&gt;0,INDEX(RegistroPago!$E$1:$E$2000,MATCH(Consolidado!B1448,RegistroPago!$A$1:$A$2000,0))&lt;&gt;""),"PAGADA",IF(I1448&lt;&gt;"","PENDIENTE","SIN EMITIR")),"")</f>
        <v/>
      </c>
      <c r="I1448" s="10"/>
      <c r="J1448" s="2"/>
      <c r="K1448" s="29"/>
      <c r="L1448" s="29"/>
    </row>
    <row r="1449" spans="1:12" ht="15.75" x14ac:dyDescent="0.25">
      <c r="A1449" s="5"/>
      <c r="B1449" s="7"/>
      <c r="C1449" s="5"/>
      <c r="D1449" s="5"/>
      <c r="E1449" s="8"/>
      <c r="F1449" s="9"/>
      <c r="G1449" s="5"/>
      <c r="H1449" s="28" t="str">
        <f>IFERROR(IF(AND(COUNTIF(RegistroPago!$A$1:$A$2000,Consolidado!B1449)&gt;0,INDEX(RegistroPago!$E$1:$E$2000,MATCH(Consolidado!B1449,RegistroPago!$A$1:$A$2000,0))&lt;&gt;""),"PAGADA",IF(I1449&lt;&gt;"","PENDIENTE","SIN EMITIR")),"")</f>
        <v/>
      </c>
      <c r="I1449" s="10"/>
      <c r="J1449" s="2"/>
      <c r="K1449" s="29"/>
      <c r="L1449" s="29"/>
    </row>
    <row r="1450" spans="1:12" ht="15.75" x14ac:dyDescent="0.25">
      <c r="A1450" s="5"/>
      <c r="B1450" s="7"/>
      <c r="C1450" s="5"/>
      <c r="D1450" s="5"/>
      <c r="E1450" s="8"/>
      <c r="F1450" s="9"/>
      <c r="G1450" s="5"/>
      <c r="H1450" s="28" t="str">
        <f>IFERROR(IF(AND(COUNTIF(RegistroPago!$A$1:$A$2000,Consolidado!B1450)&gt;0,INDEX(RegistroPago!$E$1:$E$2000,MATCH(Consolidado!B1450,RegistroPago!$A$1:$A$2000,0))&lt;&gt;""),"PAGADA",IF(I1450&lt;&gt;"","PENDIENTE","SIN EMITIR")),"")</f>
        <v/>
      </c>
      <c r="I1450" s="10"/>
      <c r="J1450" s="2"/>
      <c r="K1450" s="29"/>
      <c r="L1450" s="29"/>
    </row>
    <row r="1451" spans="1:12" ht="15.75" x14ac:dyDescent="0.25">
      <c r="A1451" s="5"/>
      <c r="B1451" s="7"/>
      <c r="C1451" s="5"/>
      <c r="D1451" s="5"/>
      <c r="E1451" s="8"/>
      <c r="F1451" s="9"/>
      <c r="G1451" s="5"/>
      <c r="H1451" s="28" t="str">
        <f>IFERROR(IF(AND(COUNTIF(RegistroPago!$A$1:$A$2000,Consolidado!B1451)&gt;0,INDEX(RegistroPago!$E$1:$E$2000,MATCH(Consolidado!B1451,RegistroPago!$A$1:$A$2000,0))&lt;&gt;""),"PAGADA",IF(I1451&lt;&gt;"","PENDIENTE","SIN EMITIR")),"")</f>
        <v/>
      </c>
      <c r="I1451" s="10"/>
      <c r="J1451" s="2"/>
      <c r="K1451" s="29"/>
      <c r="L1451" s="29"/>
    </row>
    <row r="1452" spans="1:12" ht="15.75" x14ac:dyDescent="0.25">
      <c r="A1452" s="5"/>
      <c r="B1452" s="7"/>
      <c r="C1452" s="5"/>
      <c r="D1452" s="5"/>
      <c r="E1452" s="8"/>
      <c r="F1452" s="9"/>
      <c r="G1452" s="5"/>
      <c r="H1452" s="28" t="str">
        <f>IFERROR(IF(AND(COUNTIF(RegistroPago!$A$1:$A$2000,Consolidado!B1452)&gt;0,INDEX(RegistroPago!$E$1:$E$2000,MATCH(Consolidado!B1452,RegistroPago!$A$1:$A$2000,0))&lt;&gt;""),"PAGADA",IF(I1452&lt;&gt;"","PENDIENTE","SIN EMITIR")),"")</f>
        <v/>
      </c>
      <c r="I1452" s="10"/>
      <c r="J1452" s="2"/>
      <c r="K1452" s="29"/>
      <c r="L1452" s="29"/>
    </row>
    <row r="1453" spans="1:12" ht="15.75" x14ac:dyDescent="0.25">
      <c r="A1453" s="5"/>
      <c r="B1453" s="7"/>
      <c r="C1453" s="5"/>
      <c r="D1453" s="5"/>
      <c r="E1453" s="8"/>
      <c r="F1453" s="9"/>
      <c r="G1453" s="5"/>
      <c r="H1453" s="28" t="str">
        <f>IFERROR(IF(AND(COUNTIF(RegistroPago!$A$1:$A$2000,Consolidado!B1453)&gt;0,INDEX(RegistroPago!$E$1:$E$2000,MATCH(Consolidado!B1453,RegistroPago!$A$1:$A$2000,0))&lt;&gt;""),"PAGADA",IF(I1453&lt;&gt;"","PENDIENTE","SIN EMITIR")),"")</f>
        <v/>
      </c>
      <c r="I1453" s="10"/>
      <c r="J1453" s="2"/>
      <c r="K1453" s="29"/>
      <c r="L1453" s="29"/>
    </row>
    <row r="1454" spans="1:12" ht="15.75" x14ac:dyDescent="0.25">
      <c r="A1454" s="5"/>
      <c r="B1454" s="7"/>
      <c r="C1454" s="5"/>
      <c r="D1454" s="5"/>
      <c r="E1454" s="8"/>
      <c r="F1454" s="9"/>
      <c r="G1454" s="5"/>
      <c r="H1454" s="28" t="str">
        <f>IFERROR(IF(AND(COUNTIF(RegistroPago!$A$1:$A$2000,Consolidado!B1454)&gt;0,INDEX(RegistroPago!$E$1:$E$2000,MATCH(Consolidado!B1454,RegistroPago!$A$1:$A$2000,0))&lt;&gt;""),"PAGADA",IF(I1454&lt;&gt;"","PENDIENTE","SIN EMITIR")),"")</f>
        <v/>
      </c>
      <c r="I1454" s="10"/>
      <c r="J1454" s="2"/>
      <c r="K1454" s="29"/>
      <c r="L1454" s="29"/>
    </row>
    <row r="1455" spans="1:12" ht="15.75" x14ac:dyDescent="0.25">
      <c r="A1455" s="5"/>
      <c r="B1455" s="7"/>
      <c r="C1455" s="5"/>
      <c r="D1455" s="5"/>
      <c r="E1455" s="8"/>
      <c r="F1455" s="9"/>
      <c r="G1455" s="5"/>
      <c r="H1455" s="28" t="str">
        <f>IFERROR(IF(AND(COUNTIF(RegistroPago!$A$1:$A$2000,Consolidado!B1455)&gt;0,INDEX(RegistroPago!$E$1:$E$2000,MATCH(Consolidado!B1455,RegistroPago!$A$1:$A$2000,0))&lt;&gt;""),"PAGADA",IF(I1455&lt;&gt;"","PENDIENTE","SIN EMITIR")),"")</f>
        <v/>
      </c>
      <c r="I1455" s="10"/>
      <c r="J1455" s="2"/>
      <c r="K1455" s="29"/>
      <c r="L1455" s="29"/>
    </row>
    <row r="1456" spans="1:12" ht="15.75" x14ac:dyDescent="0.25">
      <c r="A1456" s="5"/>
      <c r="B1456" s="7"/>
      <c r="C1456" s="5"/>
      <c r="D1456" s="5"/>
      <c r="E1456" s="8"/>
      <c r="F1456" s="9"/>
      <c r="G1456" s="5"/>
      <c r="H1456" s="28" t="str">
        <f>IFERROR(IF(AND(COUNTIF(RegistroPago!$A$1:$A$2000,Consolidado!B1456)&gt;0,INDEX(RegistroPago!$E$1:$E$2000,MATCH(Consolidado!B1456,RegistroPago!$A$1:$A$2000,0))&lt;&gt;""),"PAGADA",IF(I1456&lt;&gt;"","PENDIENTE","SIN EMITIR")),"")</f>
        <v/>
      </c>
      <c r="I1456" s="10"/>
      <c r="J1456" s="2"/>
      <c r="K1456" s="29"/>
      <c r="L1456" s="29"/>
    </row>
    <row r="1457" spans="1:12" ht="15.75" x14ac:dyDescent="0.25">
      <c r="A1457" s="5"/>
      <c r="B1457" s="7"/>
      <c r="C1457" s="5"/>
      <c r="D1457" s="5"/>
      <c r="E1457" s="8"/>
      <c r="F1457" s="9"/>
      <c r="G1457" s="5"/>
      <c r="H1457" s="28" t="str">
        <f>IFERROR(IF(AND(COUNTIF(RegistroPago!$A$1:$A$2000,Consolidado!B1457)&gt;0,INDEX(RegistroPago!$E$1:$E$2000,MATCH(Consolidado!B1457,RegistroPago!$A$1:$A$2000,0))&lt;&gt;""),"PAGADA",IF(I1457&lt;&gt;"","PENDIENTE","SIN EMITIR")),"")</f>
        <v/>
      </c>
      <c r="I1457" s="10"/>
      <c r="J1457" s="2"/>
      <c r="K1457" s="29"/>
      <c r="L1457" s="29"/>
    </row>
    <row r="1458" spans="1:12" ht="15.75" x14ac:dyDescent="0.25">
      <c r="A1458" s="5"/>
      <c r="B1458" s="7"/>
      <c r="C1458" s="5"/>
      <c r="D1458" s="5"/>
      <c r="E1458" s="8"/>
      <c r="F1458" s="9"/>
      <c r="G1458" s="5"/>
      <c r="H1458" s="28" t="str">
        <f>IFERROR(IF(AND(COUNTIF(RegistroPago!$A$1:$A$2000,Consolidado!B1458)&gt;0,INDEX(RegistroPago!$E$1:$E$2000,MATCH(Consolidado!B1458,RegistroPago!$A$1:$A$2000,0))&lt;&gt;""),"PAGADA",IF(I1458&lt;&gt;"","PENDIENTE","SIN EMITIR")),"")</f>
        <v/>
      </c>
      <c r="I1458" s="10"/>
      <c r="J1458" s="2"/>
      <c r="K1458" s="29"/>
      <c r="L1458" s="29"/>
    </row>
    <row r="1459" spans="1:12" ht="15.75" x14ac:dyDescent="0.25">
      <c r="A1459" s="5"/>
      <c r="B1459" s="7"/>
      <c r="C1459" s="5"/>
      <c r="D1459" s="5"/>
      <c r="E1459" s="8"/>
      <c r="F1459" s="9"/>
      <c r="G1459" s="5"/>
      <c r="H1459" s="28" t="str">
        <f>IFERROR(IF(AND(COUNTIF(RegistroPago!$A$1:$A$2000,Consolidado!B1459)&gt;0,INDEX(RegistroPago!$E$1:$E$2000,MATCH(Consolidado!B1459,RegistroPago!$A$1:$A$2000,0))&lt;&gt;""),"PAGADA",IF(I1459&lt;&gt;"","PENDIENTE","SIN EMITIR")),"")</f>
        <v/>
      </c>
      <c r="I1459" s="10"/>
      <c r="J1459" s="2"/>
      <c r="K1459" s="29"/>
      <c r="L1459" s="29"/>
    </row>
    <row r="1460" spans="1:12" ht="15.75" x14ac:dyDescent="0.25">
      <c r="A1460" s="5"/>
      <c r="B1460" s="7"/>
      <c r="C1460" s="5"/>
      <c r="D1460" s="5"/>
      <c r="E1460" s="8"/>
      <c r="F1460" s="9"/>
      <c r="G1460" s="5"/>
      <c r="H1460" s="28" t="str">
        <f>IFERROR(IF(AND(COUNTIF(RegistroPago!$A$1:$A$2000,Consolidado!B1460)&gt;0,INDEX(RegistroPago!$E$1:$E$2000,MATCH(Consolidado!B1460,RegistroPago!$A$1:$A$2000,0))&lt;&gt;""),"PAGADA",IF(I1460&lt;&gt;"","PENDIENTE","SIN EMITIR")),"")</f>
        <v/>
      </c>
      <c r="I1460" s="10"/>
      <c r="J1460" s="2"/>
      <c r="K1460" s="29"/>
      <c r="L1460" s="29"/>
    </row>
    <row r="1461" spans="1:12" ht="15.75" x14ac:dyDescent="0.25">
      <c r="A1461" s="5"/>
      <c r="B1461" s="7"/>
      <c r="C1461" s="5"/>
      <c r="D1461" s="5"/>
      <c r="E1461" s="8"/>
      <c r="F1461" s="9"/>
      <c r="G1461" s="5"/>
      <c r="H1461" s="28" t="str">
        <f>IFERROR(IF(AND(COUNTIF(RegistroPago!$A$1:$A$2000,Consolidado!B1461)&gt;0,INDEX(RegistroPago!$E$1:$E$2000,MATCH(Consolidado!B1461,RegistroPago!$A$1:$A$2000,0))&lt;&gt;""),"PAGADA",IF(I1461&lt;&gt;"","PENDIENTE","SIN EMITIR")),"")</f>
        <v/>
      </c>
      <c r="I1461" s="10"/>
      <c r="J1461" s="2"/>
      <c r="K1461" s="29"/>
      <c r="L1461" s="29"/>
    </row>
    <row r="1462" spans="1:12" ht="15.75" x14ac:dyDescent="0.25">
      <c r="A1462" s="5"/>
      <c r="B1462" s="7"/>
      <c r="C1462" s="5"/>
      <c r="D1462" s="5"/>
      <c r="E1462" s="8"/>
      <c r="F1462" s="9"/>
      <c r="G1462" s="5"/>
      <c r="H1462" s="28" t="str">
        <f>IFERROR(IF(AND(COUNTIF(RegistroPago!$A$1:$A$2000,Consolidado!B1462)&gt;0,INDEX(RegistroPago!$E$1:$E$2000,MATCH(Consolidado!B1462,RegistroPago!$A$1:$A$2000,0))&lt;&gt;""),"PAGADA",IF(I1462&lt;&gt;"","PENDIENTE","SIN EMITIR")),"")</f>
        <v/>
      </c>
      <c r="I1462" s="10"/>
      <c r="J1462" s="2"/>
      <c r="K1462" s="29"/>
      <c r="L1462" s="29"/>
    </row>
    <row r="1463" spans="1:12" ht="15.75" x14ac:dyDescent="0.25">
      <c r="A1463" s="5"/>
      <c r="B1463" s="7"/>
      <c r="C1463" s="5"/>
      <c r="D1463" s="5"/>
      <c r="E1463" s="8"/>
      <c r="F1463" s="9"/>
      <c r="G1463" s="5"/>
      <c r="H1463" s="28" t="str">
        <f>IFERROR(IF(AND(COUNTIF(RegistroPago!$A$1:$A$2000,Consolidado!B1463)&gt;0,INDEX(RegistroPago!$E$1:$E$2000,MATCH(Consolidado!B1463,RegistroPago!$A$1:$A$2000,0))&lt;&gt;""),"PAGADA",IF(I1463&lt;&gt;"","PENDIENTE","SIN EMITIR")),"")</f>
        <v/>
      </c>
      <c r="I1463" s="10"/>
      <c r="J1463" s="2"/>
      <c r="K1463" s="29"/>
      <c r="L1463" s="29"/>
    </row>
    <row r="1464" spans="1:12" ht="15.75" x14ac:dyDescent="0.25">
      <c r="A1464" s="5"/>
      <c r="B1464" s="7"/>
      <c r="C1464" s="5"/>
      <c r="D1464" s="5"/>
      <c r="E1464" s="8"/>
      <c r="F1464" s="9"/>
      <c r="G1464" s="5"/>
      <c r="H1464" s="28" t="str">
        <f>IFERROR(IF(AND(COUNTIF(RegistroPago!$A$1:$A$2000,Consolidado!B1464)&gt;0,INDEX(RegistroPago!$E$1:$E$2000,MATCH(Consolidado!B1464,RegistroPago!$A$1:$A$2000,0))&lt;&gt;""),"PAGADA",IF(I1464&lt;&gt;"","PENDIENTE","SIN EMITIR")),"")</f>
        <v/>
      </c>
      <c r="I1464" s="10"/>
      <c r="J1464" s="2"/>
      <c r="K1464" s="29"/>
      <c r="L1464" s="29"/>
    </row>
    <row r="1465" spans="1:12" ht="15.75" x14ac:dyDescent="0.25">
      <c r="A1465" s="5"/>
      <c r="B1465" s="7"/>
      <c r="C1465" s="5"/>
      <c r="D1465" s="5"/>
      <c r="E1465" s="8"/>
      <c r="F1465" s="9"/>
      <c r="G1465" s="5"/>
      <c r="H1465" s="28" t="str">
        <f>IFERROR(IF(AND(COUNTIF(RegistroPago!$A$1:$A$2000,Consolidado!B1465)&gt;0,INDEX(RegistroPago!$E$1:$E$2000,MATCH(Consolidado!B1465,RegistroPago!$A$1:$A$2000,0))&lt;&gt;""),"PAGADA",IF(I1465&lt;&gt;"","PENDIENTE","SIN EMITIR")),"")</f>
        <v/>
      </c>
      <c r="I1465" s="10"/>
      <c r="J1465" s="2"/>
      <c r="K1465" s="29"/>
      <c r="L1465" s="29"/>
    </row>
    <row r="1466" spans="1:12" ht="15.75" x14ac:dyDescent="0.25">
      <c r="A1466" s="5"/>
      <c r="B1466" s="7"/>
      <c r="C1466" s="5"/>
      <c r="D1466" s="5"/>
      <c r="E1466" s="8"/>
      <c r="F1466" s="9"/>
      <c r="G1466" s="5"/>
      <c r="H1466" s="28" t="str">
        <f>IFERROR(IF(AND(COUNTIF(RegistroPago!$A$1:$A$2000,Consolidado!B1466)&gt;0,INDEX(RegistroPago!$E$1:$E$2000,MATCH(Consolidado!B1466,RegistroPago!$A$1:$A$2000,0))&lt;&gt;""),"PAGADA",IF(I1466&lt;&gt;"","PENDIENTE","SIN EMITIR")),"")</f>
        <v/>
      </c>
      <c r="I1466" s="10"/>
      <c r="J1466" s="2"/>
      <c r="K1466" s="29"/>
      <c r="L1466" s="29"/>
    </row>
    <row r="1467" spans="1:12" ht="15.75" x14ac:dyDescent="0.25">
      <c r="A1467" s="5"/>
      <c r="B1467" s="7"/>
      <c r="C1467" s="5"/>
      <c r="D1467" s="5"/>
      <c r="E1467" s="8"/>
      <c r="F1467" s="9"/>
      <c r="G1467" s="5"/>
      <c r="H1467" s="28" t="str">
        <f>IFERROR(IF(AND(COUNTIF(RegistroPago!$A$1:$A$2000,Consolidado!B1467)&gt;0,INDEX(RegistroPago!$E$1:$E$2000,MATCH(Consolidado!B1467,RegistroPago!$A$1:$A$2000,0))&lt;&gt;""),"PAGADA",IF(I1467&lt;&gt;"","PENDIENTE","SIN EMITIR")),"")</f>
        <v/>
      </c>
      <c r="I1467" s="10"/>
      <c r="J1467" s="2"/>
      <c r="K1467" s="29"/>
      <c r="L1467" s="29"/>
    </row>
    <row r="1468" spans="1:12" ht="15.75" x14ac:dyDescent="0.25">
      <c r="A1468" s="5"/>
      <c r="B1468" s="7"/>
      <c r="C1468" s="5"/>
      <c r="D1468" s="5"/>
      <c r="E1468" s="8"/>
      <c r="F1468" s="9"/>
      <c r="G1468" s="5"/>
      <c r="H1468" s="28" t="str">
        <f>IFERROR(IF(AND(COUNTIF(RegistroPago!$A$1:$A$2000,Consolidado!B1468)&gt;0,INDEX(RegistroPago!$E$1:$E$2000,MATCH(Consolidado!B1468,RegistroPago!$A$1:$A$2000,0))&lt;&gt;""),"PAGADA",IF(I1468&lt;&gt;"","PENDIENTE","SIN EMITIR")),"")</f>
        <v/>
      </c>
      <c r="I1468" s="10"/>
      <c r="J1468" s="2"/>
      <c r="K1468" s="29"/>
      <c r="L1468" s="29"/>
    </row>
    <row r="1469" spans="1:12" ht="15.75" x14ac:dyDescent="0.25">
      <c r="A1469" s="5"/>
      <c r="B1469" s="7"/>
      <c r="C1469" s="5"/>
      <c r="D1469" s="5"/>
      <c r="E1469" s="8"/>
      <c r="F1469" s="9"/>
      <c r="G1469" s="5"/>
      <c r="H1469" s="28" t="str">
        <f>IFERROR(IF(AND(COUNTIF(RegistroPago!$A$1:$A$2000,Consolidado!B1469)&gt;0,INDEX(RegistroPago!$E$1:$E$2000,MATCH(Consolidado!B1469,RegistroPago!$A$1:$A$2000,0))&lt;&gt;""),"PAGADA",IF(I1469&lt;&gt;"","PENDIENTE","SIN EMITIR")),"")</f>
        <v/>
      </c>
      <c r="I1469" s="10"/>
      <c r="J1469" s="2"/>
      <c r="K1469" s="29"/>
      <c r="L1469" s="29"/>
    </row>
    <row r="1470" spans="1:12" ht="15.75" x14ac:dyDescent="0.25">
      <c r="A1470" s="5"/>
      <c r="B1470" s="7"/>
      <c r="C1470" s="5"/>
      <c r="D1470" s="5"/>
      <c r="E1470" s="8"/>
      <c r="F1470" s="9"/>
      <c r="G1470" s="5"/>
      <c r="H1470" s="28" t="str">
        <f>IFERROR(IF(AND(COUNTIF(RegistroPago!$A$1:$A$2000,Consolidado!B1470)&gt;0,INDEX(RegistroPago!$E$1:$E$2000,MATCH(Consolidado!B1470,RegistroPago!$A$1:$A$2000,0))&lt;&gt;""),"PAGADA",IF(I1470&lt;&gt;"","PENDIENTE","SIN EMITIR")),"")</f>
        <v/>
      </c>
      <c r="I1470" s="10"/>
      <c r="J1470" s="2"/>
      <c r="K1470" s="29"/>
      <c r="L1470" s="29"/>
    </row>
    <row r="1471" spans="1:12" ht="15.75" x14ac:dyDescent="0.25">
      <c r="A1471" s="5"/>
      <c r="B1471" s="7"/>
      <c r="C1471" s="5"/>
      <c r="D1471" s="5"/>
      <c r="E1471" s="8"/>
      <c r="F1471" s="9"/>
      <c r="G1471" s="5"/>
      <c r="H1471" s="28" t="str">
        <f>IFERROR(IF(AND(COUNTIF(RegistroPago!$A$1:$A$2000,Consolidado!B1471)&gt;0,INDEX(RegistroPago!$E$1:$E$2000,MATCH(Consolidado!B1471,RegistroPago!$A$1:$A$2000,0))&lt;&gt;""),"PAGADA",IF(I1471&lt;&gt;"","PENDIENTE","SIN EMITIR")),"")</f>
        <v/>
      </c>
      <c r="I1471" s="10"/>
      <c r="J1471" s="2"/>
      <c r="K1471" s="29"/>
      <c r="L1471" s="29"/>
    </row>
    <row r="1472" spans="1:12" ht="15.75" x14ac:dyDescent="0.25">
      <c r="A1472" s="5"/>
      <c r="B1472" s="7"/>
      <c r="C1472" s="5"/>
      <c r="D1472" s="5"/>
      <c r="E1472" s="8"/>
      <c r="F1472" s="9"/>
      <c r="G1472" s="5"/>
      <c r="H1472" s="28" t="str">
        <f>IFERROR(IF(AND(COUNTIF(RegistroPago!$A$1:$A$2000,Consolidado!B1472)&gt;0,INDEX(RegistroPago!$E$1:$E$2000,MATCH(Consolidado!B1472,RegistroPago!$A$1:$A$2000,0))&lt;&gt;""),"PAGADA",IF(I1472&lt;&gt;"","PENDIENTE","SIN EMITIR")),"")</f>
        <v/>
      </c>
      <c r="I1472" s="10"/>
      <c r="J1472" s="2"/>
      <c r="K1472" s="29"/>
      <c r="L1472" s="29"/>
    </row>
    <row r="1473" spans="1:12" ht="15.75" x14ac:dyDescent="0.25">
      <c r="A1473" s="5"/>
      <c r="B1473" s="7"/>
      <c r="C1473" s="5"/>
      <c r="D1473" s="5"/>
      <c r="E1473" s="8"/>
      <c r="F1473" s="9"/>
      <c r="G1473" s="5"/>
      <c r="H1473" s="28" t="str">
        <f>IFERROR(IF(AND(COUNTIF(RegistroPago!$A$1:$A$2000,Consolidado!B1473)&gt;0,INDEX(RegistroPago!$E$1:$E$2000,MATCH(Consolidado!B1473,RegistroPago!$A$1:$A$2000,0))&lt;&gt;""),"PAGADA",IF(I1473&lt;&gt;"","PENDIENTE","SIN EMITIR")),"")</f>
        <v/>
      </c>
      <c r="I1473" s="10"/>
      <c r="J1473" s="2"/>
      <c r="K1473" s="29"/>
      <c r="L1473" s="29"/>
    </row>
    <row r="1474" spans="1:12" ht="15.75" x14ac:dyDescent="0.25">
      <c r="A1474" s="5"/>
      <c r="B1474" s="7"/>
      <c r="C1474" s="5"/>
      <c r="D1474" s="5"/>
      <c r="E1474" s="8"/>
      <c r="F1474" s="9"/>
      <c r="G1474" s="5"/>
      <c r="H1474" s="28" t="str">
        <f>IFERROR(IF(AND(COUNTIF(RegistroPago!$A$1:$A$2000,Consolidado!B1474)&gt;0,INDEX(RegistroPago!$E$1:$E$2000,MATCH(Consolidado!B1474,RegistroPago!$A$1:$A$2000,0))&lt;&gt;""),"PAGADA",IF(I1474&lt;&gt;"","PENDIENTE","SIN EMITIR")),"")</f>
        <v/>
      </c>
      <c r="I1474" s="10"/>
      <c r="J1474" s="2"/>
      <c r="K1474" s="29"/>
      <c r="L1474" s="29"/>
    </row>
    <row r="1475" spans="1:12" ht="15.75" x14ac:dyDescent="0.25">
      <c r="A1475" s="5"/>
      <c r="B1475" s="7"/>
      <c r="C1475" s="5"/>
      <c r="D1475" s="5"/>
      <c r="E1475" s="8"/>
      <c r="F1475" s="9"/>
      <c r="G1475" s="5"/>
      <c r="H1475" s="28" t="str">
        <f>IFERROR(IF(AND(COUNTIF(RegistroPago!$A$1:$A$2000,Consolidado!B1475)&gt;0,INDEX(RegistroPago!$E$1:$E$2000,MATCH(Consolidado!B1475,RegistroPago!$A$1:$A$2000,0))&lt;&gt;""),"PAGADA",IF(I1475&lt;&gt;"","PENDIENTE","SIN EMITIR")),"")</f>
        <v/>
      </c>
      <c r="I1475" s="10"/>
      <c r="J1475" s="2"/>
      <c r="K1475" s="29"/>
      <c r="L1475" s="29"/>
    </row>
    <row r="1476" spans="1:12" ht="15.75" x14ac:dyDescent="0.25">
      <c r="A1476" s="5"/>
      <c r="B1476" s="7"/>
      <c r="C1476" s="5"/>
      <c r="D1476" s="5"/>
      <c r="E1476" s="8"/>
      <c r="F1476" s="9"/>
      <c r="G1476" s="5"/>
      <c r="H1476" s="28" t="str">
        <f>IFERROR(IF(AND(COUNTIF(RegistroPago!$A$1:$A$2000,Consolidado!B1476)&gt;0,INDEX(RegistroPago!$E$1:$E$2000,MATCH(Consolidado!B1476,RegistroPago!$A$1:$A$2000,0))&lt;&gt;""),"PAGADA",IF(I1476&lt;&gt;"","PENDIENTE","SIN EMITIR")),"")</f>
        <v/>
      </c>
      <c r="I1476" s="10"/>
      <c r="J1476" s="2"/>
      <c r="K1476" s="29"/>
      <c r="L1476" s="29"/>
    </row>
    <row r="1477" spans="1:12" ht="15.75" x14ac:dyDescent="0.25">
      <c r="A1477" s="5"/>
      <c r="B1477" s="7"/>
      <c r="C1477" s="5"/>
      <c r="D1477" s="5"/>
      <c r="E1477" s="8"/>
      <c r="F1477" s="9"/>
      <c r="G1477" s="5"/>
      <c r="H1477" s="28" t="str">
        <f>IFERROR(IF(AND(COUNTIF(RegistroPago!$A$1:$A$2000,Consolidado!B1477)&gt;0,INDEX(RegistroPago!$E$1:$E$2000,MATCH(Consolidado!B1477,RegistroPago!$A$1:$A$2000,0))&lt;&gt;""),"PAGADA",IF(I1477&lt;&gt;"","PENDIENTE","SIN EMITIR")),"")</f>
        <v/>
      </c>
      <c r="I1477" s="10"/>
      <c r="J1477" s="2"/>
      <c r="K1477" s="29"/>
      <c r="L1477" s="29"/>
    </row>
    <row r="1478" spans="1:12" ht="15.75" x14ac:dyDescent="0.25">
      <c r="A1478" s="5"/>
      <c r="B1478" s="7"/>
      <c r="C1478" s="5"/>
      <c r="D1478" s="5"/>
      <c r="E1478" s="8"/>
      <c r="F1478" s="9"/>
      <c r="G1478" s="5"/>
      <c r="H1478" s="28" t="str">
        <f>IFERROR(IF(AND(COUNTIF(RegistroPago!$A$1:$A$2000,Consolidado!B1478)&gt;0,INDEX(RegistroPago!$E$1:$E$2000,MATCH(Consolidado!B1478,RegistroPago!$A$1:$A$2000,0))&lt;&gt;""),"PAGADA",IF(I1478&lt;&gt;"","PENDIENTE","SIN EMITIR")),"")</f>
        <v/>
      </c>
      <c r="I1478" s="10"/>
      <c r="J1478" s="2"/>
      <c r="K1478" s="29"/>
      <c r="L1478" s="29"/>
    </row>
    <row r="1479" spans="1:12" ht="15.75" x14ac:dyDescent="0.25">
      <c r="A1479" s="5"/>
      <c r="B1479" s="7"/>
      <c r="C1479" s="5"/>
      <c r="D1479" s="5"/>
      <c r="E1479" s="8"/>
      <c r="F1479" s="9"/>
      <c r="G1479" s="5"/>
      <c r="H1479" s="28" t="str">
        <f>IFERROR(IF(AND(COUNTIF(RegistroPago!$A$1:$A$2000,Consolidado!B1479)&gt;0,INDEX(RegistroPago!$E$1:$E$2000,MATCH(Consolidado!B1479,RegistroPago!$A$1:$A$2000,0))&lt;&gt;""),"PAGADA",IF(I1479&lt;&gt;"","PENDIENTE","SIN EMITIR")),"")</f>
        <v/>
      </c>
      <c r="I1479" s="10"/>
      <c r="J1479" s="2"/>
      <c r="K1479" s="29"/>
      <c r="L1479" s="29"/>
    </row>
    <row r="1480" spans="1:12" ht="15.75" x14ac:dyDescent="0.25">
      <c r="A1480" s="5"/>
      <c r="B1480" s="7"/>
      <c r="C1480" s="5"/>
      <c r="D1480" s="5"/>
      <c r="E1480" s="8"/>
      <c r="F1480" s="9"/>
      <c r="G1480" s="5"/>
      <c r="H1480" s="28" t="str">
        <f>IFERROR(IF(AND(COUNTIF(RegistroPago!$A$1:$A$2000,Consolidado!B1480)&gt;0,INDEX(RegistroPago!$E$1:$E$2000,MATCH(Consolidado!B1480,RegistroPago!$A$1:$A$2000,0))&lt;&gt;""),"PAGADA",IF(I1480&lt;&gt;"","PENDIENTE","SIN EMITIR")),"")</f>
        <v/>
      </c>
      <c r="I1480" s="10"/>
      <c r="J1480" s="2"/>
      <c r="K1480" s="29"/>
      <c r="L1480" s="29"/>
    </row>
    <row r="1481" spans="1:12" ht="15.75" x14ac:dyDescent="0.25">
      <c r="A1481" s="5"/>
      <c r="B1481" s="7"/>
      <c r="C1481" s="5"/>
      <c r="D1481" s="5"/>
      <c r="E1481" s="8"/>
      <c r="F1481" s="9"/>
      <c r="G1481" s="5"/>
      <c r="H1481" s="28" t="str">
        <f>IFERROR(IF(AND(COUNTIF(RegistroPago!$A$1:$A$2000,Consolidado!B1481)&gt;0,INDEX(RegistroPago!$E$1:$E$2000,MATCH(Consolidado!B1481,RegistroPago!$A$1:$A$2000,0))&lt;&gt;""),"PAGADA",IF(I1481&lt;&gt;"","PENDIENTE","SIN EMITIR")),"")</f>
        <v/>
      </c>
      <c r="I1481" s="10"/>
      <c r="J1481" s="2"/>
      <c r="K1481" s="29"/>
      <c r="L1481" s="29"/>
    </row>
    <row r="1482" spans="1:12" ht="15.75" x14ac:dyDescent="0.25">
      <c r="A1482" s="5"/>
      <c r="B1482" s="7"/>
      <c r="C1482" s="5"/>
      <c r="D1482" s="5"/>
      <c r="E1482" s="8"/>
      <c r="F1482" s="9"/>
      <c r="G1482" s="5"/>
      <c r="H1482" s="28" t="str">
        <f>IFERROR(IF(AND(COUNTIF(RegistroPago!$A$1:$A$2000,Consolidado!B1482)&gt;0,INDEX(RegistroPago!$E$1:$E$2000,MATCH(Consolidado!B1482,RegistroPago!$A$1:$A$2000,0))&lt;&gt;""),"PAGADA",IF(I1482&lt;&gt;"","PENDIENTE","SIN EMITIR")),"")</f>
        <v/>
      </c>
      <c r="I1482" s="10"/>
      <c r="J1482" s="2"/>
      <c r="K1482" s="29"/>
      <c r="L1482" s="29"/>
    </row>
    <row r="1483" spans="1:12" ht="15.75" x14ac:dyDescent="0.25">
      <c r="A1483" s="5"/>
      <c r="B1483" s="7"/>
      <c r="C1483" s="5"/>
      <c r="D1483" s="5"/>
      <c r="E1483" s="8"/>
      <c r="F1483" s="9"/>
      <c r="G1483" s="5"/>
      <c r="H1483" s="28" t="str">
        <f>IFERROR(IF(AND(COUNTIF(RegistroPago!$A$1:$A$2000,Consolidado!B1483)&gt;0,INDEX(RegistroPago!$E$1:$E$2000,MATCH(Consolidado!B1483,RegistroPago!$A$1:$A$2000,0))&lt;&gt;""),"PAGADA",IF(I1483&lt;&gt;"","PENDIENTE","SIN EMITIR")),"")</f>
        <v/>
      </c>
      <c r="I1483" s="10"/>
      <c r="J1483" s="2"/>
      <c r="K1483" s="29"/>
      <c r="L1483" s="29"/>
    </row>
    <row r="1484" spans="1:12" ht="15.75" x14ac:dyDescent="0.25">
      <c r="A1484" s="5"/>
      <c r="B1484" s="7"/>
      <c r="C1484" s="5"/>
      <c r="D1484" s="5"/>
      <c r="E1484" s="8"/>
      <c r="F1484" s="9"/>
      <c r="G1484" s="5"/>
      <c r="H1484" s="28" t="str">
        <f>IFERROR(IF(AND(COUNTIF(RegistroPago!$A$1:$A$2000,Consolidado!B1484)&gt;0,INDEX(RegistroPago!$E$1:$E$2000,MATCH(Consolidado!B1484,RegistroPago!$A$1:$A$2000,0))&lt;&gt;""),"PAGADA",IF(I1484&lt;&gt;"","PENDIENTE","SIN EMITIR")),"")</f>
        <v/>
      </c>
      <c r="I1484" s="10"/>
      <c r="J1484" s="2"/>
      <c r="K1484" s="29"/>
      <c r="L1484" s="29"/>
    </row>
    <row r="1485" spans="1:12" ht="15.75" x14ac:dyDescent="0.25">
      <c r="A1485" s="5"/>
      <c r="B1485" s="7"/>
      <c r="C1485" s="5"/>
      <c r="D1485" s="5"/>
      <c r="E1485" s="8"/>
      <c r="F1485" s="9"/>
      <c r="G1485" s="5"/>
      <c r="H1485" s="28" t="str">
        <f>IFERROR(IF(AND(COUNTIF(RegistroPago!$A$1:$A$2000,Consolidado!B1485)&gt;0,INDEX(RegistroPago!$E$1:$E$2000,MATCH(Consolidado!B1485,RegistroPago!$A$1:$A$2000,0))&lt;&gt;""),"PAGADA",IF(I1485&lt;&gt;"","PENDIENTE","SIN EMITIR")),"")</f>
        <v/>
      </c>
      <c r="I1485" s="10"/>
      <c r="J1485" s="2"/>
      <c r="K1485" s="29"/>
      <c r="L1485" s="29"/>
    </row>
    <row r="1486" spans="1:12" ht="15.75" x14ac:dyDescent="0.25">
      <c r="A1486" s="5"/>
      <c r="B1486" s="7"/>
      <c r="C1486" s="5"/>
      <c r="D1486" s="5"/>
      <c r="E1486" s="8"/>
      <c r="F1486" s="9"/>
      <c r="G1486" s="5"/>
      <c r="H1486" s="28" t="str">
        <f>IFERROR(IF(AND(COUNTIF(RegistroPago!$A$1:$A$2000,Consolidado!B1486)&gt;0,INDEX(RegistroPago!$E$1:$E$2000,MATCH(Consolidado!B1486,RegistroPago!$A$1:$A$2000,0))&lt;&gt;""),"PAGADA",IF(I1486&lt;&gt;"","PENDIENTE","SIN EMITIR")),"")</f>
        <v/>
      </c>
      <c r="I1486" s="10"/>
      <c r="J1486" s="2"/>
      <c r="K1486" s="29"/>
      <c r="L1486" s="29"/>
    </row>
    <row r="1487" spans="1:12" ht="15.75" x14ac:dyDescent="0.25">
      <c r="A1487" s="5"/>
      <c r="B1487" s="7"/>
      <c r="C1487" s="5"/>
      <c r="D1487" s="5"/>
      <c r="E1487" s="8"/>
      <c r="F1487" s="9"/>
      <c r="G1487" s="5"/>
      <c r="H1487" s="28" t="str">
        <f>IFERROR(IF(AND(COUNTIF(RegistroPago!$A$1:$A$2000,Consolidado!B1487)&gt;0,INDEX(RegistroPago!$E$1:$E$2000,MATCH(Consolidado!B1487,RegistroPago!$A$1:$A$2000,0))&lt;&gt;""),"PAGADA",IF(I1487&lt;&gt;"","PENDIENTE","SIN EMITIR")),"")</f>
        <v/>
      </c>
      <c r="I1487" s="10"/>
      <c r="J1487" s="2"/>
      <c r="K1487" s="29"/>
      <c r="L1487" s="29"/>
    </row>
    <row r="1488" spans="1:12" ht="15.75" x14ac:dyDescent="0.25">
      <c r="A1488" s="5"/>
      <c r="B1488" s="7"/>
      <c r="C1488" s="5"/>
      <c r="D1488" s="5"/>
      <c r="E1488" s="8"/>
      <c r="F1488" s="9"/>
      <c r="G1488" s="5"/>
      <c r="H1488" s="28" t="str">
        <f>IFERROR(IF(AND(COUNTIF(RegistroPago!$A$1:$A$2000,Consolidado!B1488)&gt;0,INDEX(RegistroPago!$E$1:$E$2000,MATCH(Consolidado!B1488,RegistroPago!$A$1:$A$2000,0))&lt;&gt;""),"PAGADA",IF(I1488&lt;&gt;"","PENDIENTE","SIN EMITIR")),"")</f>
        <v/>
      </c>
      <c r="I1488" s="10"/>
      <c r="J1488" s="2"/>
      <c r="K1488" s="29"/>
      <c r="L1488" s="29"/>
    </row>
    <row r="1489" spans="1:12" ht="15.75" x14ac:dyDescent="0.25">
      <c r="A1489" s="5"/>
      <c r="B1489" s="7"/>
      <c r="C1489" s="5"/>
      <c r="D1489" s="5"/>
      <c r="E1489" s="8"/>
      <c r="F1489" s="9"/>
      <c r="G1489" s="5"/>
      <c r="H1489" s="28" t="str">
        <f>IFERROR(IF(AND(COUNTIF(RegistroPago!$A$1:$A$2000,Consolidado!B1489)&gt;0,INDEX(RegistroPago!$E$1:$E$2000,MATCH(Consolidado!B1489,RegistroPago!$A$1:$A$2000,0))&lt;&gt;""),"PAGADA",IF(I1489&lt;&gt;"","PENDIENTE","SIN EMITIR")),"")</f>
        <v/>
      </c>
      <c r="I1489" s="10"/>
      <c r="J1489" s="2"/>
      <c r="K1489" s="29"/>
      <c r="L1489" s="29"/>
    </row>
    <row r="1490" spans="1:12" ht="15.75" x14ac:dyDescent="0.25">
      <c r="A1490" s="5"/>
      <c r="B1490" s="7"/>
      <c r="C1490" s="5"/>
      <c r="D1490" s="5"/>
      <c r="E1490" s="8"/>
      <c r="F1490" s="9"/>
      <c r="G1490" s="5"/>
      <c r="H1490" s="28" t="str">
        <f>IFERROR(IF(AND(COUNTIF(RegistroPago!$A$1:$A$2000,Consolidado!B1490)&gt;0,INDEX(RegistroPago!$E$1:$E$2000,MATCH(Consolidado!B1490,RegistroPago!$A$1:$A$2000,0))&lt;&gt;""),"PAGADA",IF(I1490&lt;&gt;"","PENDIENTE","SIN EMITIR")),"")</f>
        <v/>
      </c>
      <c r="I1490" s="10"/>
      <c r="J1490" s="2"/>
      <c r="K1490" s="29"/>
      <c r="L1490" s="29"/>
    </row>
    <row r="1491" spans="1:12" ht="15.75" x14ac:dyDescent="0.25">
      <c r="A1491" s="5"/>
      <c r="B1491" s="7"/>
      <c r="C1491" s="5"/>
      <c r="D1491" s="5"/>
      <c r="E1491" s="8"/>
      <c r="F1491" s="9"/>
      <c r="G1491" s="5"/>
      <c r="H1491" s="28" t="str">
        <f>IFERROR(IF(AND(COUNTIF(RegistroPago!$A$1:$A$2000,Consolidado!B1491)&gt;0,INDEX(RegistroPago!$E$1:$E$2000,MATCH(Consolidado!B1491,RegistroPago!$A$1:$A$2000,0))&lt;&gt;""),"PAGADA",IF(I1491&lt;&gt;"","PENDIENTE","SIN EMITIR")),"")</f>
        <v/>
      </c>
      <c r="I1491" s="10"/>
      <c r="J1491" s="2"/>
      <c r="K1491" s="29"/>
      <c r="L1491" s="29"/>
    </row>
    <row r="1492" spans="1:12" ht="15.75" x14ac:dyDescent="0.25">
      <c r="A1492" s="5"/>
      <c r="B1492" s="7"/>
      <c r="C1492" s="5"/>
      <c r="D1492" s="5"/>
      <c r="E1492" s="8"/>
      <c r="F1492" s="9"/>
      <c r="G1492" s="5"/>
      <c r="H1492" s="28" t="str">
        <f>IFERROR(IF(AND(COUNTIF(RegistroPago!$A$1:$A$2000,Consolidado!B1492)&gt;0,INDEX(RegistroPago!$E$1:$E$2000,MATCH(Consolidado!B1492,RegistroPago!$A$1:$A$2000,0))&lt;&gt;""),"PAGADA",IF(I1492&lt;&gt;"","PENDIENTE","SIN EMITIR")),"")</f>
        <v/>
      </c>
      <c r="I1492" s="10"/>
      <c r="J1492" s="2"/>
      <c r="K1492" s="29"/>
      <c r="L1492" s="29"/>
    </row>
    <row r="1493" spans="1:12" ht="15.75" x14ac:dyDescent="0.25">
      <c r="A1493" s="5"/>
      <c r="B1493" s="7"/>
      <c r="C1493" s="5"/>
      <c r="D1493" s="5"/>
      <c r="E1493" s="8"/>
      <c r="F1493" s="9"/>
      <c r="G1493" s="5"/>
      <c r="H1493" s="28" t="str">
        <f>IFERROR(IF(AND(COUNTIF(RegistroPago!$A$1:$A$2000,Consolidado!B1493)&gt;0,INDEX(RegistroPago!$E$1:$E$2000,MATCH(Consolidado!B1493,RegistroPago!$A$1:$A$2000,0))&lt;&gt;""),"PAGADA",IF(I1493&lt;&gt;"","PENDIENTE","SIN EMITIR")),"")</f>
        <v/>
      </c>
      <c r="I1493" s="10"/>
      <c r="J1493" s="2"/>
      <c r="K1493" s="29"/>
      <c r="L1493" s="29"/>
    </row>
    <row r="1494" spans="1:12" ht="15.75" x14ac:dyDescent="0.25">
      <c r="A1494" s="5"/>
      <c r="B1494" s="7"/>
      <c r="C1494" s="5"/>
      <c r="D1494" s="5"/>
      <c r="E1494" s="8"/>
      <c r="F1494" s="9"/>
      <c r="G1494" s="5"/>
      <c r="H1494" s="28" t="str">
        <f>IFERROR(IF(AND(COUNTIF(RegistroPago!$A$1:$A$2000,Consolidado!B1494)&gt;0,INDEX(RegistroPago!$E$1:$E$2000,MATCH(Consolidado!B1494,RegistroPago!$A$1:$A$2000,0))&lt;&gt;""),"PAGADA",IF(I1494&lt;&gt;"","PENDIENTE","SIN EMITIR")),"")</f>
        <v/>
      </c>
      <c r="I1494" s="10"/>
      <c r="J1494" s="2"/>
      <c r="K1494" s="29"/>
      <c r="L1494" s="29"/>
    </row>
    <row r="1495" spans="1:12" ht="15.75" x14ac:dyDescent="0.25">
      <c r="A1495" s="5"/>
      <c r="B1495" s="7"/>
      <c r="C1495" s="5"/>
      <c r="D1495" s="5"/>
      <c r="E1495" s="8"/>
      <c r="F1495" s="9"/>
      <c r="G1495" s="5"/>
      <c r="H1495" s="28" t="str">
        <f>IFERROR(IF(AND(COUNTIF(RegistroPago!$A$1:$A$2000,Consolidado!B1495)&gt;0,INDEX(RegistroPago!$E$1:$E$2000,MATCH(Consolidado!B1495,RegistroPago!$A$1:$A$2000,0))&lt;&gt;""),"PAGADA",IF(I1495&lt;&gt;"","PENDIENTE","SIN EMITIR")),"")</f>
        <v/>
      </c>
      <c r="I1495" s="10"/>
      <c r="J1495" s="2"/>
      <c r="K1495" s="29"/>
      <c r="L1495" s="29"/>
    </row>
    <row r="1496" spans="1:12" ht="15.75" x14ac:dyDescent="0.25">
      <c r="A1496" s="5"/>
      <c r="B1496" s="7"/>
      <c r="C1496" s="5"/>
      <c r="D1496" s="5"/>
      <c r="E1496" s="8"/>
      <c r="F1496" s="9"/>
      <c r="G1496" s="5"/>
      <c r="H1496" s="28" t="str">
        <f>IFERROR(IF(AND(COUNTIF(RegistroPago!$A$1:$A$2000,Consolidado!B1496)&gt;0,INDEX(RegistroPago!$E$1:$E$2000,MATCH(Consolidado!B1496,RegistroPago!$A$1:$A$2000,0))&lt;&gt;""),"PAGADA",IF(I1496&lt;&gt;"","PENDIENTE","SIN EMITIR")),"")</f>
        <v/>
      </c>
      <c r="I1496" s="10"/>
      <c r="J1496" s="2"/>
      <c r="K1496" s="29"/>
      <c r="L1496" s="29"/>
    </row>
    <row r="1497" spans="1:12" ht="15.75" x14ac:dyDescent="0.25">
      <c r="A1497" s="5"/>
      <c r="B1497" s="7"/>
      <c r="C1497" s="5"/>
      <c r="D1497" s="5"/>
      <c r="E1497" s="8"/>
      <c r="F1497" s="9"/>
      <c r="G1497" s="5"/>
      <c r="H1497" s="28" t="str">
        <f>IFERROR(IF(AND(COUNTIF(RegistroPago!$A$1:$A$2000,Consolidado!B1497)&gt;0,INDEX(RegistroPago!$E$1:$E$2000,MATCH(Consolidado!B1497,RegistroPago!$A$1:$A$2000,0))&lt;&gt;""),"PAGADA",IF(I1497&lt;&gt;"","PENDIENTE","SIN EMITIR")),"")</f>
        <v/>
      </c>
      <c r="I1497" s="10"/>
      <c r="J1497" s="2"/>
      <c r="K1497" s="29"/>
      <c r="L1497" s="29"/>
    </row>
    <row r="1498" spans="1:12" ht="15.75" x14ac:dyDescent="0.25">
      <c r="A1498" s="5"/>
      <c r="B1498" s="7"/>
      <c r="C1498" s="5"/>
      <c r="D1498" s="5"/>
      <c r="E1498" s="8"/>
      <c r="F1498" s="9"/>
      <c r="G1498" s="5"/>
      <c r="H1498" s="28" t="str">
        <f>IFERROR(IF(AND(COUNTIF(RegistroPago!$A$1:$A$2000,Consolidado!B1498)&gt;0,INDEX(RegistroPago!$E$1:$E$2000,MATCH(Consolidado!B1498,RegistroPago!$A$1:$A$2000,0))&lt;&gt;""),"PAGADA",IF(I1498&lt;&gt;"","PENDIENTE","SIN EMITIR")),"")</f>
        <v/>
      </c>
      <c r="I1498" s="10"/>
      <c r="J1498" s="2"/>
      <c r="K1498" s="29"/>
      <c r="L1498" s="29"/>
    </row>
    <row r="1499" spans="1:12" ht="15.75" x14ac:dyDescent="0.25">
      <c r="A1499" s="5"/>
      <c r="B1499" s="7"/>
      <c r="C1499" s="5"/>
      <c r="D1499" s="5"/>
      <c r="E1499" s="8"/>
      <c r="F1499" s="9"/>
      <c r="G1499" s="5"/>
      <c r="H1499" s="28" t="str">
        <f>IFERROR(IF(AND(COUNTIF(RegistroPago!$A$1:$A$2000,Consolidado!B1499)&gt;0,INDEX(RegistroPago!$E$1:$E$2000,MATCH(Consolidado!B1499,RegistroPago!$A$1:$A$2000,0))&lt;&gt;""),"PAGADA",IF(I1499&lt;&gt;"","PENDIENTE","SIN EMITIR")),"")</f>
        <v/>
      </c>
      <c r="I1499" s="10"/>
      <c r="J1499" s="2"/>
      <c r="K1499" s="29"/>
      <c r="L1499" s="29"/>
    </row>
    <row r="1500" spans="1:12" ht="15.75" x14ac:dyDescent="0.25">
      <c r="A1500" s="5"/>
      <c r="B1500" s="7"/>
      <c r="C1500" s="5"/>
      <c r="D1500" s="5"/>
      <c r="E1500" s="8"/>
      <c r="F1500" s="9"/>
      <c r="G1500" s="5"/>
      <c r="H1500" s="28" t="str">
        <f>IFERROR(IF(AND(COUNTIF(RegistroPago!$A$1:$A$2000,Consolidado!B1500)&gt;0,INDEX(RegistroPago!$E$1:$E$2000,MATCH(Consolidado!B1500,RegistroPago!$A$1:$A$2000,0))&lt;&gt;""),"PAGADA",IF(I1500&lt;&gt;"","PENDIENTE","SIN EMITIR")),"")</f>
        <v/>
      </c>
      <c r="I1500" s="10"/>
      <c r="J1500" s="2"/>
      <c r="K1500" s="29"/>
      <c r="L1500" s="29"/>
    </row>
  </sheetData>
  <autoFilter ref="A1:L115" xr:uid="{ADE57C89-0965-4FBC-809E-308A0703FC9C}"/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356F-7CA7-488E-81D4-413A57937224}">
  <dimension ref="A1:M2000"/>
  <sheetViews>
    <sheetView showGridLines="0" workbookViewId="0">
      <selection activeCell="E15" sqref="E15"/>
    </sheetView>
  </sheetViews>
  <sheetFormatPr baseColWidth="10" defaultRowHeight="15" x14ac:dyDescent="0.25"/>
  <cols>
    <col min="4" max="4" width="19.28515625" style="4" customWidth="1"/>
    <col min="5" max="5" width="21.28515625" style="4" bestFit="1" customWidth="1"/>
    <col min="6" max="6" width="12.5703125" bestFit="1" customWidth="1"/>
    <col min="7" max="7" width="5.7109375" style="17" customWidth="1"/>
    <col min="8" max="8" width="23" customWidth="1"/>
    <col min="11" max="11" width="13.42578125" customWidth="1"/>
    <col min="12" max="12" width="13.140625" customWidth="1"/>
    <col min="13" max="13" width="15.5703125" bestFit="1" customWidth="1"/>
  </cols>
  <sheetData>
    <row r="1" spans="1:13" ht="31.5" x14ac:dyDescent="0.25">
      <c r="A1" s="14" t="s">
        <v>1</v>
      </c>
      <c r="B1" s="14" t="s">
        <v>19</v>
      </c>
      <c r="C1" s="14" t="s">
        <v>11</v>
      </c>
      <c r="D1" s="13" t="s">
        <v>20</v>
      </c>
      <c r="E1" s="13" t="s">
        <v>18</v>
      </c>
      <c r="F1" s="13" t="s">
        <v>21</v>
      </c>
      <c r="G1" s="21" t="s">
        <v>32</v>
      </c>
      <c r="H1" s="12" t="s">
        <v>27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</row>
    <row r="2" spans="1:13" x14ac:dyDescent="0.25">
      <c r="A2" s="30" t="e" cm="1" vm="1">
        <f t="array" ref="A2">_xlfn._xlws.SORT(_xlfn.UNIQUE(_xlfn._xlws.FILTER(Consolidado!$B$2:$B$1500,Consolidado!$B$2:$B$1500&lt;&gt;"")))</f>
        <v>#VALUE!</v>
      </c>
      <c r="B2" s="16" t="str">
        <f>IFERROR(VLOOKUP(A2,Consolidado!$B$1:$L$1500,2,FALSE),"")</f>
        <v/>
      </c>
      <c r="C2" s="16">
        <f>IFERROR(SUMIF(Consolidado!$B$1:$B$1500,VLOOKUP(RegistroPago!A2,Consolidado!$B$1:$L$1500,1,FALSE),Consolidado!$G$1:$G$1500),"")</f>
        <v>0</v>
      </c>
      <c r="D2" s="10"/>
      <c r="E2" s="5"/>
      <c r="F2" s="5"/>
      <c r="G2" s="16" t="str">
        <f>IF(D2&lt;&gt;"",D2-VLOOKUP(A2,Consolidado!$B$1:$L$1500,8,FALSE),"")</f>
        <v/>
      </c>
      <c r="H2" s="16" t="e" cm="1" vm="1">
        <f t="array" ref="H2">_xlfn._xlws.SORT(_xlfn.UNIQUE(_xlfn._xlws.FILTER($E$2:$E$2000,$E$2:$E$2000&lt;&gt;"")))</f>
        <v>#VALUE!</v>
      </c>
      <c r="I2" s="32">
        <f>IFERROR(SUMIF($E$1:$E$2000,H2,$C$1:$C$2000)-SUMIF($E$1:$E$2000,H2,$F$1:$F$2000),"")</f>
        <v>0</v>
      </c>
      <c r="J2" s="33" t="str">
        <f>IFERROR(I2/SUMIF($E$1:$E$2000,H2,$C$1:$C$2000),"")</f>
        <v/>
      </c>
      <c r="K2" s="10"/>
      <c r="L2" s="15"/>
      <c r="M2" s="34">
        <f>IFERROR(L2*SUMIF($E$1:$E$2000,H2,$F$1:$F$2000),"")</f>
        <v>0</v>
      </c>
    </row>
    <row r="3" spans="1:13" x14ac:dyDescent="0.25">
      <c r="A3" s="30"/>
      <c r="B3" s="16" t="str">
        <f>IFERROR(VLOOKUP(A3,Consolidado!$B$1:$L$1500,2,FALSE),"")</f>
        <v/>
      </c>
      <c r="C3" s="16">
        <f>IFERROR(SUMIF(Consolidado!$B$1:$B$1500,VLOOKUP(RegistroPago!A3,Consolidado!$B$1:$L$1500,1,FALSE),Consolidado!$G$1:$G$1500),"")</f>
        <v>0</v>
      </c>
      <c r="D3" s="10"/>
      <c r="E3" s="5"/>
      <c r="F3" s="5"/>
      <c r="G3" s="16" t="str">
        <f>IF(D3&lt;&gt;"",D3-VLOOKUP(A3,Consolidado!$B$1:$L$1500,8,FALSE),"")</f>
        <v/>
      </c>
      <c r="H3" s="16"/>
      <c r="I3" s="32">
        <f t="shared" ref="I3:I66" si="0">IFERROR(SUMIF($E$1:$E$2000,H3,$C$1:$C$2000)-SUMIF($E$1:$E$2000,H3,$F$1:$F$2000),"")</f>
        <v>0</v>
      </c>
      <c r="J3" s="33" t="str">
        <f t="shared" ref="J3:J66" si="1">IFERROR(I3/SUMIF($E$1:$E$2000,H3,$C$1:$C$2000),"")</f>
        <v/>
      </c>
      <c r="K3" s="10"/>
      <c r="L3" s="15"/>
      <c r="M3" s="34">
        <f t="shared" ref="M3:M66" si="2">IFERROR(L3*SUMIF($E$1:$E$2000,H3,$F$1:$F$2000),"")</f>
        <v>0</v>
      </c>
    </row>
    <row r="4" spans="1:13" x14ac:dyDescent="0.25">
      <c r="A4" s="30"/>
      <c r="B4" s="16" t="str">
        <f>IFERROR(VLOOKUP(A4,Consolidado!$B$1:$L$1500,2,FALSE),"")</f>
        <v/>
      </c>
      <c r="C4" s="16">
        <f>IFERROR(SUMIF(Consolidado!$B$1:$B$1500,VLOOKUP(RegistroPago!A4,Consolidado!$B$1:$L$1500,1,FALSE),Consolidado!$G$1:$G$1500),"")</f>
        <v>0</v>
      </c>
      <c r="D4" s="10"/>
      <c r="E4" s="5"/>
      <c r="F4" s="5"/>
      <c r="G4" s="16" t="str">
        <f>IF(D4&lt;&gt;"",D4-VLOOKUP(A4,Consolidado!$B$1:$L$1500,8,FALSE),"")</f>
        <v/>
      </c>
      <c r="H4" s="16"/>
      <c r="I4" s="32">
        <f t="shared" si="0"/>
        <v>0</v>
      </c>
      <c r="J4" s="33" t="str">
        <f t="shared" si="1"/>
        <v/>
      </c>
      <c r="K4" s="10"/>
      <c r="L4" s="15"/>
      <c r="M4" s="34">
        <f t="shared" si="2"/>
        <v>0</v>
      </c>
    </row>
    <row r="5" spans="1:13" x14ac:dyDescent="0.25">
      <c r="A5" s="30"/>
      <c r="B5" s="16" t="str">
        <f>IFERROR(VLOOKUP(A5,Consolidado!$B$1:$L$1500,2,FALSE),"")</f>
        <v/>
      </c>
      <c r="C5" s="16">
        <f>IFERROR(SUMIF(Consolidado!$B$1:$B$1500,VLOOKUP(RegistroPago!A5,Consolidado!$B$1:$L$1500,1,FALSE),Consolidado!$G$1:$G$1500),"")</f>
        <v>0</v>
      </c>
      <c r="D5" s="10"/>
      <c r="E5" s="5"/>
      <c r="F5" s="5"/>
      <c r="G5" s="16" t="str">
        <f>IF(D5&lt;&gt;"",D5-VLOOKUP(A5,Consolidado!$B$1:$L$1500,8,FALSE),"")</f>
        <v/>
      </c>
      <c r="H5" s="16"/>
      <c r="I5" s="32">
        <f t="shared" si="0"/>
        <v>0</v>
      </c>
      <c r="J5" s="33" t="str">
        <f t="shared" si="1"/>
        <v/>
      </c>
      <c r="K5" s="10"/>
      <c r="L5" s="15"/>
      <c r="M5" s="34">
        <f t="shared" si="2"/>
        <v>0</v>
      </c>
    </row>
    <row r="6" spans="1:13" x14ac:dyDescent="0.25">
      <c r="A6" s="30"/>
      <c r="B6" s="16" t="str">
        <f>IFERROR(VLOOKUP(A6,Consolidado!$B$1:$L$1500,2,FALSE),"")</f>
        <v/>
      </c>
      <c r="C6" s="16">
        <f>IFERROR(SUMIF(Consolidado!$B$1:$B$1500,VLOOKUP(RegistroPago!A6,Consolidado!$B$1:$L$1500,1,FALSE),Consolidado!$G$1:$G$1500),"")</f>
        <v>0</v>
      </c>
      <c r="D6" s="10"/>
      <c r="E6" s="5"/>
      <c r="F6" s="5"/>
      <c r="G6" s="16" t="str">
        <f>IF(D6&lt;&gt;"",D6-VLOOKUP(A6,Consolidado!$B$1:$L$1500,8,FALSE),"")</f>
        <v/>
      </c>
      <c r="H6" s="16"/>
      <c r="I6" s="32">
        <f t="shared" si="0"/>
        <v>0</v>
      </c>
      <c r="J6" s="33" t="str">
        <f t="shared" si="1"/>
        <v/>
      </c>
      <c r="K6" s="10"/>
      <c r="L6" s="15"/>
      <c r="M6" s="34">
        <f t="shared" si="2"/>
        <v>0</v>
      </c>
    </row>
    <row r="7" spans="1:13" x14ac:dyDescent="0.25">
      <c r="A7" s="30"/>
      <c r="B7" s="16" t="str">
        <f>IFERROR(VLOOKUP(A7,Consolidado!$B$1:$L$1500,2,FALSE),"")</f>
        <v/>
      </c>
      <c r="C7" s="16">
        <f>IFERROR(SUMIF(Consolidado!$B$1:$B$1500,VLOOKUP(RegistroPago!A7,Consolidado!$B$1:$L$1500,1,FALSE),Consolidado!$G$1:$G$1500),"")</f>
        <v>0</v>
      </c>
      <c r="D7" s="10"/>
      <c r="E7" s="5"/>
      <c r="F7" s="5"/>
      <c r="G7" s="16" t="str">
        <f>IF(D7&lt;&gt;"",D7-VLOOKUP(A7,Consolidado!$B$1:$L$1500,8,FALSE),"")</f>
        <v/>
      </c>
      <c r="H7" s="16"/>
      <c r="I7" s="32">
        <f t="shared" si="0"/>
        <v>0</v>
      </c>
      <c r="J7" s="33" t="str">
        <f t="shared" si="1"/>
        <v/>
      </c>
      <c r="K7" s="5"/>
      <c r="L7" s="15"/>
      <c r="M7" s="34">
        <f t="shared" si="2"/>
        <v>0</v>
      </c>
    </row>
    <row r="8" spans="1:13" x14ac:dyDescent="0.25">
      <c r="A8" s="30"/>
      <c r="B8" s="16" t="str">
        <f>IFERROR(VLOOKUP(A8,Consolidado!$B$1:$L$1500,2,FALSE),"")</f>
        <v/>
      </c>
      <c r="C8" s="16">
        <f>IFERROR(SUMIF(Consolidado!$B$1:$B$1500,VLOOKUP(RegistroPago!A8,Consolidado!$B$1:$L$1500,1,FALSE),Consolidado!$G$1:$G$1500),"")</f>
        <v>0</v>
      </c>
      <c r="D8" s="10"/>
      <c r="E8" s="5"/>
      <c r="F8" s="5"/>
      <c r="G8" s="16" t="str">
        <f>IF(D8&lt;&gt;"",D8-VLOOKUP(A8,Consolidado!$B$1:$L$1500,8,FALSE),"")</f>
        <v/>
      </c>
      <c r="H8" s="16"/>
      <c r="I8" s="32">
        <f t="shared" si="0"/>
        <v>0</v>
      </c>
      <c r="J8" s="33" t="str">
        <f t="shared" si="1"/>
        <v/>
      </c>
      <c r="K8" s="5"/>
      <c r="L8" s="15"/>
      <c r="M8" s="34">
        <f t="shared" si="2"/>
        <v>0</v>
      </c>
    </row>
    <row r="9" spans="1:13" x14ac:dyDescent="0.25">
      <c r="A9" s="30"/>
      <c r="B9" s="16" t="str">
        <f>IFERROR(VLOOKUP(A9,Consolidado!$B$1:$L$1500,2,FALSE),"")</f>
        <v/>
      </c>
      <c r="C9" s="16">
        <f>IFERROR(SUMIF(Consolidado!$B$1:$B$1500,VLOOKUP(RegistroPago!A9,Consolidado!$B$1:$L$1500,1,FALSE),Consolidado!$G$1:$G$1500),"")</f>
        <v>0</v>
      </c>
      <c r="D9" s="10"/>
      <c r="E9" s="5"/>
      <c r="F9" s="5"/>
      <c r="G9" s="16" t="str">
        <f>IF(D9&lt;&gt;"",D9-VLOOKUP(A9,Consolidado!$B$1:$L$1500,8,FALSE),"")</f>
        <v/>
      </c>
      <c r="H9" s="16"/>
      <c r="I9" s="32">
        <f t="shared" si="0"/>
        <v>0</v>
      </c>
      <c r="J9" s="33" t="str">
        <f t="shared" si="1"/>
        <v/>
      </c>
      <c r="K9" s="5"/>
      <c r="L9" s="15"/>
      <c r="M9" s="34">
        <f t="shared" si="2"/>
        <v>0</v>
      </c>
    </row>
    <row r="10" spans="1:13" x14ac:dyDescent="0.25">
      <c r="A10" s="30"/>
      <c r="B10" s="16" t="str">
        <f>IFERROR(VLOOKUP(A10,Consolidado!$B$1:$L$1500,2,FALSE),"")</f>
        <v/>
      </c>
      <c r="C10" s="16">
        <f>IFERROR(SUMIF(Consolidado!$B$1:$B$1500,VLOOKUP(RegistroPago!A10,Consolidado!$B$1:$L$1500,1,FALSE),Consolidado!$G$1:$G$1500),"")</f>
        <v>0</v>
      </c>
      <c r="D10" s="10"/>
      <c r="E10" s="5"/>
      <c r="F10" s="5"/>
      <c r="G10" s="16" t="str">
        <f>IF(D10&lt;&gt;"",D10-VLOOKUP(A10,Consolidado!$B$1:$L$1500,8,FALSE),"")</f>
        <v/>
      </c>
      <c r="H10" s="16"/>
      <c r="I10" s="32">
        <f t="shared" si="0"/>
        <v>0</v>
      </c>
      <c r="J10" s="33" t="str">
        <f t="shared" si="1"/>
        <v/>
      </c>
      <c r="K10" s="5"/>
      <c r="L10" s="15"/>
      <c r="M10" s="34">
        <f t="shared" si="2"/>
        <v>0</v>
      </c>
    </row>
    <row r="11" spans="1:13" x14ac:dyDescent="0.25">
      <c r="A11" s="30"/>
      <c r="B11" s="16" t="str">
        <f>IFERROR(VLOOKUP(A11,Consolidado!$B$1:$L$1500,2,FALSE),"")</f>
        <v/>
      </c>
      <c r="C11" s="16">
        <f>IFERROR(SUMIF(Consolidado!$B$1:$B$1500,VLOOKUP(RegistroPago!A11,Consolidado!$B$1:$L$1500,1,FALSE),Consolidado!$G$1:$G$1500),"")</f>
        <v>0</v>
      </c>
      <c r="D11" s="10"/>
      <c r="E11" s="5"/>
      <c r="F11" s="5"/>
      <c r="G11" s="16" t="str">
        <f>IF(D11&lt;&gt;"",D11-VLOOKUP(A11,Consolidado!$B$1:$L$1500,8,FALSE),"")</f>
        <v/>
      </c>
      <c r="H11" s="16"/>
      <c r="I11" s="32">
        <f t="shared" si="0"/>
        <v>0</v>
      </c>
      <c r="J11" s="33" t="str">
        <f t="shared" si="1"/>
        <v/>
      </c>
      <c r="K11" s="5"/>
      <c r="L11" s="15"/>
      <c r="M11" s="34">
        <f t="shared" si="2"/>
        <v>0</v>
      </c>
    </row>
    <row r="12" spans="1:13" x14ac:dyDescent="0.25">
      <c r="A12" s="30"/>
      <c r="B12" s="16" t="str">
        <f>IFERROR(VLOOKUP(A12,Consolidado!$B$1:$L$1500,2,FALSE),"")</f>
        <v/>
      </c>
      <c r="C12" s="16">
        <f>IFERROR(SUMIF(Consolidado!$B$1:$B$1500,VLOOKUP(RegistroPago!A12,Consolidado!$B$1:$L$1500,1,FALSE),Consolidado!$G$1:$G$1500),"")</f>
        <v>0</v>
      </c>
      <c r="D12" s="10"/>
      <c r="E12" s="5"/>
      <c r="F12" s="5"/>
      <c r="G12" s="16" t="str">
        <f>IF(D12&lt;&gt;"",D12-VLOOKUP(A12,Consolidado!$B$1:$L$1500,8,FALSE),"")</f>
        <v/>
      </c>
      <c r="H12" s="16"/>
      <c r="I12" s="32">
        <f t="shared" si="0"/>
        <v>0</v>
      </c>
      <c r="J12" s="33" t="str">
        <f t="shared" si="1"/>
        <v/>
      </c>
      <c r="K12" s="5"/>
      <c r="L12" s="15"/>
      <c r="M12" s="34">
        <f t="shared" si="2"/>
        <v>0</v>
      </c>
    </row>
    <row r="13" spans="1:13" x14ac:dyDescent="0.25">
      <c r="A13" s="30"/>
      <c r="B13" s="16" t="str">
        <f>IFERROR(VLOOKUP(A13,Consolidado!$B$1:$L$1500,2,FALSE),"")</f>
        <v/>
      </c>
      <c r="C13" s="16">
        <f>IFERROR(SUMIF(Consolidado!$B$1:$B$1500,VLOOKUP(RegistroPago!A13,Consolidado!$B$1:$L$1500,1,FALSE),Consolidado!$G$1:$G$1500),"")</f>
        <v>0</v>
      </c>
      <c r="D13" s="10"/>
      <c r="E13" s="5"/>
      <c r="F13" s="5"/>
      <c r="G13" s="16" t="str">
        <f>IF(D13&lt;&gt;"",D13-VLOOKUP(A13,Consolidado!$B$1:$L$1500,8,FALSE),"")</f>
        <v/>
      </c>
      <c r="H13" s="16"/>
      <c r="I13" s="32">
        <f t="shared" si="0"/>
        <v>0</v>
      </c>
      <c r="J13" s="33" t="str">
        <f t="shared" si="1"/>
        <v/>
      </c>
      <c r="K13" s="5"/>
      <c r="L13" s="15"/>
      <c r="M13" s="34">
        <f t="shared" si="2"/>
        <v>0</v>
      </c>
    </row>
    <row r="14" spans="1:13" x14ac:dyDescent="0.25">
      <c r="A14" s="30"/>
      <c r="B14" s="16" t="str">
        <f>IFERROR(VLOOKUP(A14,Consolidado!$B$1:$L$1500,2,FALSE),"")</f>
        <v/>
      </c>
      <c r="C14" s="16">
        <f>IFERROR(SUMIF(Consolidado!$B$1:$B$1500,VLOOKUP(RegistroPago!A14,Consolidado!$B$1:$L$1500,1,FALSE),Consolidado!$G$1:$G$1500),"")</f>
        <v>0</v>
      </c>
      <c r="D14" s="10"/>
      <c r="E14" s="5"/>
      <c r="F14" s="5"/>
      <c r="G14" s="16" t="str">
        <f>IF(D14&lt;&gt;"",D14-VLOOKUP(A14,Consolidado!$B$1:$L$1500,8,FALSE),"")</f>
        <v/>
      </c>
      <c r="H14" s="16"/>
      <c r="I14" s="32">
        <f t="shared" si="0"/>
        <v>0</v>
      </c>
      <c r="J14" s="33" t="str">
        <f t="shared" si="1"/>
        <v/>
      </c>
      <c r="K14" s="5"/>
      <c r="L14" s="15"/>
      <c r="M14" s="34">
        <f t="shared" si="2"/>
        <v>0</v>
      </c>
    </row>
    <row r="15" spans="1:13" x14ac:dyDescent="0.25">
      <c r="A15" s="30"/>
      <c r="B15" s="16" t="str">
        <f>IFERROR(VLOOKUP(A15,Consolidado!$B$1:$L$1500,2,FALSE),"")</f>
        <v/>
      </c>
      <c r="C15" s="16">
        <f>IFERROR(SUMIF(Consolidado!$B$1:$B$1500,VLOOKUP(RegistroPago!A15,Consolidado!$B$1:$L$1500,1,FALSE),Consolidado!$G$1:$G$1500),"")</f>
        <v>0</v>
      </c>
      <c r="D15" s="10"/>
      <c r="E15" s="5"/>
      <c r="F15" s="5"/>
      <c r="G15" s="16" t="str">
        <f>IF(D15&lt;&gt;"",D15-VLOOKUP(A15,Consolidado!$B$1:$L$1500,8,FALSE),"")</f>
        <v/>
      </c>
      <c r="H15" s="16"/>
      <c r="I15" s="32">
        <f t="shared" si="0"/>
        <v>0</v>
      </c>
      <c r="J15" s="33" t="str">
        <f t="shared" si="1"/>
        <v/>
      </c>
      <c r="K15" s="5"/>
      <c r="L15" s="15"/>
      <c r="M15" s="34">
        <f t="shared" si="2"/>
        <v>0</v>
      </c>
    </row>
    <row r="16" spans="1:13" x14ac:dyDescent="0.25">
      <c r="A16" s="30"/>
      <c r="B16" s="16" t="str">
        <f>IFERROR(VLOOKUP(A16,Consolidado!$B$1:$L$1500,2,FALSE),"")</f>
        <v/>
      </c>
      <c r="C16" s="16">
        <f>IFERROR(SUMIF(Consolidado!$B$1:$B$1500,VLOOKUP(RegistroPago!A16,Consolidado!$B$1:$L$1500,1,FALSE),Consolidado!$G$1:$G$1500),"")</f>
        <v>0</v>
      </c>
      <c r="D16" s="10"/>
      <c r="E16" s="5"/>
      <c r="F16" s="5"/>
      <c r="G16" s="16" t="str">
        <f>IF(D16&lt;&gt;"",D16-VLOOKUP(A16,Consolidado!$B$1:$L$1500,8,FALSE),"")</f>
        <v/>
      </c>
      <c r="H16" s="16"/>
      <c r="I16" s="32">
        <f t="shared" si="0"/>
        <v>0</v>
      </c>
      <c r="J16" s="33" t="str">
        <f t="shared" si="1"/>
        <v/>
      </c>
      <c r="K16" s="5"/>
      <c r="L16" s="15"/>
      <c r="M16" s="34">
        <f t="shared" si="2"/>
        <v>0</v>
      </c>
    </row>
    <row r="17" spans="1:13" x14ac:dyDescent="0.25">
      <c r="A17" s="30"/>
      <c r="B17" s="16" t="str">
        <f>IFERROR(VLOOKUP(A17,Consolidado!$B$1:$L$1500,2,FALSE),"")</f>
        <v/>
      </c>
      <c r="C17" s="16">
        <f>IFERROR(SUMIF(Consolidado!$B$1:$B$1500,VLOOKUP(RegistroPago!A17,Consolidado!$B$1:$L$1500,1,FALSE),Consolidado!$G$1:$G$1500),"")</f>
        <v>0</v>
      </c>
      <c r="D17" s="18"/>
      <c r="E17" s="3"/>
      <c r="F17" s="5"/>
      <c r="G17" s="16" t="str">
        <f>IF(D17&lt;&gt;"",D17-VLOOKUP(A17,Consolidado!$B$1:$L$1500,8,FALSE),"")</f>
        <v/>
      </c>
      <c r="H17" s="31"/>
      <c r="I17" s="32">
        <f t="shared" si="0"/>
        <v>0</v>
      </c>
      <c r="J17" s="33" t="str">
        <f t="shared" si="1"/>
        <v/>
      </c>
      <c r="K17" s="2"/>
      <c r="L17" s="15"/>
      <c r="M17" s="34">
        <f t="shared" si="2"/>
        <v>0</v>
      </c>
    </row>
    <row r="18" spans="1:13" x14ac:dyDescent="0.25">
      <c r="A18" s="30"/>
      <c r="B18" s="16" t="str">
        <f>IFERROR(VLOOKUP(A18,Consolidado!$B$1:$L$1500,2,FALSE),"")</f>
        <v/>
      </c>
      <c r="C18" s="16">
        <f>IFERROR(SUMIF(Consolidado!$B$1:$B$1500,VLOOKUP(RegistroPago!A18,Consolidado!$B$1:$L$1500,1,FALSE),Consolidado!$G$1:$G$1500),"")</f>
        <v>0</v>
      </c>
      <c r="D18" s="18"/>
      <c r="E18" s="3"/>
      <c r="F18" s="5"/>
      <c r="G18" s="16" t="str">
        <f>IF(D18&lt;&gt;"",D18-VLOOKUP(A18,Consolidado!$B$1:$L$1500,8,FALSE),"")</f>
        <v/>
      </c>
      <c r="H18" s="31"/>
      <c r="I18" s="32">
        <f t="shared" si="0"/>
        <v>0</v>
      </c>
      <c r="J18" s="33" t="str">
        <f t="shared" si="1"/>
        <v/>
      </c>
      <c r="K18" s="2"/>
      <c r="L18" s="15"/>
      <c r="M18" s="34">
        <f t="shared" si="2"/>
        <v>0</v>
      </c>
    </row>
    <row r="19" spans="1:13" x14ac:dyDescent="0.25">
      <c r="A19" s="30"/>
      <c r="B19" s="16" t="str">
        <f>IFERROR(VLOOKUP(A19,Consolidado!$B$1:$L$1500,2,FALSE),"")</f>
        <v/>
      </c>
      <c r="C19" s="16">
        <f>IFERROR(SUMIF(Consolidado!$B$1:$B$1500,VLOOKUP(RegistroPago!A19,Consolidado!$B$1:$L$1500,1,FALSE),Consolidado!$G$1:$G$1500),"")</f>
        <v>0</v>
      </c>
      <c r="D19" s="18"/>
      <c r="E19" s="3"/>
      <c r="F19" s="5"/>
      <c r="G19" s="16" t="str">
        <f>IF(D19&lt;&gt;"",D19-VLOOKUP(A19,Consolidado!$B$1:$L$1500,8,FALSE),"")</f>
        <v/>
      </c>
      <c r="H19" s="31"/>
      <c r="I19" s="32">
        <f t="shared" si="0"/>
        <v>0</v>
      </c>
      <c r="J19" s="33" t="str">
        <f t="shared" si="1"/>
        <v/>
      </c>
      <c r="K19" s="2"/>
      <c r="L19" s="15"/>
      <c r="M19" s="34">
        <f t="shared" si="2"/>
        <v>0</v>
      </c>
    </row>
    <row r="20" spans="1:13" x14ac:dyDescent="0.25">
      <c r="A20" s="30"/>
      <c r="B20" s="16" t="str">
        <f>IFERROR(VLOOKUP(A20,Consolidado!$B$1:$L$1500,2,FALSE),"")</f>
        <v/>
      </c>
      <c r="C20" s="16">
        <f>IFERROR(SUMIF(Consolidado!$B$1:$B$1500,VLOOKUP(RegistroPago!A20,Consolidado!$B$1:$L$1500,1,FALSE),Consolidado!$G$1:$G$1500),"")</f>
        <v>0</v>
      </c>
      <c r="D20" s="10"/>
      <c r="E20" s="5"/>
      <c r="F20" s="5"/>
      <c r="G20" s="16" t="str">
        <f>IF(D20&lt;&gt;"",D20-VLOOKUP(A20,Consolidado!$B$1:$L$1500,8,FALSE),"")</f>
        <v/>
      </c>
      <c r="H20" s="31"/>
      <c r="I20" s="32">
        <f t="shared" si="0"/>
        <v>0</v>
      </c>
      <c r="J20" s="33" t="str">
        <f t="shared" si="1"/>
        <v/>
      </c>
      <c r="K20" s="2"/>
      <c r="L20" s="15"/>
      <c r="M20" s="34">
        <f t="shared" si="2"/>
        <v>0</v>
      </c>
    </row>
    <row r="21" spans="1:13" x14ac:dyDescent="0.25">
      <c r="A21" s="30"/>
      <c r="B21" s="16" t="str">
        <f>IFERROR(VLOOKUP(A21,Consolidado!$B$1:$L$1500,2,FALSE),"")</f>
        <v/>
      </c>
      <c r="C21" s="16">
        <f>IFERROR(SUMIF(Consolidado!$B$1:$B$1500,VLOOKUP(RegistroPago!A21,Consolidado!$B$1:$L$1500,1,FALSE),Consolidado!$G$1:$G$1500),"")</f>
        <v>0</v>
      </c>
      <c r="D21" s="10"/>
      <c r="E21" s="5"/>
      <c r="F21" s="5"/>
      <c r="G21" s="16" t="str">
        <f>IF(D21&lt;&gt;"",D21-VLOOKUP(A21,Consolidado!$B$1:$L$1500,8,FALSE),"")</f>
        <v/>
      </c>
      <c r="H21" s="31"/>
      <c r="I21" s="32">
        <f t="shared" si="0"/>
        <v>0</v>
      </c>
      <c r="J21" s="33" t="str">
        <f t="shared" si="1"/>
        <v/>
      </c>
      <c r="K21" s="2"/>
      <c r="L21" s="15"/>
      <c r="M21" s="34">
        <f t="shared" si="2"/>
        <v>0</v>
      </c>
    </row>
    <row r="22" spans="1:13" x14ac:dyDescent="0.25">
      <c r="A22" s="30"/>
      <c r="B22" s="16" t="str">
        <f>IFERROR(VLOOKUP(A22,Consolidado!$B$1:$L$1500,2,FALSE),"")</f>
        <v/>
      </c>
      <c r="C22" s="16">
        <f>IFERROR(SUMIF(Consolidado!$B$1:$B$1500,VLOOKUP(RegistroPago!A22,Consolidado!$B$1:$L$1500,1,FALSE),Consolidado!$G$1:$G$1500),"")</f>
        <v>0</v>
      </c>
      <c r="D22" s="10"/>
      <c r="E22" s="5"/>
      <c r="F22" s="5"/>
      <c r="G22" s="16" t="str">
        <f>IF(D22&lt;&gt;"",D22-VLOOKUP(A22,Consolidado!$B$1:$L$1500,8,FALSE),"")</f>
        <v/>
      </c>
      <c r="H22" s="31"/>
      <c r="I22" s="32">
        <f t="shared" si="0"/>
        <v>0</v>
      </c>
      <c r="J22" s="33" t="str">
        <f t="shared" si="1"/>
        <v/>
      </c>
      <c r="K22" s="2"/>
      <c r="L22" s="15"/>
      <c r="M22" s="34">
        <f t="shared" si="2"/>
        <v>0</v>
      </c>
    </row>
    <row r="23" spans="1:13" x14ac:dyDescent="0.25">
      <c r="A23" s="30"/>
      <c r="B23" s="16" t="str">
        <f>IFERROR(VLOOKUP(A23,Consolidado!$B$1:$L$1500,2,FALSE),"")</f>
        <v/>
      </c>
      <c r="C23" s="16">
        <f>IFERROR(SUMIF(Consolidado!$B$1:$B$1500,VLOOKUP(RegistroPago!A23,Consolidado!$B$1:$L$1500,1,FALSE),Consolidado!$G$1:$G$1500),"")</f>
        <v>0</v>
      </c>
      <c r="D23" s="10"/>
      <c r="E23" s="5"/>
      <c r="F23" s="5"/>
      <c r="G23" s="16" t="str">
        <f>IF(D23&lt;&gt;"",D23-VLOOKUP(A23,Consolidado!$B$1:$L$1500,8,FALSE),"")</f>
        <v/>
      </c>
      <c r="H23" s="31"/>
      <c r="I23" s="32">
        <f t="shared" si="0"/>
        <v>0</v>
      </c>
      <c r="J23" s="33" t="str">
        <f t="shared" si="1"/>
        <v/>
      </c>
      <c r="K23" s="2"/>
      <c r="L23" s="15"/>
      <c r="M23" s="34">
        <f t="shared" si="2"/>
        <v>0</v>
      </c>
    </row>
    <row r="24" spans="1:13" x14ac:dyDescent="0.25">
      <c r="A24" s="30"/>
      <c r="B24" s="16" t="str">
        <f>IFERROR(VLOOKUP(A24,Consolidado!$B$1:$L$1500,2,FALSE),"")</f>
        <v/>
      </c>
      <c r="C24" s="16">
        <f>IFERROR(SUMIF(Consolidado!$B$1:$B$1500,VLOOKUP(RegistroPago!A24,Consolidado!$B$1:$L$1500,1,FALSE),Consolidado!$G$1:$G$1500),"")</f>
        <v>0</v>
      </c>
      <c r="D24" s="18"/>
      <c r="E24" s="3"/>
      <c r="F24" s="5"/>
      <c r="G24" s="16" t="str">
        <f>IF(D24&lt;&gt;"",D24-VLOOKUP(A24,Consolidado!$B$1:$L$1500,8,FALSE),"")</f>
        <v/>
      </c>
      <c r="H24" s="31"/>
      <c r="I24" s="32">
        <f t="shared" si="0"/>
        <v>0</v>
      </c>
      <c r="J24" s="33" t="str">
        <f t="shared" si="1"/>
        <v/>
      </c>
      <c r="K24" s="2"/>
      <c r="L24" s="15"/>
      <c r="M24" s="34">
        <f t="shared" si="2"/>
        <v>0</v>
      </c>
    </row>
    <row r="25" spans="1:13" x14ac:dyDescent="0.25">
      <c r="A25" s="30"/>
      <c r="B25" s="16" t="str">
        <f>IFERROR(VLOOKUP(A25,Consolidado!$B$1:$L$1500,2,FALSE),"")</f>
        <v/>
      </c>
      <c r="C25" s="16">
        <f>IFERROR(SUMIF(Consolidado!$B$1:$B$1500,VLOOKUP(RegistroPago!A25,Consolidado!$B$1:$L$1500,1,FALSE),Consolidado!$G$1:$G$1500),"")</f>
        <v>0</v>
      </c>
      <c r="D25" s="18"/>
      <c r="E25" s="3"/>
      <c r="F25" s="5"/>
      <c r="G25" s="16" t="str">
        <f>IF(D25&lt;&gt;"",D25-VLOOKUP(A25,Consolidado!$B$1:$L$1500,8,FALSE),"")</f>
        <v/>
      </c>
      <c r="H25" s="31"/>
      <c r="I25" s="32">
        <f t="shared" si="0"/>
        <v>0</v>
      </c>
      <c r="J25" s="33" t="str">
        <f t="shared" si="1"/>
        <v/>
      </c>
      <c r="K25" s="2"/>
      <c r="L25" s="15"/>
      <c r="M25" s="34">
        <f t="shared" si="2"/>
        <v>0</v>
      </c>
    </row>
    <row r="26" spans="1:13" x14ac:dyDescent="0.25">
      <c r="A26" s="30"/>
      <c r="B26" s="16" t="str">
        <f>IFERROR(VLOOKUP(A26,Consolidado!$B$1:$L$1500,2,FALSE),"")</f>
        <v/>
      </c>
      <c r="C26" s="16">
        <f>IFERROR(SUMIF(Consolidado!$B$1:$B$1500,VLOOKUP(RegistroPago!A26,Consolidado!$B$1:$L$1500,1,FALSE),Consolidado!$G$1:$G$1500),"")</f>
        <v>0</v>
      </c>
      <c r="D26" s="3"/>
      <c r="E26" s="3"/>
      <c r="F26" s="5" t="str">
        <f t="shared" ref="F3:F66" si="3">IF(COUNTIF($E$2:$E$2000,E26)&gt;1,"Ya registrado","")</f>
        <v/>
      </c>
      <c r="G26" s="16" t="str">
        <f>IF(D26&lt;&gt;"",D26-VLOOKUP(A26,Consolidado!$B$1:$L$1500,8,FALSE),"")</f>
        <v/>
      </c>
      <c r="H26" s="31"/>
      <c r="I26" s="32">
        <f t="shared" si="0"/>
        <v>0</v>
      </c>
      <c r="J26" s="33" t="str">
        <f t="shared" si="1"/>
        <v/>
      </c>
      <c r="K26" s="2"/>
      <c r="L26" s="15"/>
      <c r="M26" s="34">
        <f t="shared" si="2"/>
        <v>0</v>
      </c>
    </row>
    <row r="27" spans="1:13" x14ac:dyDescent="0.25">
      <c r="A27" s="30"/>
      <c r="B27" s="16" t="str">
        <f>IFERROR(VLOOKUP(A27,Consolidado!$B$1:$L$1500,2,FALSE),"")</f>
        <v/>
      </c>
      <c r="C27" s="16">
        <f>IFERROR(SUMIF(Consolidado!$B$1:$B$1500,VLOOKUP(RegistroPago!A27,Consolidado!$B$1:$L$1500,1,FALSE),Consolidado!$G$1:$G$1500),"")</f>
        <v>0</v>
      </c>
      <c r="D27" s="18"/>
      <c r="E27" s="3"/>
      <c r="F27" s="5"/>
      <c r="G27" s="16" t="str">
        <f>IF(D27&lt;&gt;"",D27-VLOOKUP(A27,Consolidado!$B$1:$L$1500,8,FALSE),"")</f>
        <v/>
      </c>
      <c r="H27" s="31"/>
      <c r="I27" s="32">
        <f t="shared" si="0"/>
        <v>0</v>
      </c>
      <c r="J27" s="33" t="str">
        <f t="shared" si="1"/>
        <v/>
      </c>
      <c r="K27" s="2"/>
      <c r="L27" s="15"/>
      <c r="M27" s="34">
        <f t="shared" si="2"/>
        <v>0</v>
      </c>
    </row>
    <row r="28" spans="1:13" x14ac:dyDescent="0.25">
      <c r="A28" s="30"/>
      <c r="B28" s="16" t="str">
        <f>IFERROR(VLOOKUP(A28,Consolidado!$B$1:$L$1500,2,FALSE),"")</f>
        <v/>
      </c>
      <c r="C28" s="16">
        <f>IFERROR(SUMIF(Consolidado!$B$1:$B$1500,VLOOKUP(RegistroPago!A28,Consolidado!$B$1:$L$1500,1,FALSE),Consolidado!$G$1:$G$1500),"")</f>
        <v>0</v>
      </c>
      <c r="D28" s="18"/>
      <c r="E28" s="3"/>
      <c r="F28" s="5"/>
      <c r="G28" s="16" t="str">
        <f>IF(D28&lt;&gt;"",D28-VLOOKUP(A28,Consolidado!$B$1:$L$1500,8,FALSE),"")</f>
        <v/>
      </c>
      <c r="H28" s="31"/>
      <c r="I28" s="32">
        <f t="shared" si="0"/>
        <v>0</v>
      </c>
      <c r="J28" s="33" t="str">
        <f t="shared" si="1"/>
        <v/>
      </c>
      <c r="K28" s="2"/>
      <c r="L28" s="15"/>
      <c r="M28" s="34">
        <f t="shared" si="2"/>
        <v>0</v>
      </c>
    </row>
    <row r="29" spans="1:13" x14ac:dyDescent="0.25">
      <c r="A29" s="30"/>
      <c r="B29" s="16" t="str">
        <f>IFERROR(VLOOKUP(A29,Consolidado!$B$1:$L$1500,2,FALSE),"")</f>
        <v/>
      </c>
      <c r="C29" s="16">
        <f>IFERROR(SUMIF(Consolidado!$B$1:$B$1500,VLOOKUP(RegistroPago!A29,Consolidado!$B$1:$L$1500,1,FALSE),Consolidado!$G$1:$G$1500),"")</f>
        <v>0</v>
      </c>
      <c r="D29" s="10"/>
      <c r="E29" s="5"/>
      <c r="F29" s="5"/>
      <c r="G29" s="16" t="str">
        <f>IF(D29&lt;&gt;"",D29-VLOOKUP(A29,Consolidado!$B$1:$L$1500,8,FALSE),"")</f>
        <v/>
      </c>
      <c r="H29" s="31"/>
      <c r="I29" s="32">
        <f t="shared" si="0"/>
        <v>0</v>
      </c>
      <c r="J29" s="33" t="str">
        <f t="shared" si="1"/>
        <v/>
      </c>
      <c r="K29" s="2"/>
      <c r="L29" s="15"/>
      <c r="M29" s="34">
        <f t="shared" si="2"/>
        <v>0</v>
      </c>
    </row>
    <row r="30" spans="1:13" x14ac:dyDescent="0.25">
      <c r="A30" s="30"/>
      <c r="B30" s="16" t="str">
        <f>IFERROR(VLOOKUP(A30,Consolidado!$B$1:$L$1500,2,FALSE),"")</f>
        <v/>
      </c>
      <c r="C30" s="16">
        <f>IFERROR(SUMIF(Consolidado!$B$1:$B$1500,VLOOKUP(RegistroPago!A30,Consolidado!$B$1:$L$1500,1,FALSE),Consolidado!$G$1:$G$1500),"")</f>
        <v>0</v>
      </c>
      <c r="D30" s="10"/>
      <c r="E30" s="5"/>
      <c r="F30" s="5"/>
      <c r="G30" s="16" t="str">
        <f>IF(D30&lt;&gt;"",D30-VLOOKUP(A30,Consolidado!$B$1:$L$1500,8,FALSE),"")</f>
        <v/>
      </c>
      <c r="H30" s="31"/>
      <c r="I30" s="32">
        <f t="shared" si="0"/>
        <v>0</v>
      </c>
      <c r="J30" s="33" t="str">
        <f t="shared" si="1"/>
        <v/>
      </c>
      <c r="K30" s="2"/>
      <c r="L30" s="15"/>
      <c r="M30" s="34">
        <f t="shared" si="2"/>
        <v>0</v>
      </c>
    </row>
    <row r="31" spans="1:13" x14ac:dyDescent="0.25">
      <c r="A31" s="30"/>
      <c r="B31" s="16" t="str">
        <f>IFERROR(VLOOKUP(A31,Consolidado!$B$1:$L$1500,2,FALSE),"")</f>
        <v/>
      </c>
      <c r="C31" s="16">
        <f>IFERROR(SUMIF(Consolidado!$B$1:$B$1500,VLOOKUP(RegistroPago!A31,Consolidado!$B$1:$L$1500,1,FALSE),Consolidado!$G$1:$G$1500),"")</f>
        <v>0</v>
      </c>
      <c r="D31" s="10"/>
      <c r="E31" s="5"/>
      <c r="F31" s="5"/>
      <c r="G31" s="16" t="str">
        <f>IF(D31&lt;&gt;"",D31-VLOOKUP(A31,Consolidado!$B$1:$L$1500,8,FALSE),"")</f>
        <v/>
      </c>
      <c r="H31" s="31"/>
      <c r="I31" s="32">
        <f t="shared" si="0"/>
        <v>0</v>
      </c>
      <c r="J31" s="33" t="str">
        <f t="shared" si="1"/>
        <v/>
      </c>
      <c r="K31" s="2"/>
      <c r="L31" s="15"/>
      <c r="M31" s="34">
        <f t="shared" si="2"/>
        <v>0</v>
      </c>
    </row>
    <row r="32" spans="1:13" x14ac:dyDescent="0.25">
      <c r="A32" s="30"/>
      <c r="B32" s="16" t="str">
        <f>IFERROR(VLOOKUP(A32,Consolidado!$B$1:$L$1500,2,FALSE),"")</f>
        <v/>
      </c>
      <c r="C32" s="16">
        <f>IFERROR(SUMIF(Consolidado!$B$1:$B$1500,VLOOKUP(RegistroPago!A32,Consolidado!$B$1:$L$1500,1,FALSE),Consolidado!$G$1:$G$1500),"")</f>
        <v>0</v>
      </c>
      <c r="D32" s="18"/>
      <c r="E32" s="3"/>
      <c r="F32" s="5"/>
      <c r="G32" s="16" t="str">
        <f>IF(D32&lt;&gt;"",D32-VLOOKUP(A32,Consolidado!$B$1:$L$1500,8,FALSE),"")</f>
        <v/>
      </c>
      <c r="H32" s="31"/>
      <c r="I32" s="32">
        <f t="shared" si="0"/>
        <v>0</v>
      </c>
      <c r="J32" s="33" t="str">
        <f t="shared" si="1"/>
        <v/>
      </c>
      <c r="K32" s="2"/>
      <c r="L32" s="15"/>
      <c r="M32" s="34">
        <f t="shared" si="2"/>
        <v>0</v>
      </c>
    </row>
    <row r="33" spans="1:13" x14ac:dyDescent="0.25">
      <c r="A33" s="30"/>
      <c r="B33" s="16" t="str">
        <f>IFERROR(VLOOKUP(A33,Consolidado!$B$1:$L$1500,2,FALSE),"")</f>
        <v/>
      </c>
      <c r="C33" s="16">
        <f>IFERROR(SUMIF(Consolidado!$B$1:$B$1500,VLOOKUP(RegistroPago!A33,Consolidado!$B$1:$L$1500,1,FALSE),Consolidado!$G$1:$G$1500),"")</f>
        <v>0</v>
      </c>
      <c r="D33" s="3"/>
      <c r="E33" s="3"/>
      <c r="F33" s="5" t="str">
        <f t="shared" si="3"/>
        <v/>
      </c>
      <c r="G33" s="16" t="str">
        <f>IF(D33&lt;&gt;"",D33-VLOOKUP(A33,Consolidado!$B$1:$L$1500,8,FALSE),"")</f>
        <v/>
      </c>
      <c r="H33" s="31"/>
      <c r="I33" s="32">
        <f t="shared" si="0"/>
        <v>0</v>
      </c>
      <c r="J33" s="33" t="str">
        <f t="shared" si="1"/>
        <v/>
      </c>
      <c r="K33" s="2"/>
      <c r="L33" s="15"/>
      <c r="M33" s="34">
        <f t="shared" si="2"/>
        <v>0</v>
      </c>
    </row>
    <row r="34" spans="1:13" x14ac:dyDescent="0.25">
      <c r="A34" s="30"/>
      <c r="B34" s="16" t="str">
        <f>IFERROR(VLOOKUP(A34,Consolidado!$B$1:$L$1500,2,FALSE),"")</f>
        <v/>
      </c>
      <c r="C34" s="16">
        <f>IFERROR(SUMIF(Consolidado!$B$1:$B$1500,VLOOKUP(RegistroPago!A34,Consolidado!$B$1:$L$1500,1,FALSE),Consolidado!$G$1:$G$1500),"")</f>
        <v>0</v>
      </c>
      <c r="D34" s="3"/>
      <c r="E34" s="3"/>
      <c r="F34" s="5" t="str">
        <f t="shared" si="3"/>
        <v/>
      </c>
      <c r="G34" s="16" t="str">
        <f>IF(D34&lt;&gt;"",D34-VLOOKUP(A34,Consolidado!$B$1:$L$1500,8,FALSE),"")</f>
        <v/>
      </c>
      <c r="H34" s="31"/>
      <c r="I34" s="32">
        <f t="shared" si="0"/>
        <v>0</v>
      </c>
      <c r="J34" s="33" t="str">
        <f t="shared" si="1"/>
        <v/>
      </c>
      <c r="K34" s="2"/>
      <c r="L34" s="15"/>
      <c r="M34" s="34">
        <f t="shared" si="2"/>
        <v>0</v>
      </c>
    </row>
    <row r="35" spans="1:13" x14ac:dyDescent="0.25">
      <c r="A35" s="30"/>
      <c r="B35" s="16" t="str">
        <f>IFERROR(VLOOKUP(A35,Consolidado!$B$1:$L$1500,2,FALSE),"")</f>
        <v/>
      </c>
      <c r="C35" s="16">
        <f>IFERROR(SUMIF(Consolidado!$B$1:$B$1500,VLOOKUP(RegistroPago!A35,Consolidado!$B$1:$L$1500,1,FALSE),Consolidado!$G$1:$G$1500),"")</f>
        <v>0</v>
      </c>
      <c r="D35" s="3"/>
      <c r="E35" s="3"/>
      <c r="F35" s="5" t="str">
        <f t="shared" si="3"/>
        <v/>
      </c>
      <c r="G35" s="16" t="str">
        <f>IF(D35&lt;&gt;"",D35-VLOOKUP(A35,Consolidado!$B$1:$L$1500,8,FALSE),"")</f>
        <v/>
      </c>
      <c r="H35" s="31"/>
      <c r="I35" s="32">
        <f t="shared" si="0"/>
        <v>0</v>
      </c>
      <c r="J35" s="33" t="str">
        <f t="shared" si="1"/>
        <v/>
      </c>
      <c r="K35" s="2"/>
      <c r="L35" s="15"/>
      <c r="M35" s="34">
        <f t="shared" si="2"/>
        <v>0</v>
      </c>
    </row>
    <row r="36" spans="1:13" x14ac:dyDescent="0.25">
      <c r="A36" s="30"/>
      <c r="B36" s="16" t="str">
        <f>IFERROR(VLOOKUP(A36,Consolidado!$B$1:$L$1500,2,FALSE),"")</f>
        <v/>
      </c>
      <c r="C36" s="16">
        <f>IFERROR(SUMIF(Consolidado!$B$1:$B$1500,VLOOKUP(RegistroPago!A36,Consolidado!$B$1:$L$1500,1,FALSE),Consolidado!$G$1:$G$1500),"")</f>
        <v>0</v>
      </c>
      <c r="D36" s="3"/>
      <c r="E36" s="3"/>
      <c r="F36" s="5" t="str">
        <f t="shared" si="3"/>
        <v/>
      </c>
      <c r="G36" s="16" t="str">
        <f>IF(D36&lt;&gt;"",D36-VLOOKUP(A36,Consolidado!$B$1:$L$1500,8,FALSE),"")</f>
        <v/>
      </c>
      <c r="H36" s="31"/>
      <c r="I36" s="32">
        <f t="shared" si="0"/>
        <v>0</v>
      </c>
      <c r="J36" s="33" t="str">
        <f t="shared" si="1"/>
        <v/>
      </c>
      <c r="K36" s="2"/>
      <c r="L36" s="15"/>
      <c r="M36" s="34">
        <f t="shared" si="2"/>
        <v>0</v>
      </c>
    </row>
    <row r="37" spans="1:13" x14ac:dyDescent="0.25">
      <c r="A37" s="30"/>
      <c r="B37" s="16" t="str">
        <f>IFERROR(VLOOKUP(A37,Consolidado!$B$1:$L$1500,2,FALSE),"")</f>
        <v/>
      </c>
      <c r="C37" s="16">
        <f>IFERROR(SUMIF(Consolidado!$B$1:$B$1500,VLOOKUP(RegistroPago!A37,Consolidado!$B$1:$L$1500,1,FALSE),Consolidado!$G$1:$G$1500),"")</f>
        <v>0</v>
      </c>
      <c r="D37" s="3"/>
      <c r="E37" s="3"/>
      <c r="F37" s="5" t="str">
        <f t="shared" si="3"/>
        <v/>
      </c>
      <c r="G37" s="16" t="str">
        <f>IF(D37&lt;&gt;"",D37-VLOOKUP(A37,Consolidado!$B$1:$L$1500,8,FALSE),"")</f>
        <v/>
      </c>
      <c r="H37" s="31"/>
      <c r="I37" s="32">
        <f t="shared" si="0"/>
        <v>0</v>
      </c>
      <c r="J37" s="33" t="str">
        <f t="shared" si="1"/>
        <v/>
      </c>
      <c r="K37" s="2"/>
      <c r="L37" s="15"/>
      <c r="M37" s="34">
        <f t="shared" si="2"/>
        <v>0</v>
      </c>
    </row>
    <row r="38" spans="1:13" x14ac:dyDescent="0.25">
      <c r="A38" s="30"/>
      <c r="B38" s="16" t="str">
        <f>IFERROR(VLOOKUP(A38,Consolidado!$B$1:$L$1500,2,FALSE),"")</f>
        <v/>
      </c>
      <c r="C38" s="16">
        <f>IFERROR(SUMIF(Consolidado!$B$1:$B$1500,VLOOKUP(RegistroPago!A38,Consolidado!$B$1:$L$1500,1,FALSE),Consolidado!$G$1:$G$1500),"")</f>
        <v>0</v>
      </c>
      <c r="D38" s="3"/>
      <c r="E38" s="3"/>
      <c r="F38" s="5" t="str">
        <f t="shared" si="3"/>
        <v/>
      </c>
      <c r="G38" s="16" t="str">
        <f>IF(D38&lt;&gt;"",D38-VLOOKUP(A38,Consolidado!$B$1:$L$1500,8,FALSE),"")</f>
        <v/>
      </c>
      <c r="H38" s="31"/>
      <c r="I38" s="32">
        <f t="shared" si="0"/>
        <v>0</v>
      </c>
      <c r="J38" s="33" t="str">
        <f t="shared" si="1"/>
        <v/>
      </c>
      <c r="K38" s="2"/>
      <c r="L38" s="15"/>
      <c r="M38" s="34">
        <f t="shared" si="2"/>
        <v>0</v>
      </c>
    </row>
    <row r="39" spans="1:13" x14ac:dyDescent="0.25">
      <c r="A39" s="30"/>
      <c r="B39" s="16" t="str">
        <f>IFERROR(VLOOKUP(A39,Consolidado!$B$1:$L$1500,2,FALSE),"")</f>
        <v/>
      </c>
      <c r="C39" s="16">
        <f>IFERROR(SUMIF(Consolidado!$B$1:$B$1500,VLOOKUP(RegistroPago!A39,Consolidado!$B$1:$L$1500,1,FALSE),Consolidado!$G$1:$G$1500),"")</f>
        <v>0</v>
      </c>
      <c r="D39" s="3"/>
      <c r="E39" s="3"/>
      <c r="F39" s="5" t="str">
        <f t="shared" si="3"/>
        <v/>
      </c>
      <c r="G39" s="16" t="str">
        <f>IF(D39&lt;&gt;"",D39-VLOOKUP(A39,Consolidado!$B$1:$L$1500,8,FALSE),"")</f>
        <v/>
      </c>
      <c r="H39" s="31"/>
      <c r="I39" s="32">
        <f t="shared" si="0"/>
        <v>0</v>
      </c>
      <c r="J39" s="33" t="str">
        <f t="shared" si="1"/>
        <v/>
      </c>
      <c r="K39" s="2"/>
      <c r="L39" s="15"/>
      <c r="M39" s="34">
        <f t="shared" si="2"/>
        <v>0</v>
      </c>
    </row>
    <row r="40" spans="1:13" x14ac:dyDescent="0.25">
      <c r="A40" s="30"/>
      <c r="B40" s="16" t="str">
        <f>IFERROR(VLOOKUP(A40,Consolidado!$B$1:$L$1500,2,FALSE),"")</f>
        <v/>
      </c>
      <c r="C40" s="16">
        <f>IFERROR(SUMIF(Consolidado!$B$1:$B$1500,VLOOKUP(RegistroPago!A40,Consolidado!$B$1:$L$1500,1,FALSE),Consolidado!$G$1:$G$1500),"")</f>
        <v>0</v>
      </c>
      <c r="D40" s="3"/>
      <c r="E40" s="3"/>
      <c r="F40" s="5" t="str">
        <f t="shared" si="3"/>
        <v/>
      </c>
      <c r="G40" s="16" t="str">
        <f>IF(D40&lt;&gt;"",D40-VLOOKUP(A40,Consolidado!$B$1:$L$1500,8,FALSE),"")</f>
        <v/>
      </c>
      <c r="H40" s="31"/>
      <c r="I40" s="32">
        <f t="shared" si="0"/>
        <v>0</v>
      </c>
      <c r="J40" s="33" t="str">
        <f t="shared" si="1"/>
        <v/>
      </c>
      <c r="K40" s="2"/>
      <c r="L40" s="15"/>
      <c r="M40" s="34">
        <f t="shared" si="2"/>
        <v>0</v>
      </c>
    </row>
    <row r="41" spans="1:13" x14ac:dyDescent="0.25">
      <c r="A41" s="30"/>
      <c r="B41" s="16" t="str">
        <f>IFERROR(VLOOKUP(A41,Consolidado!$B$1:$L$1500,2,FALSE),"")</f>
        <v/>
      </c>
      <c r="C41" s="16">
        <f>IFERROR(SUMIF(Consolidado!$B$1:$B$1500,VLOOKUP(RegistroPago!A41,Consolidado!$B$1:$L$1500,1,FALSE),Consolidado!$G$1:$G$1500),"")</f>
        <v>0</v>
      </c>
      <c r="D41" s="3"/>
      <c r="E41" s="3"/>
      <c r="F41" s="5" t="str">
        <f t="shared" si="3"/>
        <v/>
      </c>
      <c r="G41" s="16" t="str">
        <f>IF(D41&lt;&gt;"",D41-VLOOKUP(A41,Consolidado!$B$1:$L$1500,8,FALSE),"")</f>
        <v/>
      </c>
      <c r="H41" s="31"/>
      <c r="I41" s="32">
        <f t="shared" si="0"/>
        <v>0</v>
      </c>
      <c r="J41" s="33" t="str">
        <f t="shared" si="1"/>
        <v/>
      </c>
      <c r="K41" s="2"/>
      <c r="L41" s="15"/>
      <c r="M41" s="34">
        <f t="shared" si="2"/>
        <v>0</v>
      </c>
    </row>
    <row r="42" spans="1:13" x14ac:dyDescent="0.25">
      <c r="A42" s="30"/>
      <c r="B42" s="16" t="str">
        <f>IFERROR(VLOOKUP(A42,Consolidado!$B$1:$L$1500,2,FALSE),"")</f>
        <v/>
      </c>
      <c r="C42" s="16">
        <f>IFERROR(SUMIF(Consolidado!$B$1:$B$1500,VLOOKUP(RegistroPago!A42,Consolidado!$B$1:$L$1500,1,FALSE),Consolidado!$G$1:$G$1500),"")</f>
        <v>0</v>
      </c>
      <c r="D42" s="3"/>
      <c r="E42" s="3"/>
      <c r="F42" s="5" t="str">
        <f t="shared" si="3"/>
        <v/>
      </c>
      <c r="G42" s="16" t="str">
        <f>IF(D42&lt;&gt;"",D42-VLOOKUP(A42,Consolidado!$B$1:$L$1500,8,FALSE),"")</f>
        <v/>
      </c>
      <c r="H42" s="31"/>
      <c r="I42" s="32">
        <f t="shared" si="0"/>
        <v>0</v>
      </c>
      <c r="J42" s="33" t="str">
        <f t="shared" si="1"/>
        <v/>
      </c>
      <c r="K42" s="2"/>
      <c r="L42" s="15"/>
      <c r="M42" s="34">
        <f t="shared" si="2"/>
        <v>0</v>
      </c>
    </row>
    <row r="43" spans="1:13" x14ac:dyDescent="0.25">
      <c r="A43" s="30"/>
      <c r="B43" s="16" t="str">
        <f>IFERROR(VLOOKUP(A43,Consolidado!$B$1:$L$1500,2,FALSE),"")</f>
        <v/>
      </c>
      <c r="C43" s="16">
        <f>IFERROR(SUMIF(Consolidado!$B$1:$B$1500,VLOOKUP(RegistroPago!A43,Consolidado!$B$1:$L$1500,1,FALSE),Consolidado!$G$1:$G$1500),"")</f>
        <v>0</v>
      </c>
      <c r="D43" s="3"/>
      <c r="E43" s="3"/>
      <c r="F43" s="5" t="str">
        <f t="shared" si="3"/>
        <v/>
      </c>
      <c r="G43" s="16" t="str">
        <f>IF(D43&lt;&gt;"",D43-VLOOKUP(A43,Consolidado!$B$1:$L$1500,8,FALSE),"")</f>
        <v/>
      </c>
      <c r="H43" s="31"/>
      <c r="I43" s="32">
        <f t="shared" si="0"/>
        <v>0</v>
      </c>
      <c r="J43" s="33" t="str">
        <f t="shared" si="1"/>
        <v/>
      </c>
      <c r="K43" s="2"/>
      <c r="L43" s="15"/>
      <c r="M43" s="34">
        <f t="shared" si="2"/>
        <v>0</v>
      </c>
    </row>
    <row r="44" spans="1:13" x14ac:dyDescent="0.25">
      <c r="A44" s="30"/>
      <c r="B44" s="16" t="str">
        <f>IFERROR(VLOOKUP(A44,Consolidado!$B$1:$L$1500,2,FALSE),"")</f>
        <v/>
      </c>
      <c r="C44" s="16">
        <f>IFERROR(SUMIF(Consolidado!$B$1:$B$1500,VLOOKUP(RegistroPago!A44,Consolidado!$B$1:$L$1500,1,FALSE),Consolidado!$G$1:$G$1500),"")</f>
        <v>0</v>
      </c>
      <c r="D44" s="3"/>
      <c r="E44" s="3"/>
      <c r="F44" s="5" t="str">
        <f t="shared" si="3"/>
        <v/>
      </c>
      <c r="G44" s="16" t="str">
        <f>IF(D44&lt;&gt;"",D44-VLOOKUP(A44,Consolidado!$B$1:$L$1500,8,FALSE),"")</f>
        <v/>
      </c>
      <c r="H44" s="31"/>
      <c r="I44" s="32">
        <f t="shared" si="0"/>
        <v>0</v>
      </c>
      <c r="J44" s="33" t="str">
        <f t="shared" si="1"/>
        <v/>
      </c>
      <c r="K44" s="2"/>
      <c r="L44" s="15"/>
      <c r="M44" s="34">
        <f t="shared" si="2"/>
        <v>0</v>
      </c>
    </row>
    <row r="45" spans="1:13" x14ac:dyDescent="0.25">
      <c r="A45" s="30"/>
      <c r="B45" s="16" t="str">
        <f>IFERROR(VLOOKUP(A45,Consolidado!$B$1:$L$1500,2,FALSE),"")</f>
        <v/>
      </c>
      <c r="C45" s="16">
        <f>IFERROR(SUMIF(Consolidado!$B$1:$B$1500,VLOOKUP(RegistroPago!A45,Consolidado!$B$1:$L$1500,1,FALSE),Consolidado!$G$1:$G$1500),"")</f>
        <v>0</v>
      </c>
      <c r="D45" s="3"/>
      <c r="E45" s="3"/>
      <c r="F45" s="5" t="str">
        <f t="shared" si="3"/>
        <v/>
      </c>
      <c r="G45" s="16" t="str">
        <f>IF(D45&lt;&gt;"",D45-VLOOKUP(A45,Consolidado!$B$1:$L$1500,8,FALSE),"")</f>
        <v/>
      </c>
      <c r="H45" s="31"/>
      <c r="I45" s="32">
        <f t="shared" si="0"/>
        <v>0</v>
      </c>
      <c r="J45" s="33" t="str">
        <f t="shared" si="1"/>
        <v/>
      </c>
      <c r="K45" s="2"/>
      <c r="L45" s="15"/>
      <c r="M45" s="34">
        <f t="shared" si="2"/>
        <v>0</v>
      </c>
    </row>
    <row r="46" spans="1:13" x14ac:dyDescent="0.25">
      <c r="A46" s="30"/>
      <c r="B46" s="16" t="str">
        <f>IFERROR(VLOOKUP(A46,Consolidado!$B$1:$L$1500,2,FALSE),"")</f>
        <v/>
      </c>
      <c r="C46" s="16">
        <f>IFERROR(SUMIF(Consolidado!$B$1:$B$1500,VLOOKUP(RegistroPago!A46,Consolidado!$B$1:$L$1500,1,FALSE),Consolidado!$G$1:$G$1500),"")</f>
        <v>0</v>
      </c>
      <c r="D46" s="3"/>
      <c r="E46" s="3"/>
      <c r="F46" s="5" t="str">
        <f t="shared" si="3"/>
        <v/>
      </c>
      <c r="G46" s="16" t="str">
        <f>IF(D46&lt;&gt;"",D46-VLOOKUP(A46,Consolidado!$B$1:$L$1500,8,FALSE),"")</f>
        <v/>
      </c>
      <c r="H46" s="31"/>
      <c r="I46" s="32">
        <f t="shared" si="0"/>
        <v>0</v>
      </c>
      <c r="J46" s="33" t="str">
        <f t="shared" si="1"/>
        <v/>
      </c>
      <c r="K46" s="2"/>
      <c r="L46" s="15"/>
      <c r="M46" s="34">
        <f t="shared" si="2"/>
        <v>0</v>
      </c>
    </row>
    <row r="47" spans="1:13" x14ac:dyDescent="0.25">
      <c r="A47" s="30"/>
      <c r="B47" s="16" t="str">
        <f>IFERROR(VLOOKUP(A47,Consolidado!$B$1:$L$1500,2,FALSE),"")</f>
        <v/>
      </c>
      <c r="C47" s="16">
        <f>IFERROR(SUMIF(Consolidado!$B$1:$B$1500,VLOOKUP(RegistroPago!A47,Consolidado!$B$1:$L$1500,1,FALSE),Consolidado!$G$1:$G$1500),"")</f>
        <v>0</v>
      </c>
      <c r="D47" s="3"/>
      <c r="E47" s="3"/>
      <c r="F47" s="5" t="str">
        <f t="shared" si="3"/>
        <v/>
      </c>
      <c r="G47" s="16" t="str">
        <f>IF(D47&lt;&gt;"",D47-VLOOKUP(A47,Consolidado!$B$1:$L$1500,8,FALSE),"")</f>
        <v/>
      </c>
      <c r="H47" s="31"/>
      <c r="I47" s="32">
        <f t="shared" si="0"/>
        <v>0</v>
      </c>
      <c r="J47" s="33" t="str">
        <f t="shared" si="1"/>
        <v/>
      </c>
      <c r="K47" s="2"/>
      <c r="L47" s="15"/>
      <c r="M47" s="34">
        <f t="shared" si="2"/>
        <v>0</v>
      </c>
    </row>
    <row r="48" spans="1:13" x14ac:dyDescent="0.25">
      <c r="A48" s="30"/>
      <c r="B48" s="16" t="str">
        <f>IFERROR(VLOOKUP(A48,Consolidado!$B$1:$L$1500,2,FALSE),"")</f>
        <v/>
      </c>
      <c r="C48" s="16">
        <f>IFERROR(SUMIF(Consolidado!$B$1:$B$1500,VLOOKUP(RegistroPago!A48,Consolidado!$B$1:$L$1500,1,FALSE),Consolidado!$G$1:$G$1500),"")</f>
        <v>0</v>
      </c>
      <c r="D48" s="3"/>
      <c r="E48" s="3"/>
      <c r="F48" s="5" t="str">
        <f t="shared" si="3"/>
        <v/>
      </c>
      <c r="G48" s="16" t="str">
        <f>IF(D48&lt;&gt;"",D48-VLOOKUP(A48,Consolidado!$B$1:$L$1500,8,FALSE),"")</f>
        <v/>
      </c>
      <c r="H48" s="31"/>
      <c r="I48" s="32">
        <f t="shared" si="0"/>
        <v>0</v>
      </c>
      <c r="J48" s="33" t="str">
        <f t="shared" si="1"/>
        <v/>
      </c>
      <c r="K48" s="2"/>
      <c r="L48" s="15"/>
      <c r="M48" s="34">
        <f t="shared" si="2"/>
        <v>0</v>
      </c>
    </row>
    <row r="49" spans="1:13" x14ac:dyDescent="0.25">
      <c r="A49" s="30"/>
      <c r="B49" s="16" t="str">
        <f>IFERROR(VLOOKUP(A49,Consolidado!$B$1:$L$1500,2,FALSE),"")</f>
        <v/>
      </c>
      <c r="C49" s="16">
        <f>IFERROR(SUMIF(Consolidado!$B$1:$B$1500,VLOOKUP(RegistroPago!A49,Consolidado!$B$1:$L$1500,1,FALSE),Consolidado!$G$1:$G$1500),"")</f>
        <v>0</v>
      </c>
      <c r="D49" s="3"/>
      <c r="E49" s="3"/>
      <c r="F49" s="5" t="str">
        <f t="shared" si="3"/>
        <v/>
      </c>
      <c r="G49" s="16" t="str">
        <f>IF(D49&lt;&gt;"",D49-VLOOKUP(A49,Consolidado!$B$1:$L$1500,8,FALSE),"")</f>
        <v/>
      </c>
      <c r="H49" s="31"/>
      <c r="I49" s="32">
        <f t="shared" si="0"/>
        <v>0</v>
      </c>
      <c r="J49" s="33" t="str">
        <f t="shared" si="1"/>
        <v/>
      </c>
      <c r="K49" s="2"/>
      <c r="L49" s="15"/>
      <c r="M49" s="34">
        <f t="shared" si="2"/>
        <v>0</v>
      </c>
    </row>
    <row r="50" spans="1:13" x14ac:dyDescent="0.25">
      <c r="A50" s="30"/>
      <c r="B50" s="16" t="str">
        <f>IFERROR(VLOOKUP(A50,Consolidado!$B$1:$L$1500,2,FALSE),"")</f>
        <v/>
      </c>
      <c r="C50" s="16">
        <f>IFERROR(SUMIF(Consolidado!$B$1:$B$1500,VLOOKUP(RegistroPago!A50,Consolidado!$B$1:$L$1500,1,FALSE),Consolidado!$G$1:$G$1500),"")</f>
        <v>0</v>
      </c>
      <c r="D50" s="3"/>
      <c r="E50" s="3"/>
      <c r="F50" s="5" t="str">
        <f t="shared" si="3"/>
        <v/>
      </c>
      <c r="G50" s="16" t="str">
        <f>IF(D50&lt;&gt;"",D50-VLOOKUP(A50,Consolidado!$B$1:$L$1500,8,FALSE),"")</f>
        <v/>
      </c>
      <c r="H50" s="31"/>
      <c r="I50" s="32">
        <f t="shared" si="0"/>
        <v>0</v>
      </c>
      <c r="J50" s="33" t="str">
        <f t="shared" si="1"/>
        <v/>
      </c>
      <c r="K50" s="2"/>
      <c r="L50" s="15"/>
      <c r="M50" s="34">
        <f t="shared" si="2"/>
        <v>0</v>
      </c>
    </row>
    <row r="51" spans="1:13" x14ac:dyDescent="0.25">
      <c r="A51" s="30"/>
      <c r="B51" s="16" t="str">
        <f>IFERROR(VLOOKUP(A51,Consolidado!$B$1:$L$1500,2,FALSE),"")</f>
        <v/>
      </c>
      <c r="C51" s="16">
        <f>IFERROR(SUMIF(Consolidado!$B$1:$B$1500,VLOOKUP(RegistroPago!A51,Consolidado!$B$1:$L$1500,1,FALSE),Consolidado!$G$1:$G$1500),"")</f>
        <v>0</v>
      </c>
      <c r="D51" s="3"/>
      <c r="E51" s="3"/>
      <c r="F51" s="5" t="str">
        <f t="shared" si="3"/>
        <v/>
      </c>
      <c r="G51" s="16" t="str">
        <f>IF(D51&lt;&gt;"",D51-VLOOKUP(A51,Consolidado!$B$1:$L$1500,8,FALSE),"")</f>
        <v/>
      </c>
      <c r="H51" s="31"/>
      <c r="I51" s="32">
        <f t="shared" si="0"/>
        <v>0</v>
      </c>
      <c r="J51" s="33" t="str">
        <f t="shared" si="1"/>
        <v/>
      </c>
      <c r="K51" s="2"/>
      <c r="L51" s="15"/>
      <c r="M51" s="34">
        <f t="shared" si="2"/>
        <v>0</v>
      </c>
    </row>
    <row r="52" spans="1:13" x14ac:dyDescent="0.25">
      <c r="A52" s="30"/>
      <c r="B52" s="16" t="str">
        <f>IFERROR(VLOOKUP(A52,Consolidado!$B$1:$L$1500,2,FALSE),"")</f>
        <v/>
      </c>
      <c r="C52" s="16">
        <f>IFERROR(SUMIF(Consolidado!$B$1:$B$1500,VLOOKUP(RegistroPago!A52,Consolidado!$B$1:$L$1500,1,FALSE),Consolidado!$G$1:$G$1500),"")</f>
        <v>0</v>
      </c>
      <c r="D52" s="3"/>
      <c r="E52" s="3"/>
      <c r="F52" s="5" t="str">
        <f t="shared" si="3"/>
        <v/>
      </c>
      <c r="G52" s="16" t="str">
        <f>IF(D52&lt;&gt;"",D52-VLOOKUP(A52,Consolidado!$B$1:$L$1500,8,FALSE),"")</f>
        <v/>
      </c>
      <c r="H52" s="31"/>
      <c r="I52" s="32">
        <f t="shared" si="0"/>
        <v>0</v>
      </c>
      <c r="J52" s="33" t="str">
        <f t="shared" si="1"/>
        <v/>
      </c>
      <c r="K52" s="2"/>
      <c r="L52" s="15"/>
      <c r="M52" s="34">
        <f t="shared" si="2"/>
        <v>0</v>
      </c>
    </row>
    <row r="53" spans="1:13" x14ac:dyDescent="0.25">
      <c r="A53" s="30"/>
      <c r="B53" s="16" t="str">
        <f>IFERROR(VLOOKUP(A53,Consolidado!$B$1:$L$1500,2,FALSE),"")</f>
        <v/>
      </c>
      <c r="C53" s="16">
        <f>IFERROR(SUMIF(Consolidado!$B$1:$B$1500,VLOOKUP(RegistroPago!A53,Consolidado!$B$1:$L$1500,1,FALSE),Consolidado!$G$1:$G$1500),"")</f>
        <v>0</v>
      </c>
      <c r="D53" s="3"/>
      <c r="E53" s="3"/>
      <c r="F53" s="5" t="str">
        <f t="shared" si="3"/>
        <v/>
      </c>
      <c r="G53" s="16" t="str">
        <f>IF(D53&lt;&gt;"",D53-VLOOKUP(A53,Consolidado!$B$1:$L$1500,8,FALSE),"")</f>
        <v/>
      </c>
      <c r="H53" s="31"/>
      <c r="I53" s="32">
        <f t="shared" si="0"/>
        <v>0</v>
      </c>
      <c r="J53" s="33" t="str">
        <f t="shared" si="1"/>
        <v/>
      </c>
      <c r="K53" s="2"/>
      <c r="L53" s="15"/>
      <c r="M53" s="34">
        <f t="shared" si="2"/>
        <v>0</v>
      </c>
    </row>
    <row r="54" spans="1:13" x14ac:dyDescent="0.25">
      <c r="A54" s="30"/>
      <c r="B54" s="16" t="str">
        <f>IFERROR(VLOOKUP(A54,Consolidado!$B$1:$L$1500,2,FALSE),"")</f>
        <v/>
      </c>
      <c r="C54" s="16">
        <f>IFERROR(SUMIF(Consolidado!$B$1:$B$1500,VLOOKUP(RegistroPago!A54,Consolidado!$B$1:$L$1500,1,FALSE),Consolidado!$G$1:$G$1500),"")</f>
        <v>0</v>
      </c>
      <c r="D54" s="3"/>
      <c r="E54" s="3"/>
      <c r="F54" s="5" t="str">
        <f t="shared" si="3"/>
        <v/>
      </c>
      <c r="G54" s="16" t="str">
        <f>IF(D54&lt;&gt;"",D54-VLOOKUP(A54,Consolidado!$B$1:$L$1500,8,FALSE),"")</f>
        <v/>
      </c>
      <c r="H54" s="31"/>
      <c r="I54" s="32">
        <f t="shared" si="0"/>
        <v>0</v>
      </c>
      <c r="J54" s="33" t="str">
        <f t="shared" si="1"/>
        <v/>
      </c>
      <c r="K54" s="2"/>
      <c r="L54" s="15"/>
      <c r="M54" s="34">
        <f t="shared" si="2"/>
        <v>0</v>
      </c>
    </row>
    <row r="55" spans="1:13" x14ac:dyDescent="0.25">
      <c r="A55" s="30"/>
      <c r="B55" s="16" t="str">
        <f>IFERROR(VLOOKUP(A55,Consolidado!$B$1:$L$1500,2,FALSE),"")</f>
        <v/>
      </c>
      <c r="C55" s="16">
        <f>IFERROR(SUMIF(Consolidado!$B$1:$B$1500,VLOOKUP(RegistroPago!A55,Consolidado!$B$1:$L$1500,1,FALSE),Consolidado!$G$1:$G$1500),"")</f>
        <v>0</v>
      </c>
      <c r="D55" s="3"/>
      <c r="E55" s="3"/>
      <c r="F55" s="5" t="str">
        <f t="shared" si="3"/>
        <v/>
      </c>
      <c r="G55" s="16" t="str">
        <f>IF(D55&lt;&gt;"",D55-VLOOKUP(A55,Consolidado!$B$1:$L$1500,8,FALSE),"")</f>
        <v/>
      </c>
      <c r="H55" s="31"/>
      <c r="I55" s="32">
        <f t="shared" si="0"/>
        <v>0</v>
      </c>
      <c r="J55" s="33" t="str">
        <f t="shared" si="1"/>
        <v/>
      </c>
      <c r="K55" s="2"/>
      <c r="L55" s="15"/>
      <c r="M55" s="34">
        <f t="shared" si="2"/>
        <v>0</v>
      </c>
    </row>
    <row r="56" spans="1:13" x14ac:dyDescent="0.25">
      <c r="A56" s="30"/>
      <c r="B56" s="16" t="str">
        <f>IFERROR(VLOOKUP(A56,Consolidado!$B$1:$L$1500,2,FALSE),"")</f>
        <v/>
      </c>
      <c r="C56" s="16">
        <f>IFERROR(SUMIF(Consolidado!$B$1:$B$1500,VLOOKUP(RegistroPago!A56,Consolidado!$B$1:$L$1500,1,FALSE),Consolidado!$G$1:$G$1500),"")</f>
        <v>0</v>
      </c>
      <c r="D56" s="3"/>
      <c r="E56" s="3"/>
      <c r="F56" s="5" t="str">
        <f t="shared" si="3"/>
        <v/>
      </c>
      <c r="G56" s="16" t="str">
        <f>IF(D56&lt;&gt;"",D56-VLOOKUP(A56,Consolidado!$B$1:$L$1500,8,FALSE),"")</f>
        <v/>
      </c>
      <c r="H56" s="31"/>
      <c r="I56" s="32">
        <f t="shared" si="0"/>
        <v>0</v>
      </c>
      <c r="J56" s="33" t="str">
        <f t="shared" si="1"/>
        <v/>
      </c>
      <c r="K56" s="2"/>
      <c r="L56" s="15"/>
      <c r="M56" s="34">
        <f t="shared" si="2"/>
        <v>0</v>
      </c>
    </row>
    <row r="57" spans="1:13" x14ac:dyDescent="0.25">
      <c r="A57" s="30"/>
      <c r="B57" s="16" t="str">
        <f>IFERROR(VLOOKUP(A57,Consolidado!$B$1:$L$1500,2,FALSE),"")</f>
        <v/>
      </c>
      <c r="C57" s="16">
        <f>IFERROR(SUMIF(Consolidado!$B$1:$B$1500,VLOOKUP(RegistroPago!A57,Consolidado!$B$1:$L$1500,1,FALSE),Consolidado!$G$1:$G$1500),"")</f>
        <v>0</v>
      </c>
      <c r="D57" s="3"/>
      <c r="E57" s="3"/>
      <c r="F57" s="5" t="str">
        <f t="shared" si="3"/>
        <v/>
      </c>
      <c r="G57" s="16" t="str">
        <f>IF(D57&lt;&gt;"",D57-VLOOKUP(A57,Consolidado!$B$1:$L$1500,8,FALSE),"")</f>
        <v/>
      </c>
      <c r="H57" s="31"/>
      <c r="I57" s="32">
        <f t="shared" si="0"/>
        <v>0</v>
      </c>
      <c r="J57" s="33" t="str">
        <f t="shared" si="1"/>
        <v/>
      </c>
      <c r="K57" s="2"/>
      <c r="L57" s="15"/>
      <c r="M57" s="34">
        <f t="shared" si="2"/>
        <v>0</v>
      </c>
    </row>
    <row r="58" spans="1:13" x14ac:dyDescent="0.25">
      <c r="A58" s="30"/>
      <c r="B58" s="16" t="str">
        <f>IFERROR(VLOOKUP(A58,Consolidado!$B$1:$L$1500,2,FALSE),"")</f>
        <v/>
      </c>
      <c r="C58" s="16">
        <f>IFERROR(SUMIF(Consolidado!$B$1:$B$1500,VLOOKUP(RegistroPago!A58,Consolidado!$B$1:$L$1500,1,FALSE),Consolidado!$G$1:$G$1500),"")</f>
        <v>0</v>
      </c>
      <c r="D58" s="3"/>
      <c r="E58" s="3"/>
      <c r="F58" s="5" t="str">
        <f t="shared" si="3"/>
        <v/>
      </c>
      <c r="G58" s="16" t="str">
        <f>IF(D58&lt;&gt;"",D58-VLOOKUP(A58,Consolidado!$B$1:$L$1500,8,FALSE),"")</f>
        <v/>
      </c>
      <c r="H58" s="31"/>
      <c r="I58" s="32">
        <f t="shared" si="0"/>
        <v>0</v>
      </c>
      <c r="J58" s="33" t="str">
        <f t="shared" si="1"/>
        <v/>
      </c>
      <c r="K58" s="2"/>
      <c r="L58" s="15"/>
      <c r="M58" s="34">
        <f t="shared" si="2"/>
        <v>0</v>
      </c>
    </row>
    <row r="59" spans="1:13" x14ac:dyDescent="0.25">
      <c r="A59" s="30"/>
      <c r="B59" s="16" t="str">
        <f>IFERROR(VLOOKUP(A59,Consolidado!$B$1:$L$1500,2,FALSE),"")</f>
        <v/>
      </c>
      <c r="C59" s="16">
        <f>IFERROR(SUMIF(Consolidado!$B$1:$B$1500,VLOOKUP(RegistroPago!A59,Consolidado!$B$1:$L$1500,1,FALSE),Consolidado!$G$1:$G$1500),"")</f>
        <v>0</v>
      </c>
      <c r="D59" s="3"/>
      <c r="E59" s="3"/>
      <c r="F59" s="5" t="str">
        <f t="shared" si="3"/>
        <v/>
      </c>
      <c r="G59" s="16" t="str">
        <f>IF(D59&lt;&gt;"",D59-VLOOKUP(A59,Consolidado!$B$1:$L$1500,8,FALSE),"")</f>
        <v/>
      </c>
      <c r="H59" s="31"/>
      <c r="I59" s="32">
        <f t="shared" si="0"/>
        <v>0</v>
      </c>
      <c r="J59" s="33" t="str">
        <f t="shared" si="1"/>
        <v/>
      </c>
      <c r="K59" s="2"/>
      <c r="L59" s="15"/>
      <c r="M59" s="34">
        <f t="shared" si="2"/>
        <v>0</v>
      </c>
    </row>
    <row r="60" spans="1:13" x14ac:dyDescent="0.25">
      <c r="A60" s="30"/>
      <c r="B60" s="16" t="str">
        <f>IFERROR(VLOOKUP(A60,Consolidado!$B$1:$L$1500,2,FALSE),"")</f>
        <v/>
      </c>
      <c r="C60" s="16">
        <f>IFERROR(SUMIF(Consolidado!$B$1:$B$1500,VLOOKUP(RegistroPago!A60,Consolidado!$B$1:$L$1500,1,FALSE),Consolidado!$G$1:$G$1500),"")</f>
        <v>0</v>
      </c>
      <c r="D60" s="3"/>
      <c r="E60" s="3"/>
      <c r="F60" s="5" t="str">
        <f t="shared" si="3"/>
        <v/>
      </c>
      <c r="G60" s="16" t="str">
        <f>IF(D60&lt;&gt;"",D60-VLOOKUP(A60,Consolidado!$B$1:$L$1500,8,FALSE),"")</f>
        <v/>
      </c>
      <c r="H60" s="31"/>
      <c r="I60" s="32">
        <f t="shared" si="0"/>
        <v>0</v>
      </c>
      <c r="J60" s="33" t="str">
        <f t="shared" si="1"/>
        <v/>
      </c>
      <c r="K60" s="2"/>
      <c r="L60" s="15"/>
      <c r="M60" s="34">
        <f t="shared" si="2"/>
        <v>0</v>
      </c>
    </row>
    <row r="61" spans="1:13" x14ac:dyDescent="0.25">
      <c r="A61" s="30"/>
      <c r="B61" s="16" t="str">
        <f>IFERROR(VLOOKUP(A61,Consolidado!$B$1:$L$1500,2,FALSE),"")</f>
        <v/>
      </c>
      <c r="C61" s="16">
        <f>IFERROR(SUMIF(Consolidado!$B$1:$B$1500,VLOOKUP(RegistroPago!A61,Consolidado!$B$1:$L$1500,1,FALSE),Consolidado!$G$1:$G$1500),"")</f>
        <v>0</v>
      </c>
      <c r="D61" s="3"/>
      <c r="E61" s="3"/>
      <c r="F61" s="5" t="str">
        <f t="shared" si="3"/>
        <v/>
      </c>
      <c r="G61" s="16" t="str">
        <f>IF(D61&lt;&gt;"",D61-VLOOKUP(A61,Consolidado!$B$1:$L$1500,8,FALSE),"")</f>
        <v/>
      </c>
      <c r="H61" s="31"/>
      <c r="I61" s="32">
        <f t="shared" si="0"/>
        <v>0</v>
      </c>
      <c r="J61" s="33" t="str">
        <f t="shared" si="1"/>
        <v/>
      </c>
      <c r="K61" s="2"/>
      <c r="L61" s="15"/>
      <c r="M61" s="34">
        <f t="shared" si="2"/>
        <v>0</v>
      </c>
    </row>
    <row r="62" spans="1:13" x14ac:dyDescent="0.25">
      <c r="A62" s="30"/>
      <c r="B62" s="16" t="str">
        <f>IFERROR(VLOOKUP(A62,Consolidado!$B$1:$L$1500,2,FALSE),"")</f>
        <v/>
      </c>
      <c r="C62" s="16">
        <f>IFERROR(SUMIF(Consolidado!$B$1:$B$1500,VLOOKUP(RegistroPago!A62,Consolidado!$B$1:$L$1500,1,FALSE),Consolidado!$G$1:$G$1500),"")</f>
        <v>0</v>
      </c>
      <c r="D62" s="3"/>
      <c r="E62" s="3"/>
      <c r="F62" s="5" t="str">
        <f t="shared" si="3"/>
        <v/>
      </c>
      <c r="G62" s="16" t="str">
        <f>IF(D62&lt;&gt;"",D62-VLOOKUP(A62,Consolidado!$B$1:$L$1500,8,FALSE),"")</f>
        <v/>
      </c>
      <c r="H62" s="31"/>
      <c r="I62" s="32">
        <f t="shared" si="0"/>
        <v>0</v>
      </c>
      <c r="J62" s="33" t="str">
        <f t="shared" si="1"/>
        <v/>
      </c>
      <c r="K62" s="2"/>
      <c r="L62" s="15"/>
      <c r="M62" s="34">
        <f t="shared" si="2"/>
        <v>0</v>
      </c>
    </row>
    <row r="63" spans="1:13" x14ac:dyDescent="0.25">
      <c r="A63" s="30"/>
      <c r="B63" s="16" t="str">
        <f>IFERROR(VLOOKUP(A63,Consolidado!$B$1:$L$1500,2,FALSE),"")</f>
        <v/>
      </c>
      <c r="C63" s="16">
        <f>IFERROR(SUMIF(Consolidado!$B$1:$B$1500,VLOOKUP(RegistroPago!A63,Consolidado!$B$1:$L$1500,1,FALSE),Consolidado!$G$1:$G$1500),"")</f>
        <v>0</v>
      </c>
      <c r="D63" s="3"/>
      <c r="E63" s="3"/>
      <c r="F63" s="5" t="str">
        <f t="shared" si="3"/>
        <v/>
      </c>
      <c r="G63" s="16" t="str">
        <f>IF(D63&lt;&gt;"",D63-VLOOKUP(A63,Consolidado!$B$1:$L$1500,8,FALSE),"")</f>
        <v/>
      </c>
      <c r="H63" s="31"/>
      <c r="I63" s="32">
        <f t="shared" si="0"/>
        <v>0</v>
      </c>
      <c r="J63" s="33" t="str">
        <f t="shared" si="1"/>
        <v/>
      </c>
      <c r="K63" s="2"/>
      <c r="L63" s="15"/>
      <c r="M63" s="34">
        <f t="shared" si="2"/>
        <v>0</v>
      </c>
    </row>
    <row r="64" spans="1:13" x14ac:dyDescent="0.25">
      <c r="A64" s="30"/>
      <c r="B64" s="16" t="str">
        <f>IFERROR(VLOOKUP(A64,Consolidado!$B$1:$L$1500,2,FALSE),"")</f>
        <v/>
      </c>
      <c r="C64" s="16">
        <f>IFERROR(SUMIF(Consolidado!$B$1:$B$1500,VLOOKUP(RegistroPago!A64,Consolidado!$B$1:$L$1500,1,FALSE),Consolidado!$G$1:$G$1500),"")</f>
        <v>0</v>
      </c>
      <c r="D64" s="3"/>
      <c r="E64" s="3"/>
      <c r="F64" s="5" t="str">
        <f t="shared" si="3"/>
        <v/>
      </c>
      <c r="G64" s="16" t="str">
        <f>IF(D64&lt;&gt;"",D64-VLOOKUP(A64,Consolidado!$B$1:$L$1500,8,FALSE),"")</f>
        <v/>
      </c>
      <c r="H64" s="31"/>
      <c r="I64" s="32">
        <f t="shared" si="0"/>
        <v>0</v>
      </c>
      <c r="J64" s="33" t="str">
        <f t="shared" si="1"/>
        <v/>
      </c>
      <c r="K64" s="2"/>
      <c r="L64" s="15"/>
      <c r="M64" s="34">
        <f t="shared" si="2"/>
        <v>0</v>
      </c>
    </row>
    <row r="65" spans="1:13" x14ac:dyDescent="0.25">
      <c r="A65" s="30"/>
      <c r="B65" s="16" t="str">
        <f>IFERROR(VLOOKUP(A65,Consolidado!$B$1:$L$1500,2,FALSE),"")</f>
        <v/>
      </c>
      <c r="C65" s="16">
        <f>IFERROR(SUMIF(Consolidado!$B$1:$B$1500,VLOOKUP(RegistroPago!A65,Consolidado!$B$1:$L$1500,1,FALSE),Consolidado!$G$1:$G$1500),"")</f>
        <v>0</v>
      </c>
      <c r="D65" s="3"/>
      <c r="E65" s="3"/>
      <c r="F65" s="5" t="str">
        <f t="shared" si="3"/>
        <v/>
      </c>
      <c r="G65" s="16" t="str">
        <f>IF(D65&lt;&gt;"",D65-VLOOKUP(A65,Consolidado!$B$1:$L$1500,8,FALSE),"")</f>
        <v/>
      </c>
      <c r="H65" s="31"/>
      <c r="I65" s="32">
        <f t="shared" si="0"/>
        <v>0</v>
      </c>
      <c r="J65" s="33" t="str">
        <f t="shared" si="1"/>
        <v/>
      </c>
      <c r="K65" s="2"/>
      <c r="L65" s="15"/>
      <c r="M65" s="34">
        <f t="shared" si="2"/>
        <v>0</v>
      </c>
    </row>
    <row r="66" spans="1:13" x14ac:dyDescent="0.25">
      <c r="A66" s="30"/>
      <c r="B66" s="16" t="str">
        <f>IFERROR(VLOOKUP(A66,Consolidado!$B$1:$L$1500,2,FALSE),"")</f>
        <v/>
      </c>
      <c r="C66" s="16">
        <f>IFERROR(SUMIF(Consolidado!$B$1:$B$1500,VLOOKUP(RegistroPago!A66,Consolidado!$B$1:$L$1500,1,FALSE),Consolidado!$G$1:$G$1500),"")</f>
        <v>0</v>
      </c>
      <c r="D66" s="3"/>
      <c r="E66" s="3"/>
      <c r="F66" s="5" t="str">
        <f t="shared" si="3"/>
        <v/>
      </c>
      <c r="G66" s="16" t="str">
        <f>IF(D66&lt;&gt;"",D66-VLOOKUP(A66,Consolidado!$B$1:$L$1500,8,FALSE),"")</f>
        <v/>
      </c>
      <c r="H66" s="31"/>
      <c r="I66" s="32">
        <f t="shared" si="0"/>
        <v>0</v>
      </c>
      <c r="J66" s="33" t="str">
        <f t="shared" si="1"/>
        <v/>
      </c>
      <c r="K66" s="2"/>
      <c r="L66" s="15"/>
      <c r="M66" s="34">
        <f t="shared" si="2"/>
        <v>0</v>
      </c>
    </row>
    <row r="67" spans="1:13" x14ac:dyDescent="0.25">
      <c r="A67" s="30"/>
      <c r="B67" s="16" t="str">
        <f>IFERROR(VLOOKUP(A67,Consolidado!$B$1:$L$1500,2,FALSE),"")</f>
        <v/>
      </c>
      <c r="C67" s="16">
        <f>IFERROR(SUMIF(Consolidado!$B$1:$B$1500,VLOOKUP(RegistroPago!A67,Consolidado!$B$1:$L$1500,1,FALSE),Consolidado!$G$1:$G$1500),"")</f>
        <v>0</v>
      </c>
      <c r="D67" s="3"/>
      <c r="E67" s="3"/>
      <c r="F67" s="5" t="str">
        <f t="shared" ref="F67:F130" si="4">IF(COUNTIF($E$2:$E$2000,E67)&gt;1,"Ya registrado","")</f>
        <v/>
      </c>
      <c r="G67" s="16" t="str">
        <f>IF(D67&lt;&gt;"",D67-VLOOKUP(A67,Consolidado!$B$1:$L$1500,8,FALSE),"")</f>
        <v/>
      </c>
      <c r="H67" s="31"/>
      <c r="I67" s="32">
        <f t="shared" ref="I67:I130" si="5">IFERROR(SUMIF($E$1:$E$2000,H67,$C$1:$C$2000)-SUMIF($E$1:$E$2000,H67,$F$1:$F$2000),"")</f>
        <v>0</v>
      </c>
      <c r="J67" s="33" t="str">
        <f t="shared" ref="J67:J130" si="6">IFERROR(I67/SUMIF($E$1:$E$2000,H67,$C$1:$C$2000),"")</f>
        <v/>
      </c>
      <c r="K67" s="2"/>
      <c r="L67" s="15"/>
      <c r="M67" s="34">
        <f t="shared" ref="M67:M130" si="7">IFERROR(L67*SUMIF($E$1:$E$2000,H67,$F$1:$F$2000),"")</f>
        <v>0</v>
      </c>
    </row>
    <row r="68" spans="1:13" x14ac:dyDescent="0.25">
      <c r="A68" s="30"/>
      <c r="B68" s="16" t="str">
        <f>IFERROR(VLOOKUP(A68,Consolidado!$B$1:$L$1500,2,FALSE),"")</f>
        <v/>
      </c>
      <c r="C68" s="16">
        <f>IFERROR(SUMIF(Consolidado!$B$1:$B$1500,VLOOKUP(RegistroPago!A68,Consolidado!$B$1:$L$1500,1,FALSE),Consolidado!$G$1:$G$1500),"")</f>
        <v>0</v>
      </c>
      <c r="D68" s="3"/>
      <c r="E68" s="3"/>
      <c r="F68" s="5" t="str">
        <f t="shared" si="4"/>
        <v/>
      </c>
      <c r="G68" s="16" t="str">
        <f>IF(D68&lt;&gt;"",D68-VLOOKUP(A68,Consolidado!$B$1:$L$1500,8,FALSE),"")</f>
        <v/>
      </c>
      <c r="H68" s="31"/>
      <c r="I68" s="32">
        <f t="shared" si="5"/>
        <v>0</v>
      </c>
      <c r="J68" s="33" t="str">
        <f t="shared" si="6"/>
        <v/>
      </c>
      <c r="K68" s="2"/>
      <c r="L68" s="15"/>
      <c r="M68" s="34">
        <f t="shared" si="7"/>
        <v>0</v>
      </c>
    </row>
    <row r="69" spans="1:13" x14ac:dyDescent="0.25">
      <c r="A69" s="30"/>
      <c r="B69" s="16" t="str">
        <f>IFERROR(VLOOKUP(A69,Consolidado!$B$1:$L$1500,2,FALSE),"")</f>
        <v/>
      </c>
      <c r="C69" s="16">
        <f>IFERROR(SUMIF(Consolidado!$B$1:$B$1500,VLOOKUP(RegistroPago!A69,Consolidado!$B$1:$L$1500,1,FALSE),Consolidado!$G$1:$G$1500),"")</f>
        <v>0</v>
      </c>
      <c r="D69" s="3"/>
      <c r="E69" s="3"/>
      <c r="F69" s="5" t="str">
        <f t="shared" si="4"/>
        <v/>
      </c>
      <c r="G69" s="16" t="str">
        <f>IF(D69&lt;&gt;"",D69-VLOOKUP(A69,Consolidado!$B$1:$L$1500,8,FALSE),"")</f>
        <v/>
      </c>
      <c r="H69" s="31"/>
      <c r="I69" s="32">
        <f t="shared" si="5"/>
        <v>0</v>
      </c>
      <c r="J69" s="33" t="str">
        <f t="shared" si="6"/>
        <v/>
      </c>
      <c r="K69" s="2"/>
      <c r="L69" s="15"/>
      <c r="M69" s="34">
        <f t="shared" si="7"/>
        <v>0</v>
      </c>
    </row>
    <row r="70" spans="1:13" x14ac:dyDescent="0.25">
      <c r="A70" s="30"/>
      <c r="B70" s="16" t="str">
        <f>IFERROR(VLOOKUP(A70,Consolidado!$B$1:$L$1500,2,FALSE),"")</f>
        <v/>
      </c>
      <c r="C70" s="16">
        <f>IFERROR(SUMIF(Consolidado!$B$1:$B$1500,VLOOKUP(RegistroPago!A70,Consolidado!$B$1:$L$1500,1,FALSE),Consolidado!$G$1:$G$1500),"")</f>
        <v>0</v>
      </c>
      <c r="D70" s="3"/>
      <c r="E70" s="3"/>
      <c r="F70" s="5" t="str">
        <f t="shared" si="4"/>
        <v/>
      </c>
      <c r="G70" s="16" t="str">
        <f>IF(D70&lt;&gt;"",D70-VLOOKUP(A70,Consolidado!$B$1:$L$1500,8,FALSE),"")</f>
        <v/>
      </c>
      <c r="H70" s="31"/>
      <c r="I70" s="32">
        <f t="shared" si="5"/>
        <v>0</v>
      </c>
      <c r="J70" s="33" t="str">
        <f t="shared" si="6"/>
        <v/>
      </c>
      <c r="K70" s="2"/>
      <c r="L70" s="15"/>
      <c r="M70" s="34">
        <f t="shared" si="7"/>
        <v>0</v>
      </c>
    </row>
    <row r="71" spans="1:13" x14ac:dyDescent="0.25">
      <c r="A71" s="30"/>
      <c r="B71" s="16" t="str">
        <f>IFERROR(VLOOKUP(A71,Consolidado!$B$1:$L$1500,2,FALSE),"")</f>
        <v/>
      </c>
      <c r="C71" s="16">
        <f>IFERROR(SUMIF(Consolidado!$B$1:$B$1500,VLOOKUP(RegistroPago!A71,Consolidado!$B$1:$L$1500,1,FALSE),Consolidado!$G$1:$G$1500),"")</f>
        <v>0</v>
      </c>
      <c r="D71" s="3"/>
      <c r="E71" s="3"/>
      <c r="F71" s="5" t="str">
        <f t="shared" si="4"/>
        <v/>
      </c>
      <c r="G71" s="16" t="str">
        <f>IF(D71&lt;&gt;"",D71-VLOOKUP(A71,Consolidado!$B$1:$L$1500,8,FALSE),"")</f>
        <v/>
      </c>
      <c r="H71" s="31"/>
      <c r="I71" s="32">
        <f t="shared" si="5"/>
        <v>0</v>
      </c>
      <c r="J71" s="33" t="str">
        <f t="shared" si="6"/>
        <v/>
      </c>
      <c r="K71" s="2"/>
      <c r="L71" s="15"/>
      <c r="M71" s="34">
        <f t="shared" si="7"/>
        <v>0</v>
      </c>
    </row>
    <row r="72" spans="1:13" x14ac:dyDescent="0.25">
      <c r="A72" s="30"/>
      <c r="B72" s="16" t="str">
        <f>IFERROR(VLOOKUP(A72,Consolidado!$B$1:$L$1500,2,FALSE),"")</f>
        <v/>
      </c>
      <c r="C72" s="16">
        <f>IFERROR(SUMIF(Consolidado!$B$1:$B$1500,VLOOKUP(RegistroPago!A72,Consolidado!$B$1:$L$1500,1,FALSE),Consolidado!$G$1:$G$1500),"")</f>
        <v>0</v>
      </c>
      <c r="D72" s="3"/>
      <c r="E72" s="3"/>
      <c r="F72" s="5" t="str">
        <f t="shared" si="4"/>
        <v/>
      </c>
      <c r="G72" s="16" t="str">
        <f>IF(D72&lt;&gt;"",D72-VLOOKUP(A72,Consolidado!$B$1:$L$1500,8,FALSE),"")</f>
        <v/>
      </c>
      <c r="H72" s="31"/>
      <c r="I72" s="32">
        <f t="shared" si="5"/>
        <v>0</v>
      </c>
      <c r="J72" s="33" t="str">
        <f t="shared" si="6"/>
        <v/>
      </c>
      <c r="K72" s="2"/>
      <c r="L72" s="15"/>
      <c r="M72" s="34">
        <f t="shared" si="7"/>
        <v>0</v>
      </c>
    </row>
    <row r="73" spans="1:13" x14ac:dyDescent="0.25">
      <c r="A73" s="31"/>
      <c r="B73" s="16" t="str">
        <f>IFERROR(VLOOKUP(A73,Consolidado!$B$1:$L$1500,2,FALSE),"")</f>
        <v/>
      </c>
      <c r="C73" s="16">
        <f>IFERROR(SUMIF(Consolidado!$B$1:$B$1500,VLOOKUP(RegistroPago!A73,Consolidado!$B$1:$L$1500,1,FALSE),Consolidado!$G$1:$G$1500),"")</f>
        <v>0</v>
      </c>
      <c r="D73" s="3"/>
      <c r="E73" s="3"/>
      <c r="F73" s="5" t="str">
        <f t="shared" si="4"/>
        <v/>
      </c>
      <c r="G73" s="16" t="str">
        <f>IF(D73&lt;&gt;"",D73-VLOOKUP(A73,Consolidado!$B$1:$L$1500,8,FALSE),"")</f>
        <v/>
      </c>
      <c r="H73" s="31"/>
      <c r="I73" s="32">
        <f t="shared" si="5"/>
        <v>0</v>
      </c>
      <c r="J73" s="33" t="str">
        <f t="shared" si="6"/>
        <v/>
      </c>
      <c r="K73" s="2"/>
      <c r="L73" s="15"/>
      <c r="M73" s="34">
        <f t="shared" si="7"/>
        <v>0</v>
      </c>
    </row>
    <row r="74" spans="1:13" x14ac:dyDescent="0.25">
      <c r="A74" s="31"/>
      <c r="B74" s="16" t="str">
        <f>IFERROR(VLOOKUP(A74,Consolidado!$B$1:$L$1500,2,FALSE),"")</f>
        <v/>
      </c>
      <c r="C74" s="16">
        <f>IFERROR(SUMIF(Consolidado!$B$1:$B$1500,VLOOKUP(RegistroPago!A74,Consolidado!$B$1:$L$1500,1,FALSE),Consolidado!$G$1:$G$1500),"")</f>
        <v>0</v>
      </c>
      <c r="D74" s="3"/>
      <c r="E74" s="3"/>
      <c r="F74" s="5" t="str">
        <f t="shared" si="4"/>
        <v/>
      </c>
      <c r="G74" s="16" t="str">
        <f>IF(D74&lt;&gt;"",D74-VLOOKUP(A74,Consolidado!$B$1:$L$1500,8,FALSE),"")</f>
        <v/>
      </c>
      <c r="H74" s="31"/>
      <c r="I74" s="32">
        <f t="shared" si="5"/>
        <v>0</v>
      </c>
      <c r="J74" s="33" t="str">
        <f t="shared" si="6"/>
        <v/>
      </c>
      <c r="K74" s="2"/>
      <c r="L74" s="15"/>
      <c r="M74" s="34">
        <f t="shared" si="7"/>
        <v>0</v>
      </c>
    </row>
    <row r="75" spans="1:13" x14ac:dyDescent="0.25">
      <c r="A75" s="31"/>
      <c r="B75" s="16" t="str">
        <f>IFERROR(VLOOKUP(A75,Consolidado!$B$1:$L$1500,2,FALSE),"")</f>
        <v/>
      </c>
      <c r="C75" s="16">
        <f>IFERROR(SUMIF(Consolidado!$B$1:$B$1500,VLOOKUP(RegistroPago!A75,Consolidado!$B$1:$L$1500,1,FALSE),Consolidado!$G$1:$G$1500),"")</f>
        <v>0</v>
      </c>
      <c r="D75" s="3"/>
      <c r="E75" s="3"/>
      <c r="F75" s="5" t="str">
        <f t="shared" si="4"/>
        <v/>
      </c>
      <c r="G75" s="16" t="str">
        <f>IF(D75&lt;&gt;"",D75-VLOOKUP(A75,Consolidado!$B$1:$L$1500,8,FALSE),"")</f>
        <v/>
      </c>
      <c r="H75" s="31"/>
      <c r="I75" s="32">
        <f t="shared" si="5"/>
        <v>0</v>
      </c>
      <c r="J75" s="33" t="str">
        <f t="shared" si="6"/>
        <v/>
      </c>
      <c r="K75" s="2"/>
      <c r="L75" s="15"/>
      <c r="M75" s="34">
        <f t="shared" si="7"/>
        <v>0</v>
      </c>
    </row>
    <row r="76" spans="1:13" x14ac:dyDescent="0.25">
      <c r="A76" s="31"/>
      <c r="B76" s="16" t="str">
        <f>IFERROR(VLOOKUP(A76,Consolidado!$B$1:$L$1500,2,FALSE),"")</f>
        <v/>
      </c>
      <c r="C76" s="16">
        <f>IFERROR(SUMIF(Consolidado!$B$1:$B$1500,VLOOKUP(RegistroPago!A76,Consolidado!$B$1:$L$1500,1,FALSE),Consolidado!$G$1:$G$1500),"")</f>
        <v>0</v>
      </c>
      <c r="D76" s="3"/>
      <c r="E76" s="3"/>
      <c r="F76" s="5" t="str">
        <f t="shared" si="4"/>
        <v/>
      </c>
      <c r="G76" s="16" t="str">
        <f>IF(D76&lt;&gt;"",D76-VLOOKUP(A76,Consolidado!$B$1:$L$1500,8,FALSE),"")</f>
        <v/>
      </c>
      <c r="H76" s="31"/>
      <c r="I76" s="32">
        <f t="shared" si="5"/>
        <v>0</v>
      </c>
      <c r="J76" s="33" t="str">
        <f t="shared" si="6"/>
        <v/>
      </c>
      <c r="K76" s="2"/>
      <c r="L76" s="15"/>
      <c r="M76" s="34">
        <f t="shared" si="7"/>
        <v>0</v>
      </c>
    </row>
    <row r="77" spans="1:13" x14ac:dyDescent="0.25">
      <c r="A77" s="31"/>
      <c r="B77" s="16" t="str">
        <f>IFERROR(VLOOKUP(A77,Consolidado!$B$1:$L$1500,2,FALSE),"")</f>
        <v/>
      </c>
      <c r="C77" s="16">
        <f>IFERROR(SUMIF(Consolidado!$B$1:$B$1500,VLOOKUP(RegistroPago!A77,Consolidado!$B$1:$L$1500,1,FALSE),Consolidado!$G$1:$G$1500),"")</f>
        <v>0</v>
      </c>
      <c r="D77" s="3"/>
      <c r="E77" s="3"/>
      <c r="F77" s="5" t="str">
        <f t="shared" si="4"/>
        <v/>
      </c>
      <c r="G77" s="16" t="str">
        <f>IF(D77&lt;&gt;"",D77-VLOOKUP(A77,Consolidado!$B$1:$L$1500,8,FALSE),"")</f>
        <v/>
      </c>
      <c r="H77" s="31"/>
      <c r="I77" s="32">
        <f t="shared" si="5"/>
        <v>0</v>
      </c>
      <c r="J77" s="33" t="str">
        <f t="shared" si="6"/>
        <v/>
      </c>
      <c r="K77" s="2"/>
      <c r="L77" s="15"/>
      <c r="M77" s="34">
        <f t="shared" si="7"/>
        <v>0</v>
      </c>
    </row>
    <row r="78" spans="1:13" x14ac:dyDescent="0.25">
      <c r="A78" s="31"/>
      <c r="B78" s="16" t="str">
        <f>IFERROR(VLOOKUP(A78,Consolidado!$B$1:$L$1500,2,FALSE),"")</f>
        <v/>
      </c>
      <c r="C78" s="16">
        <f>IFERROR(SUMIF(Consolidado!$B$1:$B$1500,VLOOKUP(RegistroPago!A78,Consolidado!$B$1:$L$1500,1,FALSE),Consolidado!$G$1:$G$1500),"")</f>
        <v>0</v>
      </c>
      <c r="D78" s="3"/>
      <c r="E78" s="3"/>
      <c r="F78" s="5" t="str">
        <f t="shared" si="4"/>
        <v/>
      </c>
      <c r="G78" s="16" t="str">
        <f>IF(D78&lt;&gt;"",D78-VLOOKUP(A78,Consolidado!$B$1:$L$1500,8,FALSE),"")</f>
        <v/>
      </c>
      <c r="H78" s="31"/>
      <c r="I78" s="32">
        <f t="shared" si="5"/>
        <v>0</v>
      </c>
      <c r="J78" s="33" t="str">
        <f t="shared" si="6"/>
        <v/>
      </c>
      <c r="K78" s="2"/>
      <c r="L78" s="15"/>
      <c r="M78" s="34">
        <f t="shared" si="7"/>
        <v>0</v>
      </c>
    </row>
    <row r="79" spans="1:13" x14ac:dyDescent="0.25">
      <c r="A79" s="31"/>
      <c r="B79" s="16" t="str">
        <f>IFERROR(VLOOKUP(A79,Consolidado!$B$1:$L$1500,2,FALSE),"")</f>
        <v/>
      </c>
      <c r="C79" s="16">
        <f>IFERROR(SUMIF(Consolidado!$B$1:$B$1500,VLOOKUP(RegistroPago!A79,Consolidado!$B$1:$L$1500,1,FALSE),Consolidado!$G$1:$G$1500),"")</f>
        <v>0</v>
      </c>
      <c r="D79" s="3"/>
      <c r="E79" s="3"/>
      <c r="F79" s="5" t="str">
        <f t="shared" si="4"/>
        <v/>
      </c>
      <c r="G79" s="16" t="str">
        <f>IF(D79&lt;&gt;"",D79-VLOOKUP(A79,Consolidado!$B$1:$L$1500,8,FALSE),"")</f>
        <v/>
      </c>
      <c r="H79" s="31"/>
      <c r="I79" s="32">
        <f t="shared" si="5"/>
        <v>0</v>
      </c>
      <c r="J79" s="33" t="str">
        <f t="shared" si="6"/>
        <v/>
      </c>
      <c r="K79" s="2"/>
      <c r="L79" s="15"/>
      <c r="M79" s="34">
        <f t="shared" si="7"/>
        <v>0</v>
      </c>
    </row>
    <row r="80" spans="1:13" x14ac:dyDescent="0.25">
      <c r="A80" s="31"/>
      <c r="B80" s="16" t="str">
        <f>IFERROR(VLOOKUP(A80,Consolidado!$B$1:$L$1500,2,FALSE),"")</f>
        <v/>
      </c>
      <c r="C80" s="16">
        <f>IFERROR(SUMIF(Consolidado!$B$1:$B$1500,VLOOKUP(RegistroPago!A80,Consolidado!$B$1:$L$1500,1,FALSE),Consolidado!$G$1:$G$1500),"")</f>
        <v>0</v>
      </c>
      <c r="D80" s="3"/>
      <c r="E80" s="3"/>
      <c r="F80" s="5" t="str">
        <f t="shared" si="4"/>
        <v/>
      </c>
      <c r="G80" s="16" t="str">
        <f>IF(D80&lt;&gt;"",D80-VLOOKUP(A80,Consolidado!$B$1:$L$1500,8,FALSE),"")</f>
        <v/>
      </c>
      <c r="H80" s="31"/>
      <c r="I80" s="32">
        <f t="shared" si="5"/>
        <v>0</v>
      </c>
      <c r="J80" s="33" t="str">
        <f t="shared" si="6"/>
        <v/>
      </c>
      <c r="K80" s="2"/>
      <c r="L80" s="15"/>
      <c r="M80" s="34">
        <f t="shared" si="7"/>
        <v>0</v>
      </c>
    </row>
    <row r="81" spans="1:13" x14ac:dyDescent="0.25">
      <c r="A81" s="31"/>
      <c r="B81" s="16" t="str">
        <f>IFERROR(VLOOKUP(A81,Consolidado!$B$1:$L$1500,2,FALSE),"")</f>
        <v/>
      </c>
      <c r="C81" s="16">
        <f>IFERROR(SUMIF(Consolidado!$B$1:$B$1500,VLOOKUP(RegistroPago!A81,Consolidado!$B$1:$L$1500,1,FALSE),Consolidado!$G$1:$G$1500),"")</f>
        <v>0</v>
      </c>
      <c r="D81" s="3"/>
      <c r="E81" s="3"/>
      <c r="F81" s="5" t="str">
        <f t="shared" si="4"/>
        <v/>
      </c>
      <c r="G81" s="16" t="str">
        <f>IF(D81&lt;&gt;"",D81-VLOOKUP(A81,Consolidado!$B$1:$L$1500,8,FALSE),"")</f>
        <v/>
      </c>
      <c r="H81" s="31"/>
      <c r="I81" s="32">
        <f t="shared" si="5"/>
        <v>0</v>
      </c>
      <c r="J81" s="33" t="str">
        <f t="shared" si="6"/>
        <v/>
      </c>
      <c r="K81" s="2"/>
      <c r="L81" s="15"/>
      <c r="M81" s="34">
        <f t="shared" si="7"/>
        <v>0</v>
      </c>
    </row>
    <row r="82" spans="1:13" x14ac:dyDescent="0.25">
      <c r="A82" s="31"/>
      <c r="B82" s="16" t="str">
        <f>IFERROR(VLOOKUP(A82,Consolidado!$B$1:$L$1500,2,FALSE),"")</f>
        <v/>
      </c>
      <c r="C82" s="16">
        <f>IFERROR(SUMIF(Consolidado!$B$1:$B$1500,VLOOKUP(RegistroPago!A82,Consolidado!$B$1:$L$1500,1,FALSE),Consolidado!$G$1:$G$1500),"")</f>
        <v>0</v>
      </c>
      <c r="D82" s="3"/>
      <c r="E82" s="3"/>
      <c r="F82" s="5" t="str">
        <f t="shared" si="4"/>
        <v/>
      </c>
      <c r="G82" s="16" t="str">
        <f>IF(D82&lt;&gt;"",D82-VLOOKUP(A82,Consolidado!$B$1:$L$1500,8,FALSE),"")</f>
        <v/>
      </c>
      <c r="H82" s="31"/>
      <c r="I82" s="32">
        <f t="shared" si="5"/>
        <v>0</v>
      </c>
      <c r="J82" s="33" t="str">
        <f t="shared" si="6"/>
        <v/>
      </c>
      <c r="K82" s="2"/>
      <c r="L82" s="15"/>
      <c r="M82" s="34">
        <f t="shared" si="7"/>
        <v>0</v>
      </c>
    </row>
    <row r="83" spans="1:13" x14ac:dyDescent="0.25">
      <c r="A83" s="31"/>
      <c r="B83" s="16" t="str">
        <f>IFERROR(VLOOKUP(A83,Consolidado!$B$1:$L$1500,2,FALSE),"")</f>
        <v/>
      </c>
      <c r="C83" s="16">
        <f>IFERROR(SUMIF(Consolidado!$B$1:$B$1500,VLOOKUP(RegistroPago!A83,Consolidado!$B$1:$L$1500,1,FALSE),Consolidado!$G$1:$G$1500),"")</f>
        <v>0</v>
      </c>
      <c r="D83" s="3"/>
      <c r="E83" s="3"/>
      <c r="F83" s="5" t="str">
        <f t="shared" si="4"/>
        <v/>
      </c>
      <c r="G83" s="16" t="str">
        <f>IF(D83&lt;&gt;"",D83-VLOOKUP(A83,Consolidado!$B$1:$L$1500,8,FALSE),"")</f>
        <v/>
      </c>
      <c r="H83" s="31"/>
      <c r="I83" s="32">
        <f t="shared" si="5"/>
        <v>0</v>
      </c>
      <c r="J83" s="33" t="str">
        <f t="shared" si="6"/>
        <v/>
      </c>
      <c r="K83" s="2"/>
      <c r="L83" s="15"/>
      <c r="M83" s="34">
        <f t="shared" si="7"/>
        <v>0</v>
      </c>
    </row>
    <row r="84" spans="1:13" x14ac:dyDescent="0.25">
      <c r="A84" s="31"/>
      <c r="B84" s="16" t="str">
        <f>IFERROR(VLOOKUP(A84,Consolidado!$B$1:$L$1500,2,FALSE),"")</f>
        <v/>
      </c>
      <c r="C84" s="16">
        <f>IFERROR(SUMIF(Consolidado!$B$1:$B$1500,VLOOKUP(RegistroPago!A84,Consolidado!$B$1:$L$1500,1,FALSE),Consolidado!$G$1:$G$1500),"")</f>
        <v>0</v>
      </c>
      <c r="D84" s="3"/>
      <c r="E84" s="3"/>
      <c r="F84" s="5" t="str">
        <f t="shared" si="4"/>
        <v/>
      </c>
      <c r="G84" s="16" t="str">
        <f>IF(D84&lt;&gt;"",D84-VLOOKUP(A84,Consolidado!$B$1:$L$1500,8,FALSE),"")</f>
        <v/>
      </c>
      <c r="H84" s="31"/>
      <c r="I84" s="32">
        <f t="shared" si="5"/>
        <v>0</v>
      </c>
      <c r="J84" s="33" t="str">
        <f t="shared" si="6"/>
        <v/>
      </c>
      <c r="K84" s="2"/>
      <c r="L84" s="15"/>
      <c r="M84" s="34">
        <f t="shared" si="7"/>
        <v>0</v>
      </c>
    </row>
    <row r="85" spans="1:13" x14ac:dyDescent="0.25">
      <c r="A85" s="31"/>
      <c r="B85" s="16" t="str">
        <f>IFERROR(VLOOKUP(A85,Consolidado!$B$1:$L$1500,2,FALSE),"")</f>
        <v/>
      </c>
      <c r="C85" s="16">
        <f>IFERROR(SUMIF(Consolidado!$B$1:$B$1500,VLOOKUP(RegistroPago!A85,Consolidado!$B$1:$L$1500,1,FALSE),Consolidado!$G$1:$G$1500),"")</f>
        <v>0</v>
      </c>
      <c r="D85" s="3"/>
      <c r="E85" s="3"/>
      <c r="F85" s="5" t="str">
        <f t="shared" si="4"/>
        <v/>
      </c>
      <c r="G85" s="16" t="str">
        <f>IF(D85&lt;&gt;"",D85-VLOOKUP(A85,Consolidado!$B$1:$L$1500,8,FALSE),"")</f>
        <v/>
      </c>
      <c r="H85" s="31"/>
      <c r="I85" s="32">
        <f t="shared" si="5"/>
        <v>0</v>
      </c>
      <c r="J85" s="33" t="str">
        <f t="shared" si="6"/>
        <v/>
      </c>
      <c r="K85" s="2"/>
      <c r="L85" s="15"/>
      <c r="M85" s="34">
        <f t="shared" si="7"/>
        <v>0</v>
      </c>
    </row>
    <row r="86" spans="1:13" x14ac:dyDescent="0.25">
      <c r="A86" s="31"/>
      <c r="B86" s="16" t="str">
        <f>IFERROR(VLOOKUP(A86,Consolidado!$B$1:$L$1500,2,FALSE),"")</f>
        <v/>
      </c>
      <c r="C86" s="16">
        <f>IFERROR(SUMIF(Consolidado!$B$1:$B$1500,VLOOKUP(RegistroPago!A86,Consolidado!$B$1:$L$1500,1,FALSE),Consolidado!$G$1:$G$1500),"")</f>
        <v>0</v>
      </c>
      <c r="D86" s="3"/>
      <c r="E86" s="3"/>
      <c r="F86" s="5" t="str">
        <f t="shared" si="4"/>
        <v/>
      </c>
      <c r="G86" s="16" t="str">
        <f>IF(D86&lt;&gt;"",D86-VLOOKUP(A86,Consolidado!$B$1:$L$1500,8,FALSE),"")</f>
        <v/>
      </c>
      <c r="H86" s="31"/>
      <c r="I86" s="32">
        <f t="shared" si="5"/>
        <v>0</v>
      </c>
      <c r="J86" s="33" t="str">
        <f t="shared" si="6"/>
        <v/>
      </c>
      <c r="K86" s="2"/>
      <c r="L86" s="15"/>
      <c r="M86" s="34">
        <f t="shared" si="7"/>
        <v>0</v>
      </c>
    </row>
    <row r="87" spans="1:13" x14ac:dyDescent="0.25">
      <c r="A87" s="31"/>
      <c r="B87" s="16" t="str">
        <f>IFERROR(VLOOKUP(A87,Consolidado!$B$1:$L$1500,2,FALSE),"")</f>
        <v/>
      </c>
      <c r="C87" s="16">
        <f>IFERROR(SUMIF(Consolidado!$B$1:$B$1500,VLOOKUP(RegistroPago!A87,Consolidado!$B$1:$L$1500,1,FALSE),Consolidado!$G$1:$G$1500),"")</f>
        <v>0</v>
      </c>
      <c r="D87" s="3"/>
      <c r="E87" s="3"/>
      <c r="F87" s="5" t="str">
        <f t="shared" si="4"/>
        <v/>
      </c>
      <c r="G87" s="16" t="str">
        <f>IF(D87&lt;&gt;"",D87-VLOOKUP(A87,Consolidado!$B$1:$L$1500,8,FALSE),"")</f>
        <v/>
      </c>
      <c r="H87" s="31"/>
      <c r="I87" s="32">
        <f t="shared" si="5"/>
        <v>0</v>
      </c>
      <c r="J87" s="33" t="str">
        <f t="shared" si="6"/>
        <v/>
      </c>
      <c r="K87" s="2"/>
      <c r="L87" s="15"/>
      <c r="M87" s="34">
        <f t="shared" si="7"/>
        <v>0</v>
      </c>
    </row>
    <row r="88" spans="1:13" x14ac:dyDescent="0.25">
      <c r="A88" s="31"/>
      <c r="B88" s="16" t="str">
        <f>IFERROR(VLOOKUP(A88,Consolidado!$B$1:$L$1500,2,FALSE),"")</f>
        <v/>
      </c>
      <c r="C88" s="16">
        <f>IFERROR(SUMIF(Consolidado!$B$1:$B$1500,VLOOKUP(RegistroPago!A88,Consolidado!$B$1:$L$1500,1,FALSE),Consolidado!$G$1:$G$1500),"")</f>
        <v>0</v>
      </c>
      <c r="D88" s="3"/>
      <c r="E88" s="3"/>
      <c r="F88" s="5" t="str">
        <f t="shared" si="4"/>
        <v/>
      </c>
      <c r="G88" s="16" t="str">
        <f>IF(D88&lt;&gt;"",D88-VLOOKUP(A88,Consolidado!$B$1:$L$1500,8,FALSE),"")</f>
        <v/>
      </c>
      <c r="H88" s="31"/>
      <c r="I88" s="32">
        <f t="shared" si="5"/>
        <v>0</v>
      </c>
      <c r="J88" s="33" t="str">
        <f t="shared" si="6"/>
        <v/>
      </c>
      <c r="K88" s="2"/>
      <c r="L88" s="15"/>
      <c r="M88" s="34">
        <f t="shared" si="7"/>
        <v>0</v>
      </c>
    </row>
    <row r="89" spans="1:13" x14ac:dyDescent="0.25">
      <c r="A89" s="31"/>
      <c r="B89" s="16" t="str">
        <f>IFERROR(VLOOKUP(A89,Consolidado!$B$1:$L$1500,2,FALSE),"")</f>
        <v/>
      </c>
      <c r="C89" s="16">
        <f>IFERROR(SUMIF(Consolidado!$B$1:$B$1500,VLOOKUP(RegistroPago!A89,Consolidado!$B$1:$L$1500,1,FALSE),Consolidado!$G$1:$G$1500),"")</f>
        <v>0</v>
      </c>
      <c r="D89" s="3"/>
      <c r="E89" s="3"/>
      <c r="F89" s="5" t="str">
        <f t="shared" si="4"/>
        <v/>
      </c>
      <c r="G89" s="16" t="str">
        <f>IF(D89&lt;&gt;"",D89-VLOOKUP(A89,Consolidado!$B$1:$L$1500,8,FALSE),"")</f>
        <v/>
      </c>
      <c r="H89" s="31"/>
      <c r="I89" s="32">
        <f t="shared" si="5"/>
        <v>0</v>
      </c>
      <c r="J89" s="33" t="str">
        <f t="shared" si="6"/>
        <v/>
      </c>
      <c r="K89" s="2"/>
      <c r="L89" s="15"/>
      <c r="M89" s="34">
        <f t="shared" si="7"/>
        <v>0</v>
      </c>
    </row>
    <row r="90" spans="1:13" x14ac:dyDescent="0.25">
      <c r="A90" s="31"/>
      <c r="B90" s="16" t="str">
        <f>IFERROR(VLOOKUP(A90,Consolidado!$B$1:$L$1500,2,FALSE),"")</f>
        <v/>
      </c>
      <c r="C90" s="16">
        <f>IFERROR(SUMIF(Consolidado!$B$1:$B$1500,VLOOKUP(RegistroPago!A90,Consolidado!$B$1:$L$1500,1,FALSE),Consolidado!$G$1:$G$1500),"")</f>
        <v>0</v>
      </c>
      <c r="D90" s="3"/>
      <c r="E90" s="3"/>
      <c r="F90" s="5" t="str">
        <f t="shared" si="4"/>
        <v/>
      </c>
      <c r="G90" s="16" t="str">
        <f>IF(D90&lt;&gt;"",D90-VLOOKUP(A90,Consolidado!$B$1:$L$1500,8,FALSE),"")</f>
        <v/>
      </c>
      <c r="H90" s="31"/>
      <c r="I90" s="32">
        <f t="shared" si="5"/>
        <v>0</v>
      </c>
      <c r="J90" s="33" t="str">
        <f t="shared" si="6"/>
        <v/>
      </c>
      <c r="K90" s="2"/>
      <c r="L90" s="15"/>
      <c r="M90" s="34">
        <f t="shared" si="7"/>
        <v>0</v>
      </c>
    </row>
    <row r="91" spans="1:13" x14ac:dyDescent="0.25">
      <c r="A91" s="31"/>
      <c r="B91" s="16" t="str">
        <f>IFERROR(VLOOKUP(A91,Consolidado!$B$1:$L$1500,2,FALSE),"")</f>
        <v/>
      </c>
      <c r="C91" s="16">
        <f>IFERROR(SUMIF(Consolidado!$B$1:$B$1500,VLOOKUP(RegistroPago!A91,Consolidado!$B$1:$L$1500,1,FALSE),Consolidado!$G$1:$G$1500),"")</f>
        <v>0</v>
      </c>
      <c r="D91" s="3"/>
      <c r="E91" s="3"/>
      <c r="F91" s="5" t="str">
        <f t="shared" si="4"/>
        <v/>
      </c>
      <c r="G91" s="16" t="str">
        <f>IF(D91&lt;&gt;"",D91-VLOOKUP(A91,Consolidado!$B$1:$L$1500,8,FALSE),"")</f>
        <v/>
      </c>
      <c r="H91" s="31"/>
      <c r="I91" s="32">
        <f t="shared" si="5"/>
        <v>0</v>
      </c>
      <c r="J91" s="33" t="str">
        <f t="shared" si="6"/>
        <v/>
      </c>
      <c r="K91" s="2"/>
      <c r="L91" s="15"/>
      <c r="M91" s="34">
        <f t="shared" si="7"/>
        <v>0</v>
      </c>
    </row>
    <row r="92" spans="1:13" x14ac:dyDescent="0.25">
      <c r="A92" s="31"/>
      <c r="B92" s="16" t="str">
        <f>IFERROR(VLOOKUP(A92,Consolidado!$B$1:$L$1500,2,FALSE),"")</f>
        <v/>
      </c>
      <c r="C92" s="16">
        <f>IFERROR(SUMIF(Consolidado!$B$1:$B$1500,VLOOKUP(RegistroPago!A92,Consolidado!$B$1:$L$1500,1,FALSE),Consolidado!$G$1:$G$1500),"")</f>
        <v>0</v>
      </c>
      <c r="D92" s="3"/>
      <c r="E92" s="3"/>
      <c r="F92" s="5" t="str">
        <f t="shared" si="4"/>
        <v/>
      </c>
      <c r="G92" s="16" t="str">
        <f>IF(D92&lt;&gt;"",D92-VLOOKUP(A92,Consolidado!$B$1:$L$1500,8,FALSE),"")</f>
        <v/>
      </c>
      <c r="H92" s="31"/>
      <c r="I92" s="32">
        <f t="shared" si="5"/>
        <v>0</v>
      </c>
      <c r="J92" s="33" t="str">
        <f t="shared" si="6"/>
        <v/>
      </c>
      <c r="K92" s="2"/>
      <c r="L92" s="15"/>
      <c r="M92" s="34">
        <f t="shared" si="7"/>
        <v>0</v>
      </c>
    </row>
    <row r="93" spans="1:13" x14ac:dyDescent="0.25">
      <c r="A93" s="31"/>
      <c r="B93" s="16" t="str">
        <f>IFERROR(VLOOKUP(A93,Consolidado!$B$1:$L$1500,2,FALSE),"")</f>
        <v/>
      </c>
      <c r="C93" s="16">
        <f>IFERROR(SUMIF(Consolidado!$B$1:$B$1500,VLOOKUP(RegistroPago!A93,Consolidado!$B$1:$L$1500,1,FALSE),Consolidado!$G$1:$G$1500),"")</f>
        <v>0</v>
      </c>
      <c r="D93" s="3"/>
      <c r="E93" s="3"/>
      <c r="F93" s="5" t="str">
        <f t="shared" si="4"/>
        <v/>
      </c>
      <c r="G93" s="16" t="str">
        <f>IF(D93&lt;&gt;"",D93-VLOOKUP(A93,Consolidado!$B$1:$L$1500,8,FALSE),"")</f>
        <v/>
      </c>
      <c r="H93" s="31"/>
      <c r="I93" s="32">
        <f t="shared" si="5"/>
        <v>0</v>
      </c>
      <c r="J93" s="33" t="str">
        <f t="shared" si="6"/>
        <v/>
      </c>
      <c r="K93" s="2"/>
      <c r="L93" s="15"/>
      <c r="M93" s="34">
        <f t="shared" si="7"/>
        <v>0</v>
      </c>
    </row>
    <row r="94" spans="1:13" x14ac:dyDescent="0.25">
      <c r="A94" s="31"/>
      <c r="B94" s="16" t="str">
        <f>IFERROR(VLOOKUP(A94,Consolidado!$B$1:$L$1500,2,FALSE),"")</f>
        <v/>
      </c>
      <c r="C94" s="16">
        <f>IFERROR(SUMIF(Consolidado!$B$1:$B$1500,VLOOKUP(RegistroPago!A94,Consolidado!$B$1:$L$1500,1,FALSE),Consolidado!$G$1:$G$1500),"")</f>
        <v>0</v>
      </c>
      <c r="D94" s="3"/>
      <c r="E94" s="3"/>
      <c r="F94" s="5" t="str">
        <f t="shared" si="4"/>
        <v/>
      </c>
      <c r="G94" s="16" t="str">
        <f>IF(D94&lt;&gt;"",D94-VLOOKUP(A94,Consolidado!$B$1:$L$1500,8,FALSE),"")</f>
        <v/>
      </c>
      <c r="H94" s="31"/>
      <c r="I94" s="32">
        <f t="shared" si="5"/>
        <v>0</v>
      </c>
      <c r="J94" s="33" t="str">
        <f t="shared" si="6"/>
        <v/>
      </c>
      <c r="K94" s="2"/>
      <c r="L94" s="15"/>
      <c r="M94" s="34">
        <f t="shared" si="7"/>
        <v>0</v>
      </c>
    </row>
    <row r="95" spans="1:13" x14ac:dyDescent="0.25">
      <c r="A95" s="31"/>
      <c r="B95" s="16" t="str">
        <f>IFERROR(VLOOKUP(A95,Consolidado!$B$1:$L$1500,2,FALSE),"")</f>
        <v/>
      </c>
      <c r="C95" s="16">
        <f>IFERROR(SUMIF(Consolidado!$B$1:$B$1500,VLOOKUP(RegistroPago!A95,Consolidado!$B$1:$L$1500,1,FALSE),Consolidado!$G$1:$G$1500),"")</f>
        <v>0</v>
      </c>
      <c r="D95" s="3"/>
      <c r="E95" s="3"/>
      <c r="F95" s="5" t="str">
        <f t="shared" si="4"/>
        <v/>
      </c>
      <c r="G95" s="16" t="str">
        <f>IF(D95&lt;&gt;"",D95-VLOOKUP(A95,Consolidado!$B$1:$L$1500,8,FALSE),"")</f>
        <v/>
      </c>
      <c r="H95" s="31"/>
      <c r="I95" s="32">
        <f t="shared" si="5"/>
        <v>0</v>
      </c>
      <c r="J95" s="33" t="str">
        <f t="shared" si="6"/>
        <v/>
      </c>
      <c r="K95" s="2"/>
      <c r="L95" s="15"/>
      <c r="M95" s="34">
        <f t="shared" si="7"/>
        <v>0</v>
      </c>
    </row>
    <row r="96" spans="1:13" x14ac:dyDescent="0.25">
      <c r="A96" s="31"/>
      <c r="B96" s="16" t="str">
        <f>IFERROR(VLOOKUP(A96,Consolidado!$B$1:$L$1500,2,FALSE),"")</f>
        <v/>
      </c>
      <c r="C96" s="16">
        <f>IFERROR(SUMIF(Consolidado!$B$1:$B$1500,VLOOKUP(RegistroPago!A96,Consolidado!$B$1:$L$1500,1,FALSE),Consolidado!$G$1:$G$1500),"")</f>
        <v>0</v>
      </c>
      <c r="D96" s="3"/>
      <c r="E96" s="3"/>
      <c r="F96" s="5" t="str">
        <f t="shared" si="4"/>
        <v/>
      </c>
      <c r="G96" s="16" t="str">
        <f>IF(D96&lt;&gt;"",D96-VLOOKUP(A96,Consolidado!$B$1:$L$1500,8,FALSE),"")</f>
        <v/>
      </c>
      <c r="H96" s="31"/>
      <c r="I96" s="32">
        <f t="shared" si="5"/>
        <v>0</v>
      </c>
      <c r="J96" s="33" t="str">
        <f t="shared" si="6"/>
        <v/>
      </c>
      <c r="K96" s="2"/>
      <c r="L96" s="15"/>
      <c r="M96" s="34">
        <f t="shared" si="7"/>
        <v>0</v>
      </c>
    </row>
    <row r="97" spans="1:13" x14ac:dyDescent="0.25">
      <c r="A97" s="31"/>
      <c r="B97" s="16" t="str">
        <f>IFERROR(VLOOKUP(A97,Consolidado!$B$1:$L$1500,2,FALSE),"")</f>
        <v/>
      </c>
      <c r="C97" s="16">
        <f>IFERROR(SUMIF(Consolidado!$B$1:$B$1500,VLOOKUP(RegistroPago!A97,Consolidado!$B$1:$L$1500,1,FALSE),Consolidado!$G$1:$G$1500),"")</f>
        <v>0</v>
      </c>
      <c r="D97" s="3"/>
      <c r="E97" s="3"/>
      <c r="F97" s="5" t="str">
        <f t="shared" si="4"/>
        <v/>
      </c>
      <c r="G97" s="16" t="str">
        <f>IF(D97&lt;&gt;"",D97-VLOOKUP(A97,Consolidado!$B$1:$L$1500,8,FALSE),"")</f>
        <v/>
      </c>
      <c r="H97" s="31"/>
      <c r="I97" s="32">
        <f t="shared" si="5"/>
        <v>0</v>
      </c>
      <c r="J97" s="33" t="str">
        <f t="shared" si="6"/>
        <v/>
      </c>
      <c r="K97" s="2"/>
      <c r="L97" s="15"/>
      <c r="M97" s="34">
        <f t="shared" si="7"/>
        <v>0</v>
      </c>
    </row>
    <row r="98" spans="1:13" x14ac:dyDescent="0.25">
      <c r="A98" s="31"/>
      <c r="B98" s="16" t="str">
        <f>IFERROR(VLOOKUP(A98,Consolidado!$B$1:$L$1500,2,FALSE),"")</f>
        <v/>
      </c>
      <c r="C98" s="16">
        <f>IFERROR(SUMIF(Consolidado!$B$1:$B$1500,VLOOKUP(RegistroPago!A98,Consolidado!$B$1:$L$1500,1,FALSE),Consolidado!$G$1:$G$1500),"")</f>
        <v>0</v>
      </c>
      <c r="D98" s="3"/>
      <c r="E98" s="3"/>
      <c r="F98" s="5" t="str">
        <f t="shared" si="4"/>
        <v/>
      </c>
      <c r="G98" s="16" t="str">
        <f>IF(D98&lt;&gt;"",D98-VLOOKUP(A98,Consolidado!$B$1:$L$1500,8,FALSE),"")</f>
        <v/>
      </c>
      <c r="H98" s="31"/>
      <c r="I98" s="32">
        <f t="shared" si="5"/>
        <v>0</v>
      </c>
      <c r="J98" s="33" t="str">
        <f t="shared" si="6"/>
        <v/>
      </c>
      <c r="K98" s="2"/>
      <c r="L98" s="15"/>
      <c r="M98" s="34">
        <f t="shared" si="7"/>
        <v>0</v>
      </c>
    </row>
    <row r="99" spans="1:13" x14ac:dyDescent="0.25">
      <c r="A99" s="31"/>
      <c r="B99" s="16" t="str">
        <f>IFERROR(VLOOKUP(A99,Consolidado!$B$1:$L$1500,2,FALSE),"")</f>
        <v/>
      </c>
      <c r="C99" s="16">
        <f>IFERROR(SUMIF(Consolidado!$B$1:$B$1500,VLOOKUP(RegistroPago!A99,Consolidado!$B$1:$L$1500,1,FALSE),Consolidado!$G$1:$G$1500),"")</f>
        <v>0</v>
      </c>
      <c r="D99" s="3"/>
      <c r="E99" s="3"/>
      <c r="F99" s="5" t="str">
        <f t="shared" si="4"/>
        <v/>
      </c>
      <c r="G99" s="16" t="str">
        <f>IF(D99&lt;&gt;"",D99-VLOOKUP(A99,Consolidado!$B$1:$L$1500,8,FALSE),"")</f>
        <v/>
      </c>
      <c r="H99" s="31"/>
      <c r="I99" s="32">
        <f t="shared" si="5"/>
        <v>0</v>
      </c>
      <c r="J99" s="33" t="str">
        <f t="shared" si="6"/>
        <v/>
      </c>
      <c r="K99" s="2"/>
      <c r="L99" s="15"/>
      <c r="M99" s="34">
        <f t="shared" si="7"/>
        <v>0</v>
      </c>
    </row>
    <row r="100" spans="1:13" x14ac:dyDescent="0.25">
      <c r="A100" s="31"/>
      <c r="B100" s="16" t="str">
        <f>IFERROR(VLOOKUP(A100,Consolidado!$B$1:$L$1500,2,FALSE),"")</f>
        <v/>
      </c>
      <c r="C100" s="16">
        <f>IFERROR(SUMIF(Consolidado!$B$1:$B$1500,VLOOKUP(RegistroPago!A100,Consolidado!$B$1:$L$1500,1,FALSE),Consolidado!$G$1:$G$1500),"")</f>
        <v>0</v>
      </c>
      <c r="D100" s="3"/>
      <c r="E100" s="3"/>
      <c r="F100" s="5" t="str">
        <f t="shared" si="4"/>
        <v/>
      </c>
      <c r="G100" s="16" t="str">
        <f>IF(D100&lt;&gt;"",D100-VLOOKUP(A100,Consolidado!$B$1:$L$1500,8,FALSE),"")</f>
        <v/>
      </c>
      <c r="H100" s="31"/>
      <c r="I100" s="32">
        <f t="shared" si="5"/>
        <v>0</v>
      </c>
      <c r="J100" s="33" t="str">
        <f t="shared" si="6"/>
        <v/>
      </c>
      <c r="K100" s="2"/>
      <c r="L100" s="15"/>
      <c r="M100" s="34">
        <f t="shared" si="7"/>
        <v>0</v>
      </c>
    </row>
    <row r="101" spans="1:13" x14ac:dyDescent="0.25">
      <c r="A101" s="31"/>
      <c r="B101" s="16" t="str">
        <f>IFERROR(VLOOKUP(A101,Consolidado!$B$1:$L$1500,2,FALSE),"")</f>
        <v/>
      </c>
      <c r="C101" s="16">
        <f>IFERROR(SUMIF(Consolidado!$B$1:$B$1500,VLOOKUP(RegistroPago!A101,Consolidado!$B$1:$L$1500,1,FALSE),Consolidado!$G$1:$G$1500),"")</f>
        <v>0</v>
      </c>
      <c r="D101" s="3"/>
      <c r="E101" s="3"/>
      <c r="F101" s="5" t="str">
        <f t="shared" si="4"/>
        <v/>
      </c>
      <c r="G101" s="16" t="str">
        <f>IF(D101&lt;&gt;"",D101-VLOOKUP(A101,Consolidado!$B$1:$L$1500,8,FALSE),"")</f>
        <v/>
      </c>
      <c r="H101" s="31"/>
      <c r="I101" s="32">
        <f t="shared" si="5"/>
        <v>0</v>
      </c>
      <c r="J101" s="33" t="str">
        <f t="shared" si="6"/>
        <v/>
      </c>
      <c r="K101" s="2"/>
      <c r="L101" s="15"/>
      <c r="M101" s="34">
        <f t="shared" si="7"/>
        <v>0</v>
      </c>
    </row>
    <row r="102" spans="1:13" x14ac:dyDescent="0.25">
      <c r="A102" s="31"/>
      <c r="B102" s="16" t="str">
        <f>IFERROR(VLOOKUP(A102,Consolidado!$B$1:$L$1500,2,FALSE),"")</f>
        <v/>
      </c>
      <c r="C102" s="16">
        <f>IFERROR(SUMIF(Consolidado!$B$1:$B$1500,VLOOKUP(RegistroPago!A102,Consolidado!$B$1:$L$1500,1,FALSE),Consolidado!$G$1:$G$1500),"")</f>
        <v>0</v>
      </c>
      <c r="D102" s="3"/>
      <c r="E102" s="3"/>
      <c r="F102" s="5" t="str">
        <f t="shared" si="4"/>
        <v/>
      </c>
      <c r="G102" s="16" t="str">
        <f>IF(D102&lt;&gt;"",D102-VLOOKUP(A102,Consolidado!$B$1:$L$1500,8,FALSE),"")</f>
        <v/>
      </c>
      <c r="H102" s="31"/>
      <c r="I102" s="32">
        <f t="shared" si="5"/>
        <v>0</v>
      </c>
      <c r="J102" s="33" t="str">
        <f t="shared" si="6"/>
        <v/>
      </c>
      <c r="K102" s="2"/>
      <c r="L102" s="15"/>
      <c r="M102" s="34">
        <f t="shared" si="7"/>
        <v>0</v>
      </c>
    </row>
    <row r="103" spans="1:13" x14ac:dyDescent="0.25">
      <c r="A103" s="31"/>
      <c r="B103" s="16" t="str">
        <f>IFERROR(VLOOKUP(A103,Consolidado!$B$1:$L$1500,2,FALSE),"")</f>
        <v/>
      </c>
      <c r="C103" s="16">
        <f>IFERROR(SUMIF(Consolidado!$B$1:$B$1500,VLOOKUP(RegistroPago!A103,Consolidado!$B$1:$L$1500,1,FALSE),Consolidado!$G$1:$G$1500),"")</f>
        <v>0</v>
      </c>
      <c r="D103" s="3"/>
      <c r="E103" s="3"/>
      <c r="F103" s="5" t="str">
        <f t="shared" si="4"/>
        <v/>
      </c>
      <c r="G103" s="16" t="str">
        <f>IF(D103&lt;&gt;"",D103-VLOOKUP(A103,Consolidado!$B$1:$L$1500,8,FALSE),"")</f>
        <v/>
      </c>
      <c r="H103" s="31"/>
      <c r="I103" s="32">
        <f t="shared" si="5"/>
        <v>0</v>
      </c>
      <c r="J103" s="33" t="str">
        <f t="shared" si="6"/>
        <v/>
      </c>
      <c r="K103" s="2"/>
      <c r="L103" s="15"/>
      <c r="M103" s="34">
        <f t="shared" si="7"/>
        <v>0</v>
      </c>
    </row>
    <row r="104" spans="1:13" x14ac:dyDescent="0.25">
      <c r="A104" s="31"/>
      <c r="B104" s="16" t="str">
        <f>IFERROR(VLOOKUP(A104,Consolidado!$B$1:$L$1500,2,FALSE),"")</f>
        <v/>
      </c>
      <c r="C104" s="16">
        <f>IFERROR(SUMIF(Consolidado!$B$1:$B$1500,VLOOKUP(RegistroPago!A104,Consolidado!$B$1:$L$1500,1,FALSE),Consolidado!$G$1:$G$1500),"")</f>
        <v>0</v>
      </c>
      <c r="D104" s="3"/>
      <c r="E104" s="3"/>
      <c r="F104" s="5" t="str">
        <f t="shared" si="4"/>
        <v/>
      </c>
      <c r="G104" s="16" t="str">
        <f>IF(D104&lt;&gt;"",D104-VLOOKUP(A104,Consolidado!$B$1:$L$1500,8,FALSE),"")</f>
        <v/>
      </c>
      <c r="H104" s="31"/>
      <c r="I104" s="32">
        <f t="shared" si="5"/>
        <v>0</v>
      </c>
      <c r="J104" s="33" t="str">
        <f t="shared" si="6"/>
        <v/>
      </c>
      <c r="K104" s="2"/>
      <c r="L104" s="15"/>
      <c r="M104" s="34">
        <f t="shared" si="7"/>
        <v>0</v>
      </c>
    </row>
    <row r="105" spans="1:13" x14ac:dyDescent="0.25">
      <c r="A105" s="31"/>
      <c r="B105" s="16" t="str">
        <f>IFERROR(VLOOKUP(A105,Consolidado!$B$1:$L$1500,2,FALSE),"")</f>
        <v/>
      </c>
      <c r="C105" s="16">
        <f>IFERROR(SUMIF(Consolidado!$B$1:$B$1500,VLOOKUP(RegistroPago!A105,Consolidado!$B$1:$L$1500,1,FALSE),Consolidado!$G$1:$G$1500),"")</f>
        <v>0</v>
      </c>
      <c r="D105" s="3"/>
      <c r="E105" s="3"/>
      <c r="F105" s="5" t="str">
        <f t="shared" si="4"/>
        <v/>
      </c>
      <c r="G105" s="16" t="str">
        <f>IF(D105&lt;&gt;"",D105-VLOOKUP(A105,Consolidado!$B$1:$L$1500,8,FALSE),"")</f>
        <v/>
      </c>
      <c r="H105" s="31"/>
      <c r="I105" s="32">
        <f t="shared" si="5"/>
        <v>0</v>
      </c>
      <c r="J105" s="33" t="str">
        <f t="shared" si="6"/>
        <v/>
      </c>
      <c r="K105" s="2"/>
      <c r="L105" s="15"/>
      <c r="M105" s="34">
        <f t="shared" si="7"/>
        <v>0</v>
      </c>
    </row>
    <row r="106" spans="1:13" x14ac:dyDescent="0.25">
      <c r="A106" s="31"/>
      <c r="B106" s="16" t="str">
        <f>IFERROR(VLOOKUP(A106,Consolidado!$B$1:$L$1500,2,FALSE),"")</f>
        <v/>
      </c>
      <c r="C106" s="16">
        <f>IFERROR(SUMIF(Consolidado!$B$1:$B$1500,VLOOKUP(RegistroPago!A106,Consolidado!$B$1:$L$1500,1,FALSE),Consolidado!$G$1:$G$1500),"")</f>
        <v>0</v>
      </c>
      <c r="D106" s="3"/>
      <c r="E106" s="3"/>
      <c r="F106" s="5" t="str">
        <f t="shared" si="4"/>
        <v/>
      </c>
      <c r="G106" s="16" t="str">
        <f>IF(D106&lt;&gt;"",D106-VLOOKUP(A106,Consolidado!$B$1:$L$1500,8,FALSE),"")</f>
        <v/>
      </c>
      <c r="H106" s="31"/>
      <c r="I106" s="32">
        <f t="shared" si="5"/>
        <v>0</v>
      </c>
      <c r="J106" s="33" t="str">
        <f t="shared" si="6"/>
        <v/>
      </c>
      <c r="K106" s="2"/>
      <c r="L106" s="15"/>
      <c r="M106" s="34">
        <f t="shared" si="7"/>
        <v>0</v>
      </c>
    </row>
    <row r="107" spans="1:13" x14ac:dyDescent="0.25">
      <c r="A107" s="31"/>
      <c r="B107" s="16" t="str">
        <f>IFERROR(VLOOKUP(A107,Consolidado!$B$1:$L$1500,2,FALSE),"")</f>
        <v/>
      </c>
      <c r="C107" s="16">
        <f>IFERROR(SUMIF(Consolidado!$B$1:$B$1500,VLOOKUP(RegistroPago!A107,Consolidado!$B$1:$L$1500,1,FALSE),Consolidado!$G$1:$G$1500),"")</f>
        <v>0</v>
      </c>
      <c r="D107" s="3"/>
      <c r="E107" s="3"/>
      <c r="F107" s="5" t="str">
        <f t="shared" si="4"/>
        <v/>
      </c>
      <c r="G107" s="16" t="str">
        <f>IF(D107&lt;&gt;"",D107-VLOOKUP(A107,Consolidado!$B$1:$L$1500,8,FALSE),"")</f>
        <v/>
      </c>
      <c r="H107" s="31"/>
      <c r="I107" s="32">
        <f t="shared" si="5"/>
        <v>0</v>
      </c>
      <c r="J107" s="33" t="str">
        <f t="shared" si="6"/>
        <v/>
      </c>
      <c r="K107" s="2"/>
      <c r="L107" s="15"/>
      <c r="M107" s="34">
        <f t="shared" si="7"/>
        <v>0</v>
      </c>
    </row>
    <row r="108" spans="1:13" x14ac:dyDescent="0.25">
      <c r="A108" s="31"/>
      <c r="B108" s="16" t="str">
        <f>IFERROR(VLOOKUP(A108,Consolidado!$B$1:$L$1500,2,FALSE),"")</f>
        <v/>
      </c>
      <c r="C108" s="16">
        <f>IFERROR(SUMIF(Consolidado!$B$1:$B$1500,VLOOKUP(RegistroPago!A108,Consolidado!$B$1:$L$1500,1,FALSE),Consolidado!$G$1:$G$1500),"")</f>
        <v>0</v>
      </c>
      <c r="D108" s="3"/>
      <c r="E108" s="3"/>
      <c r="F108" s="5" t="str">
        <f t="shared" si="4"/>
        <v/>
      </c>
      <c r="G108" s="16" t="str">
        <f>IF(D108&lt;&gt;"",D108-VLOOKUP(A108,Consolidado!$B$1:$L$1500,8,FALSE),"")</f>
        <v/>
      </c>
      <c r="H108" s="31"/>
      <c r="I108" s="32">
        <f t="shared" si="5"/>
        <v>0</v>
      </c>
      <c r="J108" s="33" t="str">
        <f t="shared" si="6"/>
        <v/>
      </c>
      <c r="K108" s="2"/>
      <c r="L108" s="15"/>
      <c r="M108" s="34">
        <f t="shared" si="7"/>
        <v>0</v>
      </c>
    </row>
    <row r="109" spans="1:13" x14ac:dyDescent="0.25">
      <c r="A109" s="31"/>
      <c r="B109" s="16" t="str">
        <f>IFERROR(VLOOKUP(A109,Consolidado!$B$1:$L$1500,2,FALSE),"")</f>
        <v/>
      </c>
      <c r="C109" s="16">
        <f>IFERROR(SUMIF(Consolidado!$B$1:$B$1500,VLOOKUP(RegistroPago!A109,Consolidado!$B$1:$L$1500,1,FALSE),Consolidado!$G$1:$G$1500),"")</f>
        <v>0</v>
      </c>
      <c r="D109" s="3"/>
      <c r="E109" s="3"/>
      <c r="F109" s="5" t="str">
        <f t="shared" si="4"/>
        <v/>
      </c>
      <c r="G109" s="16" t="str">
        <f>IF(D109&lt;&gt;"",D109-VLOOKUP(A109,Consolidado!$B$1:$L$1500,8,FALSE),"")</f>
        <v/>
      </c>
      <c r="H109" s="31"/>
      <c r="I109" s="32">
        <f t="shared" si="5"/>
        <v>0</v>
      </c>
      <c r="J109" s="33" t="str">
        <f t="shared" si="6"/>
        <v/>
      </c>
      <c r="K109" s="2"/>
      <c r="L109" s="15"/>
      <c r="M109" s="34">
        <f t="shared" si="7"/>
        <v>0</v>
      </c>
    </row>
    <row r="110" spans="1:13" x14ac:dyDescent="0.25">
      <c r="A110" s="31"/>
      <c r="B110" s="16" t="str">
        <f>IFERROR(VLOOKUP(A110,Consolidado!$B$1:$L$1500,2,FALSE),"")</f>
        <v/>
      </c>
      <c r="C110" s="16">
        <f>IFERROR(SUMIF(Consolidado!$B$1:$B$1500,VLOOKUP(RegistroPago!A110,Consolidado!$B$1:$L$1500,1,FALSE),Consolidado!$G$1:$G$1500),"")</f>
        <v>0</v>
      </c>
      <c r="D110" s="3"/>
      <c r="E110" s="3"/>
      <c r="F110" s="5" t="str">
        <f t="shared" si="4"/>
        <v/>
      </c>
      <c r="G110" s="16" t="str">
        <f>IF(D110&lt;&gt;"",D110-VLOOKUP(A110,Consolidado!$B$1:$L$1500,8,FALSE),"")</f>
        <v/>
      </c>
      <c r="H110" s="31"/>
      <c r="I110" s="32">
        <f t="shared" si="5"/>
        <v>0</v>
      </c>
      <c r="J110" s="33" t="str">
        <f t="shared" si="6"/>
        <v/>
      </c>
      <c r="K110" s="2"/>
      <c r="L110" s="15"/>
      <c r="M110" s="34">
        <f t="shared" si="7"/>
        <v>0</v>
      </c>
    </row>
    <row r="111" spans="1:13" x14ac:dyDescent="0.25">
      <c r="A111" s="31"/>
      <c r="B111" s="16" t="str">
        <f>IFERROR(VLOOKUP(A111,Consolidado!$B$1:$L$1500,2,FALSE),"")</f>
        <v/>
      </c>
      <c r="C111" s="16">
        <f>IFERROR(SUMIF(Consolidado!$B$1:$B$1500,VLOOKUP(RegistroPago!A111,Consolidado!$B$1:$L$1500,1,FALSE),Consolidado!$G$1:$G$1500),"")</f>
        <v>0</v>
      </c>
      <c r="D111" s="3"/>
      <c r="E111" s="3"/>
      <c r="F111" s="5" t="str">
        <f t="shared" si="4"/>
        <v/>
      </c>
      <c r="G111" s="16" t="str">
        <f>IF(D111&lt;&gt;"",D111-VLOOKUP(A111,Consolidado!$B$1:$L$1500,8,FALSE),"")</f>
        <v/>
      </c>
      <c r="H111" s="31"/>
      <c r="I111" s="32">
        <f t="shared" si="5"/>
        <v>0</v>
      </c>
      <c r="J111" s="33" t="str">
        <f t="shared" si="6"/>
        <v/>
      </c>
      <c r="K111" s="2"/>
      <c r="L111" s="15"/>
      <c r="M111" s="34">
        <f t="shared" si="7"/>
        <v>0</v>
      </c>
    </row>
    <row r="112" spans="1:13" x14ac:dyDescent="0.25">
      <c r="A112" s="31"/>
      <c r="B112" s="16" t="str">
        <f>IFERROR(VLOOKUP(A112,Consolidado!$B$1:$L$1500,2,FALSE),"")</f>
        <v/>
      </c>
      <c r="C112" s="16">
        <f>IFERROR(SUMIF(Consolidado!$B$1:$B$1500,VLOOKUP(RegistroPago!A112,Consolidado!$B$1:$L$1500,1,FALSE),Consolidado!$G$1:$G$1500),"")</f>
        <v>0</v>
      </c>
      <c r="D112" s="3"/>
      <c r="E112" s="3"/>
      <c r="F112" s="5" t="str">
        <f t="shared" si="4"/>
        <v/>
      </c>
      <c r="G112" s="16" t="str">
        <f>IF(D112&lt;&gt;"",D112-VLOOKUP(A112,Consolidado!$B$1:$L$1500,8,FALSE),"")</f>
        <v/>
      </c>
      <c r="H112" s="31"/>
      <c r="I112" s="32">
        <f t="shared" si="5"/>
        <v>0</v>
      </c>
      <c r="J112" s="33" t="str">
        <f t="shared" si="6"/>
        <v/>
      </c>
      <c r="K112" s="2"/>
      <c r="L112" s="15"/>
      <c r="M112" s="34">
        <f t="shared" si="7"/>
        <v>0</v>
      </c>
    </row>
    <row r="113" spans="1:13" x14ac:dyDescent="0.25">
      <c r="A113" s="31"/>
      <c r="B113" s="16" t="str">
        <f>IFERROR(VLOOKUP(A113,Consolidado!$B$1:$L$1500,2,FALSE),"")</f>
        <v/>
      </c>
      <c r="C113" s="16">
        <f>IFERROR(SUMIF(Consolidado!$B$1:$B$1500,VLOOKUP(RegistroPago!A113,Consolidado!$B$1:$L$1500,1,FALSE),Consolidado!$G$1:$G$1500),"")</f>
        <v>0</v>
      </c>
      <c r="D113" s="3"/>
      <c r="E113" s="3"/>
      <c r="F113" s="5" t="str">
        <f t="shared" si="4"/>
        <v/>
      </c>
      <c r="G113" s="16" t="str">
        <f>IF(D113&lt;&gt;"",D113-VLOOKUP(A113,Consolidado!$B$1:$L$1500,8,FALSE),"")</f>
        <v/>
      </c>
      <c r="H113" s="31"/>
      <c r="I113" s="32">
        <f t="shared" si="5"/>
        <v>0</v>
      </c>
      <c r="J113" s="33" t="str">
        <f t="shared" si="6"/>
        <v/>
      </c>
      <c r="K113" s="2"/>
      <c r="L113" s="15"/>
      <c r="M113" s="34">
        <f t="shared" si="7"/>
        <v>0</v>
      </c>
    </row>
    <row r="114" spans="1:13" x14ac:dyDescent="0.25">
      <c r="A114" s="31"/>
      <c r="B114" s="16" t="str">
        <f>IFERROR(VLOOKUP(A114,Consolidado!$B$1:$L$1500,2,FALSE),"")</f>
        <v/>
      </c>
      <c r="C114" s="16">
        <f>IFERROR(SUMIF(Consolidado!$B$1:$B$1500,VLOOKUP(RegistroPago!A114,Consolidado!$B$1:$L$1500,1,FALSE),Consolidado!$G$1:$G$1500),"")</f>
        <v>0</v>
      </c>
      <c r="D114" s="3"/>
      <c r="E114" s="3"/>
      <c r="F114" s="5" t="str">
        <f t="shared" si="4"/>
        <v/>
      </c>
      <c r="G114" s="16" t="str">
        <f>IF(D114&lt;&gt;"",D114-VLOOKUP(A114,Consolidado!$B$1:$L$1500,8,FALSE),"")</f>
        <v/>
      </c>
      <c r="H114" s="31"/>
      <c r="I114" s="32">
        <f t="shared" si="5"/>
        <v>0</v>
      </c>
      <c r="J114" s="33" t="str">
        <f t="shared" si="6"/>
        <v/>
      </c>
      <c r="K114" s="2"/>
      <c r="L114" s="15"/>
      <c r="M114" s="34">
        <f t="shared" si="7"/>
        <v>0</v>
      </c>
    </row>
    <row r="115" spans="1:13" x14ac:dyDescent="0.25">
      <c r="A115" s="31"/>
      <c r="B115" s="16" t="str">
        <f>IFERROR(VLOOKUP(A115,Consolidado!$B$1:$L$1500,2,FALSE),"")</f>
        <v/>
      </c>
      <c r="C115" s="16">
        <f>IFERROR(SUMIF(Consolidado!$B$1:$B$1500,VLOOKUP(RegistroPago!A115,Consolidado!$B$1:$L$1500,1,FALSE),Consolidado!$G$1:$G$1500),"")</f>
        <v>0</v>
      </c>
      <c r="D115" s="3"/>
      <c r="E115" s="3"/>
      <c r="F115" s="5" t="str">
        <f t="shared" si="4"/>
        <v/>
      </c>
      <c r="G115" s="16" t="str">
        <f>IF(D115&lt;&gt;"",D115-VLOOKUP(A115,Consolidado!$B$1:$L$1500,8,FALSE),"")</f>
        <v/>
      </c>
      <c r="H115" s="31"/>
      <c r="I115" s="32">
        <f t="shared" si="5"/>
        <v>0</v>
      </c>
      <c r="J115" s="33" t="str">
        <f t="shared" si="6"/>
        <v/>
      </c>
      <c r="K115" s="2"/>
      <c r="L115" s="15"/>
      <c r="M115" s="34">
        <f t="shared" si="7"/>
        <v>0</v>
      </c>
    </row>
    <row r="116" spans="1:13" x14ac:dyDescent="0.25">
      <c r="A116" s="31"/>
      <c r="B116" s="16" t="str">
        <f>IFERROR(VLOOKUP(A116,Consolidado!$B$1:$L$1500,2,FALSE),"")</f>
        <v/>
      </c>
      <c r="C116" s="16">
        <f>IFERROR(SUMIF(Consolidado!$B$1:$B$1500,VLOOKUP(RegistroPago!A116,Consolidado!$B$1:$L$1500,1,FALSE),Consolidado!$G$1:$G$1500),"")</f>
        <v>0</v>
      </c>
      <c r="D116" s="3"/>
      <c r="E116" s="3"/>
      <c r="F116" s="5" t="str">
        <f t="shared" si="4"/>
        <v/>
      </c>
      <c r="G116" s="16" t="str">
        <f>IF(D116&lt;&gt;"",D116-VLOOKUP(A116,Consolidado!$B$1:$L$1500,8,FALSE),"")</f>
        <v/>
      </c>
      <c r="H116" s="31"/>
      <c r="I116" s="32">
        <f t="shared" si="5"/>
        <v>0</v>
      </c>
      <c r="J116" s="33" t="str">
        <f t="shared" si="6"/>
        <v/>
      </c>
      <c r="K116" s="2"/>
      <c r="L116" s="15"/>
      <c r="M116" s="34">
        <f t="shared" si="7"/>
        <v>0</v>
      </c>
    </row>
    <row r="117" spans="1:13" x14ac:dyDescent="0.25">
      <c r="A117" s="31"/>
      <c r="B117" s="16" t="str">
        <f>IFERROR(VLOOKUP(A117,Consolidado!$B$1:$L$1500,2,FALSE),"")</f>
        <v/>
      </c>
      <c r="C117" s="16">
        <f>IFERROR(SUMIF(Consolidado!$B$1:$B$1500,VLOOKUP(RegistroPago!A117,Consolidado!$B$1:$L$1500,1,FALSE),Consolidado!$G$1:$G$1500),"")</f>
        <v>0</v>
      </c>
      <c r="D117" s="3"/>
      <c r="E117" s="3"/>
      <c r="F117" s="5" t="str">
        <f t="shared" si="4"/>
        <v/>
      </c>
      <c r="G117" s="16" t="str">
        <f>IF(D117&lt;&gt;"",D117-VLOOKUP(A117,Consolidado!$B$1:$L$1500,8,FALSE),"")</f>
        <v/>
      </c>
      <c r="H117" s="31"/>
      <c r="I117" s="32">
        <f t="shared" si="5"/>
        <v>0</v>
      </c>
      <c r="J117" s="33" t="str">
        <f t="shared" si="6"/>
        <v/>
      </c>
      <c r="K117" s="2"/>
      <c r="L117" s="15"/>
      <c r="M117" s="34">
        <f t="shared" si="7"/>
        <v>0</v>
      </c>
    </row>
    <row r="118" spans="1:13" x14ac:dyDescent="0.25">
      <c r="A118" s="31"/>
      <c r="B118" s="16" t="str">
        <f>IFERROR(VLOOKUP(A118,Consolidado!$B$1:$L$1500,2,FALSE),"")</f>
        <v/>
      </c>
      <c r="C118" s="16">
        <f>IFERROR(SUMIF(Consolidado!$B$1:$B$1500,VLOOKUP(RegistroPago!A118,Consolidado!$B$1:$L$1500,1,FALSE),Consolidado!$G$1:$G$1500),"")</f>
        <v>0</v>
      </c>
      <c r="D118" s="3"/>
      <c r="E118" s="3"/>
      <c r="F118" s="5" t="str">
        <f t="shared" si="4"/>
        <v/>
      </c>
      <c r="G118" s="16" t="str">
        <f>IF(D118&lt;&gt;"",D118-VLOOKUP(A118,Consolidado!$B$1:$L$1500,8,FALSE),"")</f>
        <v/>
      </c>
      <c r="H118" s="31"/>
      <c r="I118" s="32">
        <f t="shared" si="5"/>
        <v>0</v>
      </c>
      <c r="J118" s="33" t="str">
        <f t="shared" si="6"/>
        <v/>
      </c>
      <c r="K118" s="2"/>
      <c r="L118" s="15"/>
      <c r="M118" s="34">
        <f t="shared" si="7"/>
        <v>0</v>
      </c>
    </row>
    <row r="119" spans="1:13" x14ac:dyDescent="0.25">
      <c r="A119" s="31"/>
      <c r="B119" s="16" t="str">
        <f>IFERROR(VLOOKUP(A119,Consolidado!$B$1:$L$1500,2,FALSE),"")</f>
        <v/>
      </c>
      <c r="C119" s="16">
        <f>IFERROR(SUMIF(Consolidado!$B$1:$B$1500,VLOOKUP(RegistroPago!A119,Consolidado!$B$1:$L$1500,1,FALSE),Consolidado!$G$1:$G$1500),"")</f>
        <v>0</v>
      </c>
      <c r="D119" s="3"/>
      <c r="E119" s="3"/>
      <c r="F119" s="5" t="str">
        <f t="shared" si="4"/>
        <v/>
      </c>
      <c r="G119" s="16" t="str">
        <f>IF(D119&lt;&gt;"",D119-VLOOKUP(A119,Consolidado!$B$1:$L$1500,8,FALSE),"")</f>
        <v/>
      </c>
      <c r="H119" s="31"/>
      <c r="I119" s="32">
        <f t="shared" si="5"/>
        <v>0</v>
      </c>
      <c r="J119" s="33" t="str">
        <f t="shared" si="6"/>
        <v/>
      </c>
      <c r="K119" s="2"/>
      <c r="L119" s="15"/>
      <c r="M119" s="34">
        <f t="shared" si="7"/>
        <v>0</v>
      </c>
    </row>
    <row r="120" spans="1:13" x14ac:dyDescent="0.25">
      <c r="A120" s="31"/>
      <c r="B120" s="16" t="str">
        <f>IFERROR(VLOOKUP(A120,Consolidado!$B$1:$L$1500,2,FALSE),"")</f>
        <v/>
      </c>
      <c r="C120" s="16">
        <f>IFERROR(SUMIF(Consolidado!$B$1:$B$1500,VLOOKUP(RegistroPago!A120,Consolidado!$B$1:$L$1500,1,FALSE),Consolidado!$G$1:$G$1500),"")</f>
        <v>0</v>
      </c>
      <c r="D120" s="3"/>
      <c r="E120" s="3"/>
      <c r="F120" s="5" t="str">
        <f t="shared" si="4"/>
        <v/>
      </c>
      <c r="G120" s="16" t="str">
        <f>IF(D120&lt;&gt;"",D120-VLOOKUP(A120,Consolidado!$B$1:$L$1500,8,FALSE),"")</f>
        <v/>
      </c>
      <c r="H120" s="31"/>
      <c r="I120" s="32">
        <f t="shared" si="5"/>
        <v>0</v>
      </c>
      <c r="J120" s="33" t="str">
        <f t="shared" si="6"/>
        <v/>
      </c>
      <c r="K120" s="2"/>
      <c r="L120" s="15"/>
      <c r="M120" s="34">
        <f t="shared" si="7"/>
        <v>0</v>
      </c>
    </row>
    <row r="121" spans="1:13" x14ac:dyDescent="0.25">
      <c r="A121" s="31"/>
      <c r="B121" s="16" t="str">
        <f>IFERROR(VLOOKUP(A121,Consolidado!$B$1:$L$1500,2,FALSE),"")</f>
        <v/>
      </c>
      <c r="C121" s="16">
        <f>IFERROR(SUMIF(Consolidado!$B$1:$B$1500,VLOOKUP(RegistroPago!A121,Consolidado!$B$1:$L$1500,1,FALSE),Consolidado!$G$1:$G$1500),"")</f>
        <v>0</v>
      </c>
      <c r="D121" s="3"/>
      <c r="E121" s="3"/>
      <c r="F121" s="5" t="str">
        <f t="shared" si="4"/>
        <v/>
      </c>
      <c r="G121" s="16" t="str">
        <f>IF(D121&lt;&gt;"",D121-VLOOKUP(A121,Consolidado!$B$1:$L$1500,8,FALSE),"")</f>
        <v/>
      </c>
      <c r="H121" s="31"/>
      <c r="I121" s="32">
        <f t="shared" si="5"/>
        <v>0</v>
      </c>
      <c r="J121" s="33" t="str">
        <f t="shared" si="6"/>
        <v/>
      </c>
      <c r="K121" s="2"/>
      <c r="L121" s="15"/>
      <c r="M121" s="34">
        <f t="shared" si="7"/>
        <v>0</v>
      </c>
    </row>
    <row r="122" spans="1:13" x14ac:dyDescent="0.25">
      <c r="A122" s="31"/>
      <c r="B122" s="16" t="str">
        <f>IFERROR(VLOOKUP(A122,Consolidado!$B$1:$L$1500,2,FALSE),"")</f>
        <v/>
      </c>
      <c r="C122" s="16">
        <f>IFERROR(SUMIF(Consolidado!$B$1:$B$1500,VLOOKUP(RegistroPago!A122,Consolidado!$B$1:$L$1500,1,FALSE),Consolidado!$G$1:$G$1500),"")</f>
        <v>0</v>
      </c>
      <c r="D122" s="3"/>
      <c r="E122" s="3"/>
      <c r="F122" s="5" t="str">
        <f t="shared" si="4"/>
        <v/>
      </c>
      <c r="G122" s="16" t="str">
        <f>IF(D122&lt;&gt;"",D122-VLOOKUP(A122,Consolidado!$B$1:$L$1500,8,FALSE),"")</f>
        <v/>
      </c>
      <c r="H122" s="31"/>
      <c r="I122" s="32">
        <f t="shared" si="5"/>
        <v>0</v>
      </c>
      <c r="J122" s="33" t="str">
        <f t="shared" si="6"/>
        <v/>
      </c>
      <c r="K122" s="2"/>
      <c r="L122" s="15"/>
      <c r="M122" s="34">
        <f t="shared" si="7"/>
        <v>0</v>
      </c>
    </row>
    <row r="123" spans="1:13" x14ac:dyDescent="0.25">
      <c r="A123" s="31"/>
      <c r="B123" s="16" t="str">
        <f>IFERROR(VLOOKUP(A123,Consolidado!$B$1:$L$1500,2,FALSE),"")</f>
        <v/>
      </c>
      <c r="C123" s="16">
        <f>IFERROR(SUMIF(Consolidado!$B$1:$B$1500,VLOOKUP(RegistroPago!A123,Consolidado!$B$1:$L$1500,1,FALSE),Consolidado!$G$1:$G$1500),"")</f>
        <v>0</v>
      </c>
      <c r="D123" s="3"/>
      <c r="E123" s="3"/>
      <c r="F123" s="5" t="str">
        <f t="shared" si="4"/>
        <v/>
      </c>
      <c r="G123" s="16" t="str">
        <f>IF(D123&lt;&gt;"",D123-VLOOKUP(A123,Consolidado!$B$1:$L$1500,8,FALSE),"")</f>
        <v/>
      </c>
      <c r="H123" s="31"/>
      <c r="I123" s="32">
        <f t="shared" si="5"/>
        <v>0</v>
      </c>
      <c r="J123" s="33" t="str">
        <f t="shared" si="6"/>
        <v/>
      </c>
      <c r="K123" s="2"/>
      <c r="L123" s="15"/>
      <c r="M123" s="34">
        <f t="shared" si="7"/>
        <v>0</v>
      </c>
    </row>
    <row r="124" spans="1:13" x14ac:dyDescent="0.25">
      <c r="A124" s="31"/>
      <c r="B124" s="16" t="str">
        <f>IFERROR(VLOOKUP(A124,Consolidado!$B$1:$L$1500,2,FALSE),"")</f>
        <v/>
      </c>
      <c r="C124" s="16">
        <f>IFERROR(SUMIF(Consolidado!$B$1:$B$1500,VLOOKUP(RegistroPago!A124,Consolidado!$B$1:$L$1500,1,FALSE),Consolidado!$G$1:$G$1500),"")</f>
        <v>0</v>
      </c>
      <c r="D124" s="3"/>
      <c r="E124" s="3"/>
      <c r="F124" s="5" t="str">
        <f t="shared" si="4"/>
        <v/>
      </c>
      <c r="G124" s="16" t="str">
        <f>IF(D124&lt;&gt;"",D124-VLOOKUP(A124,Consolidado!$B$1:$L$1500,8,FALSE),"")</f>
        <v/>
      </c>
      <c r="H124" s="31"/>
      <c r="I124" s="32">
        <f t="shared" si="5"/>
        <v>0</v>
      </c>
      <c r="J124" s="33" t="str">
        <f t="shared" si="6"/>
        <v/>
      </c>
      <c r="K124" s="2"/>
      <c r="L124" s="15"/>
      <c r="M124" s="34">
        <f t="shared" si="7"/>
        <v>0</v>
      </c>
    </row>
    <row r="125" spans="1:13" x14ac:dyDescent="0.25">
      <c r="A125" s="31"/>
      <c r="B125" s="16" t="str">
        <f>IFERROR(VLOOKUP(A125,Consolidado!$B$1:$L$1500,2,FALSE),"")</f>
        <v/>
      </c>
      <c r="C125" s="16">
        <f>IFERROR(SUMIF(Consolidado!$B$1:$B$1500,VLOOKUP(RegistroPago!A125,Consolidado!$B$1:$L$1500,1,FALSE),Consolidado!$G$1:$G$1500),"")</f>
        <v>0</v>
      </c>
      <c r="D125" s="3"/>
      <c r="E125" s="3"/>
      <c r="F125" s="5" t="str">
        <f t="shared" si="4"/>
        <v/>
      </c>
      <c r="G125" s="16" t="str">
        <f>IF(D125&lt;&gt;"",D125-VLOOKUP(A125,Consolidado!$B$1:$L$1500,8,FALSE),"")</f>
        <v/>
      </c>
      <c r="H125" s="31"/>
      <c r="I125" s="32">
        <f t="shared" si="5"/>
        <v>0</v>
      </c>
      <c r="J125" s="33" t="str">
        <f t="shared" si="6"/>
        <v/>
      </c>
      <c r="K125" s="2"/>
      <c r="L125" s="15"/>
      <c r="M125" s="34">
        <f t="shared" si="7"/>
        <v>0</v>
      </c>
    </row>
    <row r="126" spans="1:13" x14ac:dyDescent="0.25">
      <c r="A126" s="31"/>
      <c r="B126" s="16" t="str">
        <f>IFERROR(VLOOKUP(A126,Consolidado!$B$1:$L$1500,2,FALSE),"")</f>
        <v/>
      </c>
      <c r="C126" s="16">
        <f>IFERROR(SUMIF(Consolidado!$B$1:$B$1500,VLOOKUP(RegistroPago!A126,Consolidado!$B$1:$L$1500,1,FALSE),Consolidado!$G$1:$G$1500),"")</f>
        <v>0</v>
      </c>
      <c r="D126" s="3"/>
      <c r="E126" s="3"/>
      <c r="F126" s="5" t="str">
        <f t="shared" si="4"/>
        <v/>
      </c>
      <c r="G126" s="16" t="str">
        <f>IF(D126&lt;&gt;"",D126-VLOOKUP(A126,Consolidado!$B$1:$L$1500,8,FALSE),"")</f>
        <v/>
      </c>
      <c r="H126" s="31"/>
      <c r="I126" s="32">
        <f t="shared" si="5"/>
        <v>0</v>
      </c>
      <c r="J126" s="33" t="str">
        <f t="shared" si="6"/>
        <v/>
      </c>
      <c r="K126" s="2"/>
      <c r="L126" s="15"/>
      <c r="M126" s="34">
        <f t="shared" si="7"/>
        <v>0</v>
      </c>
    </row>
    <row r="127" spans="1:13" x14ac:dyDescent="0.25">
      <c r="A127" s="31"/>
      <c r="B127" s="16" t="str">
        <f>IFERROR(VLOOKUP(A127,Consolidado!$B$1:$L$1500,2,FALSE),"")</f>
        <v/>
      </c>
      <c r="C127" s="16">
        <f>IFERROR(SUMIF(Consolidado!$B$1:$B$1500,VLOOKUP(RegistroPago!A127,Consolidado!$B$1:$L$1500,1,FALSE),Consolidado!$G$1:$G$1500),"")</f>
        <v>0</v>
      </c>
      <c r="D127" s="3"/>
      <c r="E127" s="3"/>
      <c r="F127" s="5" t="str">
        <f t="shared" si="4"/>
        <v/>
      </c>
      <c r="G127" s="16" t="str">
        <f>IF(D127&lt;&gt;"",D127-VLOOKUP(A127,Consolidado!$B$1:$L$1500,8,FALSE),"")</f>
        <v/>
      </c>
      <c r="H127" s="31"/>
      <c r="I127" s="32">
        <f t="shared" si="5"/>
        <v>0</v>
      </c>
      <c r="J127" s="33" t="str">
        <f t="shared" si="6"/>
        <v/>
      </c>
      <c r="K127" s="2"/>
      <c r="L127" s="15"/>
      <c r="M127" s="34">
        <f t="shared" si="7"/>
        <v>0</v>
      </c>
    </row>
    <row r="128" spans="1:13" x14ac:dyDescent="0.25">
      <c r="A128" s="31"/>
      <c r="B128" s="16" t="str">
        <f>IFERROR(VLOOKUP(A128,Consolidado!$B$1:$L$1500,2,FALSE),"")</f>
        <v/>
      </c>
      <c r="C128" s="16">
        <f>IFERROR(SUMIF(Consolidado!$B$1:$B$1500,VLOOKUP(RegistroPago!A128,Consolidado!$B$1:$L$1500,1,FALSE),Consolidado!$G$1:$G$1500),"")</f>
        <v>0</v>
      </c>
      <c r="D128" s="3"/>
      <c r="E128" s="3"/>
      <c r="F128" s="5" t="str">
        <f t="shared" si="4"/>
        <v/>
      </c>
      <c r="G128" s="16" t="str">
        <f>IF(D128&lt;&gt;"",D128-VLOOKUP(A128,Consolidado!$B$1:$L$1500,8,FALSE),"")</f>
        <v/>
      </c>
      <c r="H128" s="31"/>
      <c r="I128" s="32">
        <f t="shared" si="5"/>
        <v>0</v>
      </c>
      <c r="J128" s="33" t="str">
        <f t="shared" si="6"/>
        <v/>
      </c>
      <c r="K128" s="2"/>
      <c r="L128" s="15"/>
      <c r="M128" s="34">
        <f t="shared" si="7"/>
        <v>0</v>
      </c>
    </row>
    <row r="129" spans="1:13" x14ac:dyDescent="0.25">
      <c r="A129" s="31"/>
      <c r="B129" s="16" t="str">
        <f>IFERROR(VLOOKUP(A129,Consolidado!$B$1:$L$1500,2,FALSE),"")</f>
        <v/>
      </c>
      <c r="C129" s="16">
        <f>IFERROR(SUMIF(Consolidado!$B$1:$B$1500,VLOOKUP(RegistroPago!A129,Consolidado!$B$1:$L$1500,1,FALSE),Consolidado!$G$1:$G$1500),"")</f>
        <v>0</v>
      </c>
      <c r="D129" s="3"/>
      <c r="E129" s="3"/>
      <c r="F129" s="5" t="str">
        <f t="shared" si="4"/>
        <v/>
      </c>
      <c r="G129" s="16" t="str">
        <f>IF(D129&lt;&gt;"",D129-VLOOKUP(A129,Consolidado!$B$1:$L$1500,8,FALSE),"")</f>
        <v/>
      </c>
      <c r="H129" s="31"/>
      <c r="I129" s="32">
        <f t="shared" si="5"/>
        <v>0</v>
      </c>
      <c r="J129" s="33" t="str">
        <f t="shared" si="6"/>
        <v/>
      </c>
      <c r="K129" s="2"/>
      <c r="L129" s="15"/>
      <c r="M129" s="34">
        <f t="shared" si="7"/>
        <v>0</v>
      </c>
    </row>
    <row r="130" spans="1:13" x14ac:dyDescent="0.25">
      <c r="A130" s="31"/>
      <c r="B130" s="16" t="str">
        <f>IFERROR(VLOOKUP(A130,Consolidado!$B$1:$L$1500,2,FALSE),"")</f>
        <v/>
      </c>
      <c r="C130" s="16">
        <f>IFERROR(SUMIF(Consolidado!$B$1:$B$1500,VLOOKUP(RegistroPago!A130,Consolidado!$B$1:$L$1500,1,FALSE),Consolidado!$G$1:$G$1500),"")</f>
        <v>0</v>
      </c>
      <c r="D130" s="3"/>
      <c r="E130" s="3"/>
      <c r="F130" s="5" t="str">
        <f t="shared" si="4"/>
        <v/>
      </c>
      <c r="G130" s="16" t="str">
        <f>IF(D130&lt;&gt;"",D130-VLOOKUP(A130,Consolidado!$B$1:$L$1500,8,FALSE),"")</f>
        <v/>
      </c>
      <c r="H130" s="31"/>
      <c r="I130" s="32">
        <f t="shared" si="5"/>
        <v>0</v>
      </c>
      <c r="J130" s="33" t="str">
        <f t="shared" si="6"/>
        <v/>
      </c>
      <c r="K130" s="2"/>
      <c r="L130" s="15"/>
      <c r="M130" s="34">
        <f t="shared" si="7"/>
        <v>0</v>
      </c>
    </row>
    <row r="131" spans="1:13" x14ac:dyDescent="0.25">
      <c r="A131" s="31"/>
      <c r="B131" s="16" t="str">
        <f>IFERROR(VLOOKUP(A131,Consolidado!$B$1:$L$1500,2,FALSE),"")</f>
        <v/>
      </c>
      <c r="C131" s="16">
        <f>IFERROR(SUMIF(Consolidado!$B$1:$B$1500,VLOOKUP(RegistroPago!A131,Consolidado!$B$1:$L$1500,1,FALSE),Consolidado!$G$1:$G$1500),"")</f>
        <v>0</v>
      </c>
      <c r="D131" s="3"/>
      <c r="E131" s="3"/>
      <c r="F131" s="5" t="str">
        <f t="shared" ref="F131:F194" si="8">IF(COUNTIF($E$2:$E$2000,E131)&gt;1,"Ya registrado","")</f>
        <v/>
      </c>
      <c r="G131" s="16" t="str">
        <f>IF(D131&lt;&gt;"",D131-VLOOKUP(A131,Consolidado!$B$1:$L$1500,8,FALSE),"")</f>
        <v/>
      </c>
      <c r="H131" s="31"/>
      <c r="I131" s="32">
        <f t="shared" ref="I131:I194" si="9">IFERROR(SUMIF($E$1:$E$2000,H131,$C$1:$C$2000)-SUMIF($E$1:$E$2000,H131,$F$1:$F$2000),"")</f>
        <v>0</v>
      </c>
      <c r="J131" s="33" t="str">
        <f t="shared" ref="J131:J194" si="10">IFERROR(I131/SUMIF($E$1:$E$2000,H131,$C$1:$C$2000),"")</f>
        <v/>
      </c>
      <c r="K131" s="2"/>
      <c r="L131" s="15"/>
      <c r="M131" s="34">
        <f t="shared" ref="M131:M194" si="11">IFERROR(L131*SUMIF($E$1:$E$2000,H131,$F$1:$F$2000),"")</f>
        <v>0</v>
      </c>
    </row>
    <row r="132" spans="1:13" x14ac:dyDescent="0.25">
      <c r="A132" s="31"/>
      <c r="B132" s="16" t="str">
        <f>IFERROR(VLOOKUP(A132,Consolidado!$B$1:$L$1500,2,FALSE),"")</f>
        <v/>
      </c>
      <c r="C132" s="16">
        <f>IFERROR(SUMIF(Consolidado!$B$1:$B$1500,VLOOKUP(RegistroPago!A132,Consolidado!$B$1:$L$1500,1,FALSE),Consolidado!$G$1:$G$1500),"")</f>
        <v>0</v>
      </c>
      <c r="D132" s="3"/>
      <c r="E132" s="3"/>
      <c r="F132" s="5" t="str">
        <f t="shared" si="8"/>
        <v/>
      </c>
      <c r="G132" s="16" t="str">
        <f>IF(D132&lt;&gt;"",D132-VLOOKUP(A132,Consolidado!$B$1:$L$1500,8,FALSE),"")</f>
        <v/>
      </c>
      <c r="H132" s="31"/>
      <c r="I132" s="32">
        <f t="shared" si="9"/>
        <v>0</v>
      </c>
      <c r="J132" s="33" t="str">
        <f t="shared" si="10"/>
        <v/>
      </c>
      <c r="K132" s="2"/>
      <c r="L132" s="15"/>
      <c r="M132" s="34">
        <f t="shared" si="11"/>
        <v>0</v>
      </c>
    </row>
    <row r="133" spans="1:13" x14ac:dyDescent="0.25">
      <c r="A133" s="31"/>
      <c r="B133" s="16" t="str">
        <f>IFERROR(VLOOKUP(A133,Consolidado!$B$1:$L$1500,2,FALSE),"")</f>
        <v/>
      </c>
      <c r="C133" s="16">
        <f>IFERROR(SUMIF(Consolidado!$B$1:$B$1500,VLOOKUP(RegistroPago!A133,Consolidado!$B$1:$L$1500,1,FALSE),Consolidado!$G$1:$G$1500),"")</f>
        <v>0</v>
      </c>
      <c r="D133" s="3"/>
      <c r="E133" s="3"/>
      <c r="F133" s="5" t="str">
        <f t="shared" si="8"/>
        <v/>
      </c>
      <c r="G133" s="16" t="str">
        <f>IF(D133&lt;&gt;"",D133-VLOOKUP(A133,Consolidado!$B$1:$L$1500,8,FALSE),"")</f>
        <v/>
      </c>
      <c r="H133" s="31"/>
      <c r="I133" s="32">
        <f t="shared" si="9"/>
        <v>0</v>
      </c>
      <c r="J133" s="33" t="str">
        <f t="shared" si="10"/>
        <v/>
      </c>
      <c r="K133" s="2"/>
      <c r="L133" s="15"/>
      <c r="M133" s="34">
        <f t="shared" si="11"/>
        <v>0</v>
      </c>
    </row>
    <row r="134" spans="1:13" x14ac:dyDescent="0.25">
      <c r="A134" s="31"/>
      <c r="B134" s="16" t="str">
        <f>IFERROR(VLOOKUP(A134,Consolidado!$B$1:$L$1500,2,FALSE),"")</f>
        <v/>
      </c>
      <c r="C134" s="16">
        <f>IFERROR(SUMIF(Consolidado!$B$1:$B$1500,VLOOKUP(RegistroPago!A134,Consolidado!$B$1:$L$1500,1,FALSE),Consolidado!$G$1:$G$1500),"")</f>
        <v>0</v>
      </c>
      <c r="D134" s="3"/>
      <c r="E134" s="3"/>
      <c r="F134" s="5" t="str">
        <f t="shared" si="8"/>
        <v/>
      </c>
      <c r="G134" s="16" t="str">
        <f>IF(D134&lt;&gt;"",D134-VLOOKUP(A134,Consolidado!$B$1:$L$1500,8,FALSE),"")</f>
        <v/>
      </c>
      <c r="H134" s="31"/>
      <c r="I134" s="32">
        <f t="shared" si="9"/>
        <v>0</v>
      </c>
      <c r="J134" s="33" t="str">
        <f t="shared" si="10"/>
        <v/>
      </c>
      <c r="K134" s="2"/>
      <c r="L134" s="15"/>
      <c r="M134" s="34">
        <f t="shared" si="11"/>
        <v>0</v>
      </c>
    </row>
    <row r="135" spans="1:13" x14ac:dyDescent="0.25">
      <c r="A135" s="31"/>
      <c r="B135" s="16" t="str">
        <f>IFERROR(VLOOKUP(A135,Consolidado!$B$1:$L$1500,2,FALSE),"")</f>
        <v/>
      </c>
      <c r="C135" s="16">
        <f>IFERROR(SUMIF(Consolidado!$B$1:$B$1500,VLOOKUP(RegistroPago!A135,Consolidado!$B$1:$L$1500,1,FALSE),Consolidado!$G$1:$G$1500),"")</f>
        <v>0</v>
      </c>
      <c r="D135" s="3"/>
      <c r="E135" s="3"/>
      <c r="F135" s="5" t="str">
        <f t="shared" si="8"/>
        <v/>
      </c>
      <c r="G135" s="16" t="str">
        <f>IF(D135&lt;&gt;"",D135-VLOOKUP(A135,Consolidado!$B$1:$L$1500,8,FALSE),"")</f>
        <v/>
      </c>
      <c r="H135" s="31"/>
      <c r="I135" s="32">
        <f t="shared" si="9"/>
        <v>0</v>
      </c>
      <c r="J135" s="33" t="str">
        <f t="shared" si="10"/>
        <v/>
      </c>
      <c r="K135" s="2"/>
      <c r="L135" s="15"/>
      <c r="M135" s="34">
        <f t="shared" si="11"/>
        <v>0</v>
      </c>
    </row>
    <row r="136" spans="1:13" x14ac:dyDescent="0.25">
      <c r="A136" s="31"/>
      <c r="B136" s="16" t="str">
        <f>IFERROR(VLOOKUP(A136,Consolidado!$B$1:$L$1500,2,FALSE),"")</f>
        <v/>
      </c>
      <c r="C136" s="16">
        <f>IFERROR(SUMIF(Consolidado!$B$1:$B$1500,VLOOKUP(RegistroPago!A136,Consolidado!$B$1:$L$1500,1,FALSE),Consolidado!$G$1:$G$1500),"")</f>
        <v>0</v>
      </c>
      <c r="D136" s="3"/>
      <c r="E136" s="3"/>
      <c r="F136" s="5" t="str">
        <f t="shared" si="8"/>
        <v/>
      </c>
      <c r="G136" s="16" t="str">
        <f>IF(D136&lt;&gt;"",D136-VLOOKUP(A136,Consolidado!$B$1:$L$1500,8,FALSE),"")</f>
        <v/>
      </c>
      <c r="H136" s="31"/>
      <c r="I136" s="32">
        <f t="shared" si="9"/>
        <v>0</v>
      </c>
      <c r="J136" s="33" t="str">
        <f t="shared" si="10"/>
        <v/>
      </c>
      <c r="K136" s="2"/>
      <c r="L136" s="15"/>
      <c r="M136" s="34">
        <f t="shared" si="11"/>
        <v>0</v>
      </c>
    </row>
    <row r="137" spans="1:13" x14ac:dyDescent="0.25">
      <c r="A137" s="31"/>
      <c r="B137" s="16" t="str">
        <f>IFERROR(VLOOKUP(A137,Consolidado!$B$1:$L$1500,2,FALSE),"")</f>
        <v/>
      </c>
      <c r="C137" s="16">
        <f>IFERROR(SUMIF(Consolidado!$B$1:$B$1500,VLOOKUP(RegistroPago!A137,Consolidado!$B$1:$L$1500,1,FALSE),Consolidado!$G$1:$G$1500),"")</f>
        <v>0</v>
      </c>
      <c r="D137" s="3"/>
      <c r="E137" s="3"/>
      <c r="F137" s="5" t="str">
        <f t="shared" si="8"/>
        <v/>
      </c>
      <c r="G137" s="16" t="str">
        <f>IF(D137&lt;&gt;"",D137-VLOOKUP(A137,Consolidado!$B$1:$L$1500,8,FALSE),"")</f>
        <v/>
      </c>
      <c r="H137" s="31"/>
      <c r="I137" s="32">
        <f t="shared" si="9"/>
        <v>0</v>
      </c>
      <c r="J137" s="33" t="str">
        <f t="shared" si="10"/>
        <v/>
      </c>
      <c r="K137" s="2"/>
      <c r="L137" s="15"/>
      <c r="M137" s="34">
        <f t="shared" si="11"/>
        <v>0</v>
      </c>
    </row>
    <row r="138" spans="1:13" x14ac:dyDescent="0.25">
      <c r="A138" s="31"/>
      <c r="B138" s="16" t="str">
        <f>IFERROR(VLOOKUP(A138,Consolidado!$B$1:$L$1500,2,FALSE),"")</f>
        <v/>
      </c>
      <c r="C138" s="16">
        <f>IFERROR(SUMIF(Consolidado!$B$1:$B$1500,VLOOKUP(RegistroPago!A138,Consolidado!$B$1:$L$1500,1,FALSE),Consolidado!$G$1:$G$1500),"")</f>
        <v>0</v>
      </c>
      <c r="D138" s="3"/>
      <c r="E138" s="3"/>
      <c r="F138" s="5" t="str">
        <f t="shared" si="8"/>
        <v/>
      </c>
      <c r="G138" s="16" t="str">
        <f>IF(D138&lt;&gt;"",D138-VLOOKUP(A138,Consolidado!$B$1:$L$1500,8,FALSE),"")</f>
        <v/>
      </c>
      <c r="H138" s="31"/>
      <c r="I138" s="32">
        <f t="shared" si="9"/>
        <v>0</v>
      </c>
      <c r="J138" s="33" t="str">
        <f t="shared" si="10"/>
        <v/>
      </c>
      <c r="K138" s="2"/>
      <c r="L138" s="15"/>
      <c r="M138" s="34">
        <f t="shared" si="11"/>
        <v>0</v>
      </c>
    </row>
    <row r="139" spans="1:13" x14ac:dyDescent="0.25">
      <c r="A139" s="31"/>
      <c r="B139" s="16" t="str">
        <f>IFERROR(VLOOKUP(A139,Consolidado!$B$1:$L$1500,2,FALSE),"")</f>
        <v/>
      </c>
      <c r="C139" s="16">
        <f>IFERROR(SUMIF(Consolidado!$B$1:$B$1500,VLOOKUP(RegistroPago!A139,Consolidado!$B$1:$L$1500,1,FALSE),Consolidado!$G$1:$G$1500),"")</f>
        <v>0</v>
      </c>
      <c r="D139" s="3"/>
      <c r="E139" s="3"/>
      <c r="F139" s="5" t="str">
        <f t="shared" si="8"/>
        <v/>
      </c>
      <c r="G139" s="16" t="str">
        <f>IF(D139&lt;&gt;"",D139-VLOOKUP(A139,Consolidado!$B$1:$L$1500,8,FALSE),"")</f>
        <v/>
      </c>
      <c r="H139" s="31"/>
      <c r="I139" s="32">
        <f t="shared" si="9"/>
        <v>0</v>
      </c>
      <c r="J139" s="33" t="str">
        <f t="shared" si="10"/>
        <v/>
      </c>
      <c r="K139" s="2"/>
      <c r="L139" s="15"/>
      <c r="M139" s="34">
        <f t="shared" si="11"/>
        <v>0</v>
      </c>
    </row>
    <row r="140" spans="1:13" x14ac:dyDescent="0.25">
      <c r="A140" s="31"/>
      <c r="B140" s="16" t="str">
        <f>IFERROR(VLOOKUP(A140,Consolidado!$B$1:$L$1500,2,FALSE),"")</f>
        <v/>
      </c>
      <c r="C140" s="16">
        <f>IFERROR(SUMIF(Consolidado!$B$1:$B$1500,VLOOKUP(RegistroPago!A140,Consolidado!$B$1:$L$1500,1,FALSE),Consolidado!$G$1:$G$1500),"")</f>
        <v>0</v>
      </c>
      <c r="D140" s="3"/>
      <c r="E140" s="3"/>
      <c r="F140" s="5" t="str">
        <f t="shared" si="8"/>
        <v/>
      </c>
      <c r="G140" s="16" t="str">
        <f>IF(D140&lt;&gt;"",D140-VLOOKUP(A140,Consolidado!$B$1:$L$1500,8,FALSE),"")</f>
        <v/>
      </c>
      <c r="H140" s="31"/>
      <c r="I140" s="32">
        <f t="shared" si="9"/>
        <v>0</v>
      </c>
      <c r="J140" s="33" t="str">
        <f t="shared" si="10"/>
        <v/>
      </c>
      <c r="K140" s="2"/>
      <c r="L140" s="15"/>
      <c r="M140" s="34">
        <f t="shared" si="11"/>
        <v>0</v>
      </c>
    </row>
    <row r="141" spans="1:13" x14ac:dyDescent="0.25">
      <c r="A141" s="31"/>
      <c r="B141" s="16" t="str">
        <f>IFERROR(VLOOKUP(A141,Consolidado!$B$1:$L$1500,2,FALSE),"")</f>
        <v/>
      </c>
      <c r="C141" s="16">
        <f>IFERROR(SUMIF(Consolidado!$B$1:$B$1500,VLOOKUP(RegistroPago!A141,Consolidado!$B$1:$L$1500,1,FALSE),Consolidado!$G$1:$G$1500),"")</f>
        <v>0</v>
      </c>
      <c r="D141" s="3"/>
      <c r="E141" s="3"/>
      <c r="F141" s="5" t="str">
        <f t="shared" si="8"/>
        <v/>
      </c>
      <c r="G141" s="16" t="str">
        <f>IF(D141&lt;&gt;"",D141-VLOOKUP(A141,Consolidado!$B$1:$L$1500,8,FALSE),"")</f>
        <v/>
      </c>
      <c r="H141" s="31"/>
      <c r="I141" s="32">
        <f t="shared" si="9"/>
        <v>0</v>
      </c>
      <c r="J141" s="33" t="str">
        <f t="shared" si="10"/>
        <v/>
      </c>
      <c r="K141" s="2"/>
      <c r="L141" s="15"/>
      <c r="M141" s="34">
        <f t="shared" si="11"/>
        <v>0</v>
      </c>
    </row>
    <row r="142" spans="1:13" x14ac:dyDescent="0.25">
      <c r="A142" s="31"/>
      <c r="B142" s="16" t="str">
        <f>IFERROR(VLOOKUP(A142,Consolidado!$B$1:$L$1500,2,FALSE),"")</f>
        <v/>
      </c>
      <c r="C142" s="16">
        <f>IFERROR(SUMIF(Consolidado!$B$1:$B$1500,VLOOKUP(RegistroPago!A142,Consolidado!$B$1:$L$1500,1,FALSE),Consolidado!$G$1:$G$1500),"")</f>
        <v>0</v>
      </c>
      <c r="D142" s="3"/>
      <c r="E142" s="3"/>
      <c r="F142" s="5" t="str">
        <f t="shared" si="8"/>
        <v/>
      </c>
      <c r="G142" s="16" t="str">
        <f>IF(D142&lt;&gt;"",D142-VLOOKUP(A142,Consolidado!$B$1:$L$1500,8,FALSE),"")</f>
        <v/>
      </c>
      <c r="H142" s="31"/>
      <c r="I142" s="32">
        <f t="shared" si="9"/>
        <v>0</v>
      </c>
      <c r="J142" s="33" t="str">
        <f t="shared" si="10"/>
        <v/>
      </c>
      <c r="K142" s="2"/>
      <c r="L142" s="15"/>
      <c r="M142" s="34">
        <f t="shared" si="11"/>
        <v>0</v>
      </c>
    </row>
    <row r="143" spans="1:13" x14ac:dyDescent="0.25">
      <c r="A143" s="31"/>
      <c r="B143" s="16" t="str">
        <f>IFERROR(VLOOKUP(A143,Consolidado!$B$1:$L$1500,2,FALSE),"")</f>
        <v/>
      </c>
      <c r="C143" s="16">
        <f>IFERROR(SUMIF(Consolidado!$B$1:$B$1500,VLOOKUP(RegistroPago!A143,Consolidado!$B$1:$L$1500,1,FALSE),Consolidado!$G$1:$G$1500),"")</f>
        <v>0</v>
      </c>
      <c r="D143" s="3"/>
      <c r="E143" s="3"/>
      <c r="F143" s="5" t="str">
        <f t="shared" si="8"/>
        <v/>
      </c>
      <c r="G143" s="16" t="str">
        <f>IF(D143&lt;&gt;"",D143-VLOOKUP(A143,Consolidado!$B$1:$L$1500,8,FALSE),"")</f>
        <v/>
      </c>
      <c r="H143" s="31"/>
      <c r="I143" s="32">
        <f t="shared" si="9"/>
        <v>0</v>
      </c>
      <c r="J143" s="33" t="str">
        <f t="shared" si="10"/>
        <v/>
      </c>
      <c r="K143" s="2"/>
      <c r="L143" s="15"/>
      <c r="M143" s="34">
        <f t="shared" si="11"/>
        <v>0</v>
      </c>
    </row>
    <row r="144" spans="1:13" x14ac:dyDescent="0.25">
      <c r="A144" s="31"/>
      <c r="B144" s="16" t="str">
        <f>IFERROR(VLOOKUP(A144,Consolidado!$B$1:$L$1500,2,FALSE),"")</f>
        <v/>
      </c>
      <c r="C144" s="16">
        <f>IFERROR(SUMIF(Consolidado!$B$1:$B$1500,VLOOKUP(RegistroPago!A144,Consolidado!$B$1:$L$1500,1,FALSE),Consolidado!$G$1:$G$1500),"")</f>
        <v>0</v>
      </c>
      <c r="D144" s="3"/>
      <c r="E144" s="3"/>
      <c r="F144" s="5" t="str">
        <f t="shared" si="8"/>
        <v/>
      </c>
      <c r="G144" s="16" t="str">
        <f>IF(D144&lt;&gt;"",D144-VLOOKUP(A144,Consolidado!$B$1:$L$1500,8,FALSE),"")</f>
        <v/>
      </c>
      <c r="H144" s="31"/>
      <c r="I144" s="32">
        <f t="shared" si="9"/>
        <v>0</v>
      </c>
      <c r="J144" s="33" t="str">
        <f t="shared" si="10"/>
        <v/>
      </c>
      <c r="K144" s="2"/>
      <c r="L144" s="15"/>
      <c r="M144" s="34">
        <f t="shared" si="11"/>
        <v>0</v>
      </c>
    </row>
    <row r="145" spans="1:13" x14ac:dyDescent="0.25">
      <c r="A145" s="31"/>
      <c r="B145" s="16" t="str">
        <f>IFERROR(VLOOKUP(A145,Consolidado!$B$1:$L$1500,2,FALSE),"")</f>
        <v/>
      </c>
      <c r="C145" s="16">
        <f>IFERROR(SUMIF(Consolidado!$B$1:$B$1500,VLOOKUP(RegistroPago!A145,Consolidado!$B$1:$L$1500,1,FALSE),Consolidado!$G$1:$G$1500),"")</f>
        <v>0</v>
      </c>
      <c r="D145" s="3"/>
      <c r="E145" s="3"/>
      <c r="F145" s="5" t="str">
        <f t="shared" si="8"/>
        <v/>
      </c>
      <c r="G145" s="16" t="str">
        <f>IF(D145&lt;&gt;"",D145-VLOOKUP(A145,Consolidado!$B$1:$L$1500,8,FALSE),"")</f>
        <v/>
      </c>
      <c r="H145" s="31"/>
      <c r="I145" s="32">
        <f t="shared" si="9"/>
        <v>0</v>
      </c>
      <c r="J145" s="33" t="str">
        <f t="shared" si="10"/>
        <v/>
      </c>
      <c r="K145" s="2"/>
      <c r="L145" s="15"/>
      <c r="M145" s="34">
        <f t="shared" si="11"/>
        <v>0</v>
      </c>
    </row>
    <row r="146" spans="1:13" x14ac:dyDescent="0.25">
      <c r="A146" s="31"/>
      <c r="B146" s="16" t="str">
        <f>IFERROR(VLOOKUP(A146,Consolidado!$B$1:$L$1500,2,FALSE),"")</f>
        <v/>
      </c>
      <c r="C146" s="16">
        <f>IFERROR(SUMIF(Consolidado!$B$1:$B$1500,VLOOKUP(RegistroPago!A146,Consolidado!$B$1:$L$1500,1,FALSE),Consolidado!$G$1:$G$1500),"")</f>
        <v>0</v>
      </c>
      <c r="D146" s="3"/>
      <c r="E146" s="3"/>
      <c r="F146" s="5" t="str">
        <f t="shared" si="8"/>
        <v/>
      </c>
      <c r="G146" s="16" t="str">
        <f>IF(D146&lt;&gt;"",D146-VLOOKUP(A146,Consolidado!$B$1:$L$1500,8,FALSE),"")</f>
        <v/>
      </c>
      <c r="H146" s="31"/>
      <c r="I146" s="32">
        <f t="shared" si="9"/>
        <v>0</v>
      </c>
      <c r="J146" s="33" t="str">
        <f t="shared" si="10"/>
        <v/>
      </c>
      <c r="K146" s="2"/>
      <c r="L146" s="15"/>
      <c r="M146" s="34">
        <f t="shared" si="11"/>
        <v>0</v>
      </c>
    </row>
    <row r="147" spans="1:13" x14ac:dyDescent="0.25">
      <c r="A147" s="31"/>
      <c r="B147" s="16" t="str">
        <f>IFERROR(VLOOKUP(A147,Consolidado!$B$1:$L$1500,2,FALSE),"")</f>
        <v/>
      </c>
      <c r="C147" s="16">
        <f>IFERROR(SUMIF(Consolidado!$B$1:$B$1500,VLOOKUP(RegistroPago!A147,Consolidado!$B$1:$L$1500,1,FALSE),Consolidado!$G$1:$G$1500),"")</f>
        <v>0</v>
      </c>
      <c r="D147" s="3"/>
      <c r="E147" s="3"/>
      <c r="F147" s="5" t="str">
        <f t="shared" si="8"/>
        <v/>
      </c>
      <c r="G147" s="16" t="str">
        <f>IF(D147&lt;&gt;"",D147-VLOOKUP(A147,Consolidado!$B$1:$L$1500,8,FALSE),"")</f>
        <v/>
      </c>
      <c r="H147" s="31"/>
      <c r="I147" s="32">
        <f t="shared" si="9"/>
        <v>0</v>
      </c>
      <c r="J147" s="33" t="str">
        <f t="shared" si="10"/>
        <v/>
      </c>
      <c r="K147" s="2"/>
      <c r="L147" s="15"/>
      <c r="M147" s="34">
        <f t="shared" si="11"/>
        <v>0</v>
      </c>
    </row>
    <row r="148" spans="1:13" x14ac:dyDescent="0.25">
      <c r="A148" s="31"/>
      <c r="B148" s="16" t="str">
        <f>IFERROR(VLOOKUP(A148,Consolidado!$B$1:$L$1500,2,FALSE),"")</f>
        <v/>
      </c>
      <c r="C148" s="16">
        <f>IFERROR(SUMIF(Consolidado!$B$1:$B$1500,VLOOKUP(RegistroPago!A148,Consolidado!$B$1:$L$1500,1,FALSE),Consolidado!$G$1:$G$1500),"")</f>
        <v>0</v>
      </c>
      <c r="D148" s="3"/>
      <c r="E148" s="3"/>
      <c r="F148" s="5" t="str">
        <f t="shared" si="8"/>
        <v/>
      </c>
      <c r="G148" s="16" t="str">
        <f>IF(D148&lt;&gt;"",D148-VLOOKUP(A148,Consolidado!$B$1:$L$1500,8,FALSE),"")</f>
        <v/>
      </c>
      <c r="H148" s="31"/>
      <c r="I148" s="32">
        <f t="shared" si="9"/>
        <v>0</v>
      </c>
      <c r="J148" s="33" t="str">
        <f t="shared" si="10"/>
        <v/>
      </c>
      <c r="K148" s="2"/>
      <c r="L148" s="15"/>
      <c r="M148" s="34">
        <f t="shared" si="11"/>
        <v>0</v>
      </c>
    </row>
    <row r="149" spans="1:13" x14ac:dyDescent="0.25">
      <c r="A149" s="31"/>
      <c r="B149" s="16" t="str">
        <f>IFERROR(VLOOKUP(A149,Consolidado!$B$1:$L$1500,2,FALSE),"")</f>
        <v/>
      </c>
      <c r="C149" s="16">
        <f>IFERROR(SUMIF(Consolidado!$B$1:$B$1500,VLOOKUP(RegistroPago!A149,Consolidado!$B$1:$L$1500,1,FALSE),Consolidado!$G$1:$G$1500),"")</f>
        <v>0</v>
      </c>
      <c r="D149" s="3"/>
      <c r="E149" s="3"/>
      <c r="F149" s="5" t="str">
        <f t="shared" si="8"/>
        <v/>
      </c>
      <c r="G149" s="16" t="str">
        <f>IF(D149&lt;&gt;"",D149-VLOOKUP(A149,Consolidado!$B$1:$L$1500,8,FALSE),"")</f>
        <v/>
      </c>
      <c r="H149" s="31"/>
      <c r="I149" s="32">
        <f t="shared" si="9"/>
        <v>0</v>
      </c>
      <c r="J149" s="33" t="str">
        <f t="shared" si="10"/>
        <v/>
      </c>
      <c r="K149" s="2"/>
      <c r="L149" s="15"/>
      <c r="M149" s="34">
        <f t="shared" si="11"/>
        <v>0</v>
      </c>
    </row>
    <row r="150" spans="1:13" x14ac:dyDescent="0.25">
      <c r="A150" s="31"/>
      <c r="B150" s="16" t="str">
        <f>IFERROR(VLOOKUP(A150,Consolidado!$B$1:$L$1500,2,FALSE),"")</f>
        <v/>
      </c>
      <c r="C150" s="16">
        <f>IFERROR(SUMIF(Consolidado!$B$1:$B$1500,VLOOKUP(RegistroPago!A150,Consolidado!$B$1:$L$1500,1,FALSE),Consolidado!$G$1:$G$1500),"")</f>
        <v>0</v>
      </c>
      <c r="D150" s="3"/>
      <c r="E150" s="3"/>
      <c r="F150" s="5" t="str">
        <f t="shared" si="8"/>
        <v/>
      </c>
      <c r="G150" s="16" t="str">
        <f>IF(D150&lt;&gt;"",D150-VLOOKUP(A150,Consolidado!$B$1:$L$1500,8,FALSE),"")</f>
        <v/>
      </c>
      <c r="H150" s="31"/>
      <c r="I150" s="32">
        <f t="shared" si="9"/>
        <v>0</v>
      </c>
      <c r="J150" s="33" t="str">
        <f t="shared" si="10"/>
        <v/>
      </c>
      <c r="K150" s="2"/>
      <c r="L150" s="15"/>
      <c r="M150" s="34">
        <f t="shared" si="11"/>
        <v>0</v>
      </c>
    </row>
    <row r="151" spans="1:13" x14ac:dyDescent="0.25">
      <c r="A151" s="31"/>
      <c r="B151" s="16" t="str">
        <f>IFERROR(VLOOKUP(A151,Consolidado!$B$1:$L$1500,2,FALSE),"")</f>
        <v/>
      </c>
      <c r="C151" s="16">
        <f>IFERROR(SUMIF(Consolidado!$B$1:$B$1500,VLOOKUP(RegistroPago!A151,Consolidado!$B$1:$L$1500,1,FALSE),Consolidado!$G$1:$G$1500),"")</f>
        <v>0</v>
      </c>
      <c r="D151" s="3"/>
      <c r="E151" s="3"/>
      <c r="F151" s="5" t="str">
        <f t="shared" si="8"/>
        <v/>
      </c>
      <c r="G151" s="16" t="str">
        <f>IF(D151&lt;&gt;"",D151-VLOOKUP(A151,Consolidado!$B$1:$L$1500,8,FALSE),"")</f>
        <v/>
      </c>
      <c r="H151" s="31"/>
      <c r="I151" s="32">
        <f t="shared" si="9"/>
        <v>0</v>
      </c>
      <c r="J151" s="33" t="str">
        <f t="shared" si="10"/>
        <v/>
      </c>
      <c r="K151" s="2"/>
      <c r="L151" s="15"/>
      <c r="M151" s="34">
        <f t="shared" si="11"/>
        <v>0</v>
      </c>
    </row>
    <row r="152" spans="1:13" x14ac:dyDescent="0.25">
      <c r="A152" s="31"/>
      <c r="B152" s="16" t="str">
        <f>IFERROR(VLOOKUP(A152,Consolidado!$B$1:$L$1500,2,FALSE),"")</f>
        <v/>
      </c>
      <c r="C152" s="16">
        <f>IFERROR(SUMIF(Consolidado!$B$1:$B$1500,VLOOKUP(RegistroPago!A152,Consolidado!$B$1:$L$1500,1,FALSE),Consolidado!$G$1:$G$1500),"")</f>
        <v>0</v>
      </c>
      <c r="D152" s="3"/>
      <c r="E152" s="3"/>
      <c r="F152" s="5" t="str">
        <f t="shared" si="8"/>
        <v/>
      </c>
      <c r="G152" s="16" t="str">
        <f>IF(D152&lt;&gt;"",D152-VLOOKUP(A152,Consolidado!$B$1:$L$1500,8,FALSE),"")</f>
        <v/>
      </c>
      <c r="H152" s="31"/>
      <c r="I152" s="32">
        <f t="shared" si="9"/>
        <v>0</v>
      </c>
      <c r="J152" s="33" t="str">
        <f t="shared" si="10"/>
        <v/>
      </c>
      <c r="K152" s="2"/>
      <c r="L152" s="15"/>
      <c r="M152" s="34">
        <f t="shared" si="11"/>
        <v>0</v>
      </c>
    </row>
    <row r="153" spans="1:13" x14ac:dyDescent="0.25">
      <c r="A153" s="31"/>
      <c r="B153" s="16" t="str">
        <f>IFERROR(VLOOKUP(A153,Consolidado!$B$1:$L$1500,2,FALSE),"")</f>
        <v/>
      </c>
      <c r="C153" s="16">
        <f>IFERROR(SUMIF(Consolidado!$B$1:$B$1500,VLOOKUP(RegistroPago!A153,Consolidado!$B$1:$L$1500,1,FALSE),Consolidado!$G$1:$G$1500),"")</f>
        <v>0</v>
      </c>
      <c r="D153" s="3"/>
      <c r="E153" s="3"/>
      <c r="F153" s="5" t="str">
        <f t="shared" si="8"/>
        <v/>
      </c>
      <c r="G153" s="16" t="str">
        <f>IF(D153&lt;&gt;"",D153-VLOOKUP(A153,Consolidado!$B$1:$L$1500,8,FALSE),"")</f>
        <v/>
      </c>
      <c r="H153" s="31"/>
      <c r="I153" s="32">
        <f t="shared" si="9"/>
        <v>0</v>
      </c>
      <c r="J153" s="33" t="str">
        <f t="shared" si="10"/>
        <v/>
      </c>
      <c r="K153" s="2"/>
      <c r="L153" s="15"/>
      <c r="M153" s="34">
        <f t="shared" si="11"/>
        <v>0</v>
      </c>
    </row>
    <row r="154" spans="1:13" x14ac:dyDescent="0.25">
      <c r="A154" s="31"/>
      <c r="B154" s="16" t="str">
        <f>IFERROR(VLOOKUP(A154,Consolidado!$B$1:$L$1500,2,FALSE),"")</f>
        <v/>
      </c>
      <c r="C154" s="16">
        <f>IFERROR(SUMIF(Consolidado!$B$1:$B$1500,VLOOKUP(RegistroPago!A154,Consolidado!$B$1:$L$1500,1,FALSE),Consolidado!$G$1:$G$1500),"")</f>
        <v>0</v>
      </c>
      <c r="D154" s="3"/>
      <c r="E154" s="3"/>
      <c r="F154" s="5" t="str">
        <f t="shared" si="8"/>
        <v/>
      </c>
      <c r="G154" s="16" t="str">
        <f>IF(D154&lt;&gt;"",D154-VLOOKUP(A154,Consolidado!$B$1:$L$1500,8,FALSE),"")</f>
        <v/>
      </c>
      <c r="H154" s="31"/>
      <c r="I154" s="32">
        <f t="shared" si="9"/>
        <v>0</v>
      </c>
      <c r="J154" s="33" t="str">
        <f t="shared" si="10"/>
        <v/>
      </c>
      <c r="K154" s="2"/>
      <c r="L154" s="15"/>
      <c r="M154" s="34">
        <f t="shared" si="11"/>
        <v>0</v>
      </c>
    </row>
    <row r="155" spans="1:13" x14ac:dyDescent="0.25">
      <c r="A155" s="31"/>
      <c r="B155" s="16" t="str">
        <f>IFERROR(VLOOKUP(A155,Consolidado!$B$1:$L$1500,2,FALSE),"")</f>
        <v/>
      </c>
      <c r="C155" s="16">
        <f>IFERROR(SUMIF(Consolidado!$B$1:$B$1500,VLOOKUP(RegistroPago!A155,Consolidado!$B$1:$L$1500,1,FALSE),Consolidado!$G$1:$G$1500),"")</f>
        <v>0</v>
      </c>
      <c r="D155" s="3"/>
      <c r="E155" s="3"/>
      <c r="F155" s="5" t="str">
        <f t="shared" si="8"/>
        <v/>
      </c>
      <c r="G155" s="16" t="str">
        <f>IF(D155&lt;&gt;"",D155-VLOOKUP(A155,Consolidado!$B$1:$L$1500,8,FALSE),"")</f>
        <v/>
      </c>
      <c r="H155" s="31"/>
      <c r="I155" s="32">
        <f t="shared" si="9"/>
        <v>0</v>
      </c>
      <c r="J155" s="33" t="str">
        <f t="shared" si="10"/>
        <v/>
      </c>
      <c r="K155" s="2"/>
      <c r="L155" s="15"/>
      <c r="M155" s="34">
        <f t="shared" si="11"/>
        <v>0</v>
      </c>
    </row>
    <row r="156" spans="1:13" x14ac:dyDescent="0.25">
      <c r="A156" s="31"/>
      <c r="B156" s="16" t="str">
        <f>IFERROR(VLOOKUP(A156,Consolidado!$B$1:$L$1500,2,FALSE),"")</f>
        <v/>
      </c>
      <c r="C156" s="16">
        <f>IFERROR(SUMIF(Consolidado!$B$1:$B$1500,VLOOKUP(RegistroPago!A156,Consolidado!$B$1:$L$1500,1,FALSE),Consolidado!$G$1:$G$1500),"")</f>
        <v>0</v>
      </c>
      <c r="D156" s="3"/>
      <c r="E156" s="3"/>
      <c r="F156" s="5" t="str">
        <f t="shared" si="8"/>
        <v/>
      </c>
      <c r="G156" s="16" t="str">
        <f>IF(D156&lt;&gt;"",D156-VLOOKUP(A156,Consolidado!$B$1:$L$1500,8,FALSE),"")</f>
        <v/>
      </c>
      <c r="H156" s="31"/>
      <c r="I156" s="32">
        <f t="shared" si="9"/>
        <v>0</v>
      </c>
      <c r="J156" s="33" t="str">
        <f t="shared" si="10"/>
        <v/>
      </c>
      <c r="K156" s="2"/>
      <c r="L156" s="15"/>
      <c r="M156" s="34">
        <f t="shared" si="11"/>
        <v>0</v>
      </c>
    </row>
    <row r="157" spans="1:13" x14ac:dyDescent="0.25">
      <c r="A157" s="31"/>
      <c r="B157" s="16" t="str">
        <f>IFERROR(VLOOKUP(A157,Consolidado!$B$1:$L$1500,2,FALSE),"")</f>
        <v/>
      </c>
      <c r="C157" s="16">
        <f>IFERROR(SUMIF(Consolidado!$B$1:$B$1500,VLOOKUP(RegistroPago!A157,Consolidado!$B$1:$L$1500,1,FALSE),Consolidado!$G$1:$G$1500),"")</f>
        <v>0</v>
      </c>
      <c r="D157" s="3"/>
      <c r="E157" s="3"/>
      <c r="F157" s="5" t="str">
        <f t="shared" si="8"/>
        <v/>
      </c>
      <c r="G157" s="16" t="str">
        <f>IF(D157&lt;&gt;"",D157-VLOOKUP(A157,Consolidado!$B$1:$L$1500,8,FALSE),"")</f>
        <v/>
      </c>
      <c r="H157" s="31"/>
      <c r="I157" s="32">
        <f t="shared" si="9"/>
        <v>0</v>
      </c>
      <c r="J157" s="33" t="str">
        <f t="shared" si="10"/>
        <v/>
      </c>
      <c r="K157" s="2"/>
      <c r="L157" s="15"/>
      <c r="M157" s="34">
        <f t="shared" si="11"/>
        <v>0</v>
      </c>
    </row>
    <row r="158" spans="1:13" x14ac:dyDescent="0.25">
      <c r="A158" s="31"/>
      <c r="B158" s="16" t="str">
        <f>IFERROR(VLOOKUP(A158,Consolidado!$B$1:$L$1500,2,FALSE),"")</f>
        <v/>
      </c>
      <c r="C158" s="16">
        <f>IFERROR(SUMIF(Consolidado!$B$1:$B$1500,VLOOKUP(RegistroPago!A158,Consolidado!$B$1:$L$1500,1,FALSE),Consolidado!$G$1:$G$1500),"")</f>
        <v>0</v>
      </c>
      <c r="D158" s="3"/>
      <c r="E158" s="3"/>
      <c r="F158" s="5" t="str">
        <f t="shared" si="8"/>
        <v/>
      </c>
      <c r="G158" s="16" t="str">
        <f>IF(D158&lt;&gt;"",D158-VLOOKUP(A158,Consolidado!$B$1:$L$1500,8,FALSE),"")</f>
        <v/>
      </c>
      <c r="H158" s="31"/>
      <c r="I158" s="32">
        <f t="shared" si="9"/>
        <v>0</v>
      </c>
      <c r="J158" s="33" t="str">
        <f t="shared" si="10"/>
        <v/>
      </c>
      <c r="K158" s="2"/>
      <c r="L158" s="15"/>
      <c r="M158" s="34">
        <f t="shared" si="11"/>
        <v>0</v>
      </c>
    </row>
    <row r="159" spans="1:13" x14ac:dyDescent="0.25">
      <c r="A159" s="31"/>
      <c r="B159" s="16" t="str">
        <f>IFERROR(VLOOKUP(A159,Consolidado!$B$1:$L$1500,2,FALSE),"")</f>
        <v/>
      </c>
      <c r="C159" s="16">
        <f>IFERROR(SUMIF(Consolidado!$B$1:$B$1500,VLOOKUP(RegistroPago!A159,Consolidado!$B$1:$L$1500,1,FALSE),Consolidado!$G$1:$G$1500),"")</f>
        <v>0</v>
      </c>
      <c r="D159" s="3"/>
      <c r="E159" s="3"/>
      <c r="F159" s="5" t="str">
        <f t="shared" si="8"/>
        <v/>
      </c>
      <c r="G159" s="16" t="str">
        <f>IF(D159&lt;&gt;"",D159-VLOOKUP(A159,Consolidado!$B$1:$L$1500,8,FALSE),"")</f>
        <v/>
      </c>
      <c r="H159" s="31"/>
      <c r="I159" s="32">
        <f t="shared" si="9"/>
        <v>0</v>
      </c>
      <c r="J159" s="33" t="str">
        <f t="shared" si="10"/>
        <v/>
      </c>
      <c r="K159" s="2"/>
      <c r="L159" s="15"/>
      <c r="M159" s="34">
        <f t="shared" si="11"/>
        <v>0</v>
      </c>
    </row>
    <row r="160" spans="1:13" x14ac:dyDescent="0.25">
      <c r="A160" s="31"/>
      <c r="B160" s="16" t="str">
        <f>IFERROR(VLOOKUP(A160,Consolidado!$B$1:$L$1500,2,FALSE),"")</f>
        <v/>
      </c>
      <c r="C160" s="16">
        <f>IFERROR(SUMIF(Consolidado!$B$1:$B$1500,VLOOKUP(RegistroPago!A160,Consolidado!$B$1:$L$1500,1,FALSE),Consolidado!$G$1:$G$1500),"")</f>
        <v>0</v>
      </c>
      <c r="D160" s="3"/>
      <c r="E160" s="3"/>
      <c r="F160" s="5" t="str">
        <f t="shared" si="8"/>
        <v/>
      </c>
      <c r="G160" s="16" t="str">
        <f>IF(D160&lt;&gt;"",D160-VLOOKUP(A160,Consolidado!$B$1:$L$1500,8,FALSE),"")</f>
        <v/>
      </c>
      <c r="H160" s="31"/>
      <c r="I160" s="32">
        <f t="shared" si="9"/>
        <v>0</v>
      </c>
      <c r="J160" s="33" t="str">
        <f t="shared" si="10"/>
        <v/>
      </c>
      <c r="K160" s="2"/>
      <c r="L160" s="15"/>
      <c r="M160" s="34">
        <f t="shared" si="11"/>
        <v>0</v>
      </c>
    </row>
    <row r="161" spans="1:13" x14ac:dyDescent="0.25">
      <c r="A161" s="31"/>
      <c r="B161" s="16" t="str">
        <f>IFERROR(VLOOKUP(A161,Consolidado!$B$1:$L$1500,2,FALSE),"")</f>
        <v/>
      </c>
      <c r="C161" s="16">
        <f>IFERROR(SUMIF(Consolidado!$B$1:$B$1500,VLOOKUP(RegistroPago!A161,Consolidado!$B$1:$L$1500,1,FALSE),Consolidado!$G$1:$G$1500),"")</f>
        <v>0</v>
      </c>
      <c r="D161" s="3"/>
      <c r="E161" s="3"/>
      <c r="F161" s="5" t="str">
        <f t="shared" si="8"/>
        <v/>
      </c>
      <c r="G161" s="16" t="str">
        <f>IF(D161&lt;&gt;"",D161-VLOOKUP(A161,Consolidado!$B$1:$L$1500,8,FALSE),"")</f>
        <v/>
      </c>
      <c r="H161" s="31"/>
      <c r="I161" s="32">
        <f t="shared" si="9"/>
        <v>0</v>
      </c>
      <c r="J161" s="33" t="str">
        <f t="shared" si="10"/>
        <v/>
      </c>
      <c r="K161" s="2"/>
      <c r="L161" s="15"/>
      <c r="M161" s="34">
        <f t="shared" si="11"/>
        <v>0</v>
      </c>
    </row>
    <row r="162" spans="1:13" x14ac:dyDescent="0.25">
      <c r="A162" s="31"/>
      <c r="B162" s="16" t="str">
        <f>IFERROR(VLOOKUP(A162,Consolidado!$B$1:$L$1500,2,FALSE),"")</f>
        <v/>
      </c>
      <c r="C162" s="16">
        <f>IFERROR(SUMIF(Consolidado!$B$1:$B$1500,VLOOKUP(RegistroPago!A162,Consolidado!$B$1:$L$1500,1,FALSE),Consolidado!$G$1:$G$1500),"")</f>
        <v>0</v>
      </c>
      <c r="D162" s="3"/>
      <c r="E162" s="3"/>
      <c r="F162" s="5" t="str">
        <f t="shared" si="8"/>
        <v/>
      </c>
      <c r="G162" s="16" t="str">
        <f>IF(D162&lt;&gt;"",D162-VLOOKUP(A162,Consolidado!$B$1:$L$1500,8,FALSE),"")</f>
        <v/>
      </c>
      <c r="H162" s="31"/>
      <c r="I162" s="32">
        <f t="shared" si="9"/>
        <v>0</v>
      </c>
      <c r="J162" s="33" t="str">
        <f t="shared" si="10"/>
        <v/>
      </c>
      <c r="K162" s="2"/>
      <c r="L162" s="15"/>
      <c r="M162" s="34">
        <f t="shared" si="11"/>
        <v>0</v>
      </c>
    </row>
    <row r="163" spans="1:13" x14ac:dyDescent="0.25">
      <c r="A163" s="31"/>
      <c r="B163" s="16" t="str">
        <f>IFERROR(VLOOKUP(A163,Consolidado!$B$1:$L$1500,2,FALSE),"")</f>
        <v/>
      </c>
      <c r="C163" s="16">
        <f>IFERROR(SUMIF(Consolidado!$B$1:$B$1500,VLOOKUP(RegistroPago!A163,Consolidado!$B$1:$L$1500,1,FALSE),Consolidado!$G$1:$G$1500),"")</f>
        <v>0</v>
      </c>
      <c r="D163" s="3"/>
      <c r="E163" s="3"/>
      <c r="F163" s="5" t="str">
        <f t="shared" si="8"/>
        <v/>
      </c>
      <c r="G163" s="16" t="str">
        <f>IF(D163&lt;&gt;"",D163-VLOOKUP(A163,Consolidado!$B$1:$L$1500,8,FALSE),"")</f>
        <v/>
      </c>
      <c r="H163" s="31"/>
      <c r="I163" s="32">
        <f t="shared" si="9"/>
        <v>0</v>
      </c>
      <c r="J163" s="33" t="str">
        <f t="shared" si="10"/>
        <v/>
      </c>
      <c r="K163" s="2"/>
      <c r="L163" s="15"/>
      <c r="M163" s="34">
        <f t="shared" si="11"/>
        <v>0</v>
      </c>
    </row>
    <row r="164" spans="1:13" x14ac:dyDescent="0.25">
      <c r="A164" s="31"/>
      <c r="B164" s="16" t="str">
        <f>IFERROR(VLOOKUP(A164,Consolidado!$B$1:$L$1500,2,FALSE),"")</f>
        <v/>
      </c>
      <c r="C164" s="16">
        <f>IFERROR(SUMIF(Consolidado!$B$1:$B$1500,VLOOKUP(RegistroPago!A164,Consolidado!$B$1:$L$1500,1,FALSE),Consolidado!$G$1:$G$1500),"")</f>
        <v>0</v>
      </c>
      <c r="D164" s="3"/>
      <c r="E164" s="3"/>
      <c r="F164" s="5" t="str">
        <f t="shared" si="8"/>
        <v/>
      </c>
      <c r="G164" s="16" t="str">
        <f>IF(D164&lt;&gt;"",D164-VLOOKUP(A164,Consolidado!$B$1:$L$1500,8,FALSE),"")</f>
        <v/>
      </c>
      <c r="H164" s="31"/>
      <c r="I164" s="32">
        <f t="shared" si="9"/>
        <v>0</v>
      </c>
      <c r="J164" s="33" t="str">
        <f t="shared" si="10"/>
        <v/>
      </c>
      <c r="K164" s="2"/>
      <c r="L164" s="15"/>
      <c r="M164" s="34">
        <f t="shared" si="11"/>
        <v>0</v>
      </c>
    </row>
    <row r="165" spans="1:13" x14ac:dyDescent="0.25">
      <c r="A165" s="31"/>
      <c r="B165" s="16" t="str">
        <f>IFERROR(VLOOKUP(A165,Consolidado!$B$1:$L$1500,2,FALSE),"")</f>
        <v/>
      </c>
      <c r="C165" s="16">
        <f>IFERROR(SUMIF(Consolidado!$B$1:$B$1500,VLOOKUP(RegistroPago!A165,Consolidado!$B$1:$L$1500,1,FALSE),Consolidado!$G$1:$G$1500),"")</f>
        <v>0</v>
      </c>
      <c r="D165" s="3"/>
      <c r="E165" s="3"/>
      <c r="F165" s="5" t="str">
        <f t="shared" si="8"/>
        <v/>
      </c>
      <c r="G165" s="16" t="str">
        <f>IF(D165&lt;&gt;"",D165-VLOOKUP(A165,Consolidado!$B$1:$L$1500,8,FALSE),"")</f>
        <v/>
      </c>
      <c r="H165" s="31"/>
      <c r="I165" s="32">
        <f t="shared" si="9"/>
        <v>0</v>
      </c>
      <c r="J165" s="33" t="str">
        <f t="shared" si="10"/>
        <v/>
      </c>
      <c r="K165" s="2"/>
      <c r="L165" s="15"/>
      <c r="M165" s="34">
        <f t="shared" si="11"/>
        <v>0</v>
      </c>
    </row>
    <row r="166" spans="1:13" x14ac:dyDescent="0.25">
      <c r="A166" s="31"/>
      <c r="B166" s="16" t="str">
        <f>IFERROR(VLOOKUP(A166,Consolidado!$B$1:$L$1500,2,FALSE),"")</f>
        <v/>
      </c>
      <c r="C166" s="16">
        <f>IFERROR(SUMIF(Consolidado!$B$1:$B$1500,VLOOKUP(RegistroPago!A166,Consolidado!$B$1:$L$1500,1,FALSE),Consolidado!$G$1:$G$1500),"")</f>
        <v>0</v>
      </c>
      <c r="D166" s="3"/>
      <c r="E166" s="3"/>
      <c r="F166" s="5" t="str">
        <f t="shared" si="8"/>
        <v/>
      </c>
      <c r="G166" s="16" t="str">
        <f>IF(D166&lt;&gt;"",D166-VLOOKUP(A166,Consolidado!$B$1:$L$1500,8,FALSE),"")</f>
        <v/>
      </c>
      <c r="H166" s="31"/>
      <c r="I166" s="32">
        <f t="shared" si="9"/>
        <v>0</v>
      </c>
      <c r="J166" s="33" t="str">
        <f t="shared" si="10"/>
        <v/>
      </c>
      <c r="K166" s="2"/>
      <c r="L166" s="15"/>
      <c r="M166" s="34">
        <f t="shared" si="11"/>
        <v>0</v>
      </c>
    </row>
    <row r="167" spans="1:13" x14ac:dyDescent="0.25">
      <c r="A167" s="31"/>
      <c r="B167" s="16" t="str">
        <f>IFERROR(VLOOKUP(A167,Consolidado!$B$1:$L$1500,2,FALSE),"")</f>
        <v/>
      </c>
      <c r="C167" s="16">
        <f>IFERROR(SUMIF(Consolidado!$B$1:$B$1500,VLOOKUP(RegistroPago!A167,Consolidado!$B$1:$L$1500,1,FALSE),Consolidado!$G$1:$G$1500),"")</f>
        <v>0</v>
      </c>
      <c r="D167" s="3"/>
      <c r="E167" s="3"/>
      <c r="F167" s="5" t="str">
        <f t="shared" si="8"/>
        <v/>
      </c>
      <c r="G167" s="16" t="str">
        <f>IF(D167&lt;&gt;"",D167-VLOOKUP(A167,Consolidado!$B$1:$L$1500,8,FALSE),"")</f>
        <v/>
      </c>
      <c r="H167" s="31"/>
      <c r="I167" s="32">
        <f t="shared" si="9"/>
        <v>0</v>
      </c>
      <c r="J167" s="33" t="str">
        <f t="shared" si="10"/>
        <v/>
      </c>
      <c r="K167" s="2"/>
      <c r="L167" s="15"/>
      <c r="M167" s="34">
        <f t="shared" si="11"/>
        <v>0</v>
      </c>
    </row>
    <row r="168" spans="1:13" x14ac:dyDescent="0.25">
      <c r="A168" s="31"/>
      <c r="B168" s="16" t="str">
        <f>IFERROR(VLOOKUP(A168,Consolidado!$B$1:$L$1500,2,FALSE),"")</f>
        <v/>
      </c>
      <c r="C168" s="16">
        <f>IFERROR(SUMIF(Consolidado!$B$1:$B$1500,VLOOKUP(RegistroPago!A168,Consolidado!$B$1:$L$1500,1,FALSE),Consolidado!$G$1:$G$1500),"")</f>
        <v>0</v>
      </c>
      <c r="D168" s="3"/>
      <c r="E168" s="3"/>
      <c r="F168" s="5" t="str">
        <f t="shared" si="8"/>
        <v/>
      </c>
      <c r="G168" s="16" t="str">
        <f>IF(D168&lt;&gt;"",D168-VLOOKUP(A168,Consolidado!$B$1:$L$1500,8,FALSE),"")</f>
        <v/>
      </c>
      <c r="H168" s="31"/>
      <c r="I168" s="32">
        <f t="shared" si="9"/>
        <v>0</v>
      </c>
      <c r="J168" s="33" t="str">
        <f t="shared" si="10"/>
        <v/>
      </c>
      <c r="K168" s="2"/>
      <c r="L168" s="15"/>
      <c r="M168" s="34">
        <f t="shared" si="11"/>
        <v>0</v>
      </c>
    </row>
    <row r="169" spans="1:13" x14ac:dyDescent="0.25">
      <c r="A169" s="31"/>
      <c r="B169" s="16" t="str">
        <f>IFERROR(VLOOKUP(A169,Consolidado!$B$1:$L$1500,2,FALSE),"")</f>
        <v/>
      </c>
      <c r="C169" s="16">
        <f>IFERROR(SUMIF(Consolidado!$B$1:$B$1500,VLOOKUP(RegistroPago!A169,Consolidado!$B$1:$L$1500,1,FALSE),Consolidado!$G$1:$G$1500),"")</f>
        <v>0</v>
      </c>
      <c r="D169" s="3"/>
      <c r="E169" s="3"/>
      <c r="F169" s="5" t="str">
        <f t="shared" si="8"/>
        <v/>
      </c>
      <c r="G169" s="16" t="str">
        <f>IF(D169&lt;&gt;"",D169-VLOOKUP(A169,Consolidado!$B$1:$L$1500,8,FALSE),"")</f>
        <v/>
      </c>
      <c r="H169" s="31"/>
      <c r="I169" s="32">
        <f t="shared" si="9"/>
        <v>0</v>
      </c>
      <c r="J169" s="33" t="str">
        <f t="shared" si="10"/>
        <v/>
      </c>
      <c r="K169" s="2"/>
      <c r="L169" s="15"/>
      <c r="M169" s="34">
        <f t="shared" si="11"/>
        <v>0</v>
      </c>
    </row>
    <row r="170" spans="1:13" x14ac:dyDescent="0.25">
      <c r="A170" s="31"/>
      <c r="B170" s="16" t="str">
        <f>IFERROR(VLOOKUP(A170,Consolidado!$B$1:$L$1500,2,FALSE),"")</f>
        <v/>
      </c>
      <c r="C170" s="16">
        <f>IFERROR(SUMIF(Consolidado!$B$1:$B$1500,VLOOKUP(RegistroPago!A170,Consolidado!$B$1:$L$1500,1,FALSE),Consolidado!$G$1:$G$1500),"")</f>
        <v>0</v>
      </c>
      <c r="D170" s="3"/>
      <c r="E170" s="3"/>
      <c r="F170" s="5" t="str">
        <f t="shared" si="8"/>
        <v/>
      </c>
      <c r="G170" s="16" t="str">
        <f>IF(D170&lt;&gt;"",D170-VLOOKUP(A170,Consolidado!$B$1:$L$1500,8,FALSE),"")</f>
        <v/>
      </c>
      <c r="H170" s="31"/>
      <c r="I170" s="32">
        <f t="shared" si="9"/>
        <v>0</v>
      </c>
      <c r="J170" s="33" t="str">
        <f t="shared" si="10"/>
        <v/>
      </c>
      <c r="K170" s="2"/>
      <c r="L170" s="15"/>
      <c r="M170" s="34">
        <f t="shared" si="11"/>
        <v>0</v>
      </c>
    </row>
    <row r="171" spans="1:13" x14ac:dyDescent="0.25">
      <c r="A171" s="31"/>
      <c r="B171" s="16" t="str">
        <f>IFERROR(VLOOKUP(A171,Consolidado!$B$1:$L$1500,2,FALSE),"")</f>
        <v/>
      </c>
      <c r="C171" s="16">
        <f>IFERROR(SUMIF(Consolidado!$B$1:$B$1500,VLOOKUP(RegistroPago!A171,Consolidado!$B$1:$L$1500,1,FALSE),Consolidado!$G$1:$G$1500),"")</f>
        <v>0</v>
      </c>
      <c r="D171" s="3"/>
      <c r="E171" s="3"/>
      <c r="F171" s="5" t="str">
        <f t="shared" si="8"/>
        <v/>
      </c>
      <c r="G171" s="16" t="str">
        <f>IF(D171&lt;&gt;"",D171-VLOOKUP(A171,Consolidado!$B$1:$L$1500,8,FALSE),"")</f>
        <v/>
      </c>
      <c r="H171" s="31"/>
      <c r="I171" s="32">
        <f t="shared" si="9"/>
        <v>0</v>
      </c>
      <c r="J171" s="33" t="str">
        <f t="shared" si="10"/>
        <v/>
      </c>
      <c r="K171" s="2"/>
      <c r="L171" s="15"/>
      <c r="M171" s="34">
        <f t="shared" si="11"/>
        <v>0</v>
      </c>
    </row>
    <row r="172" spans="1:13" x14ac:dyDescent="0.25">
      <c r="A172" s="31"/>
      <c r="B172" s="16" t="str">
        <f>IFERROR(VLOOKUP(A172,Consolidado!$B$1:$L$1500,2,FALSE),"")</f>
        <v/>
      </c>
      <c r="C172" s="16">
        <f>IFERROR(SUMIF(Consolidado!$B$1:$B$1500,VLOOKUP(RegistroPago!A172,Consolidado!$B$1:$L$1500,1,FALSE),Consolidado!$G$1:$G$1500),"")</f>
        <v>0</v>
      </c>
      <c r="D172" s="3"/>
      <c r="E172" s="3"/>
      <c r="F172" s="5" t="str">
        <f t="shared" si="8"/>
        <v/>
      </c>
      <c r="G172" s="16" t="str">
        <f>IF(D172&lt;&gt;"",D172-VLOOKUP(A172,Consolidado!$B$1:$L$1500,8,FALSE),"")</f>
        <v/>
      </c>
      <c r="H172" s="31"/>
      <c r="I172" s="32">
        <f t="shared" si="9"/>
        <v>0</v>
      </c>
      <c r="J172" s="33" t="str">
        <f t="shared" si="10"/>
        <v/>
      </c>
      <c r="K172" s="2"/>
      <c r="L172" s="15"/>
      <c r="M172" s="34">
        <f t="shared" si="11"/>
        <v>0</v>
      </c>
    </row>
    <row r="173" spans="1:13" x14ac:dyDescent="0.25">
      <c r="A173" s="31"/>
      <c r="B173" s="16" t="str">
        <f>IFERROR(VLOOKUP(A173,Consolidado!$B$1:$L$1500,2,FALSE),"")</f>
        <v/>
      </c>
      <c r="C173" s="16">
        <f>IFERROR(SUMIF(Consolidado!$B$1:$B$1500,VLOOKUP(RegistroPago!A173,Consolidado!$B$1:$L$1500,1,FALSE),Consolidado!$G$1:$G$1500),"")</f>
        <v>0</v>
      </c>
      <c r="D173" s="3"/>
      <c r="E173" s="3"/>
      <c r="F173" s="5" t="str">
        <f t="shared" si="8"/>
        <v/>
      </c>
      <c r="G173" s="16" t="str">
        <f>IF(D173&lt;&gt;"",D173-VLOOKUP(A173,Consolidado!$B$1:$L$1500,8,FALSE),"")</f>
        <v/>
      </c>
      <c r="H173" s="31"/>
      <c r="I173" s="32">
        <f t="shared" si="9"/>
        <v>0</v>
      </c>
      <c r="J173" s="33" t="str">
        <f t="shared" si="10"/>
        <v/>
      </c>
      <c r="K173" s="2"/>
      <c r="L173" s="15"/>
      <c r="M173" s="34">
        <f t="shared" si="11"/>
        <v>0</v>
      </c>
    </row>
    <row r="174" spans="1:13" x14ac:dyDescent="0.25">
      <c r="A174" s="31"/>
      <c r="B174" s="16" t="str">
        <f>IFERROR(VLOOKUP(A174,Consolidado!$B$1:$L$1500,2,FALSE),"")</f>
        <v/>
      </c>
      <c r="C174" s="16">
        <f>IFERROR(SUMIF(Consolidado!$B$1:$B$1500,VLOOKUP(RegistroPago!A174,Consolidado!$B$1:$L$1500,1,FALSE),Consolidado!$G$1:$G$1500),"")</f>
        <v>0</v>
      </c>
      <c r="D174" s="3"/>
      <c r="E174" s="3"/>
      <c r="F174" s="5" t="str">
        <f t="shared" si="8"/>
        <v/>
      </c>
      <c r="G174" s="16" t="str">
        <f>IF(D174&lt;&gt;"",D174-VLOOKUP(A174,Consolidado!$B$1:$L$1500,8,FALSE),"")</f>
        <v/>
      </c>
      <c r="H174" s="31"/>
      <c r="I174" s="32">
        <f t="shared" si="9"/>
        <v>0</v>
      </c>
      <c r="J174" s="33" t="str">
        <f t="shared" si="10"/>
        <v/>
      </c>
      <c r="K174" s="2"/>
      <c r="L174" s="15"/>
      <c r="M174" s="34">
        <f t="shared" si="11"/>
        <v>0</v>
      </c>
    </row>
    <row r="175" spans="1:13" x14ac:dyDescent="0.25">
      <c r="A175" s="31"/>
      <c r="B175" s="16" t="str">
        <f>IFERROR(VLOOKUP(A175,Consolidado!$B$1:$L$1500,2,FALSE),"")</f>
        <v/>
      </c>
      <c r="C175" s="16">
        <f>IFERROR(SUMIF(Consolidado!$B$1:$B$1500,VLOOKUP(RegistroPago!A175,Consolidado!$B$1:$L$1500,1,FALSE),Consolidado!$G$1:$G$1500),"")</f>
        <v>0</v>
      </c>
      <c r="D175" s="3"/>
      <c r="E175" s="3"/>
      <c r="F175" s="5" t="str">
        <f t="shared" si="8"/>
        <v/>
      </c>
      <c r="G175" s="16" t="str">
        <f>IF(D175&lt;&gt;"",D175-VLOOKUP(A175,Consolidado!$B$1:$L$1500,8,FALSE),"")</f>
        <v/>
      </c>
      <c r="H175" s="31"/>
      <c r="I175" s="32">
        <f t="shared" si="9"/>
        <v>0</v>
      </c>
      <c r="J175" s="33" t="str">
        <f t="shared" si="10"/>
        <v/>
      </c>
      <c r="K175" s="2"/>
      <c r="L175" s="15"/>
      <c r="M175" s="34">
        <f t="shared" si="11"/>
        <v>0</v>
      </c>
    </row>
    <row r="176" spans="1:13" x14ac:dyDescent="0.25">
      <c r="A176" s="31"/>
      <c r="B176" s="16" t="str">
        <f>IFERROR(VLOOKUP(A176,Consolidado!$B$1:$L$1500,2,FALSE),"")</f>
        <v/>
      </c>
      <c r="C176" s="16">
        <f>IFERROR(SUMIF(Consolidado!$B$1:$B$1500,VLOOKUP(RegistroPago!A176,Consolidado!$B$1:$L$1500,1,FALSE),Consolidado!$G$1:$G$1500),"")</f>
        <v>0</v>
      </c>
      <c r="D176" s="3"/>
      <c r="E176" s="3"/>
      <c r="F176" s="5" t="str">
        <f t="shared" si="8"/>
        <v/>
      </c>
      <c r="G176" s="16" t="str">
        <f>IF(D176&lt;&gt;"",D176-VLOOKUP(A176,Consolidado!$B$1:$L$1500,8,FALSE),"")</f>
        <v/>
      </c>
      <c r="H176" s="31"/>
      <c r="I176" s="32">
        <f t="shared" si="9"/>
        <v>0</v>
      </c>
      <c r="J176" s="33" t="str">
        <f t="shared" si="10"/>
        <v/>
      </c>
      <c r="K176" s="2"/>
      <c r="L176" s="15"/>
      <c r="M176" s="34">
        <f t="shared" si="11"/>
        <v>0</v>
      </c>
    </row>
    <row r="177" spans="1:13" x14ac:dyDescent="0.25">
      <c r="A177" s="31"/>
      <c r="B177" s="16" t="str">
        <f>IFERROR(VLOOKUP(A177,Consolidado!$B$1:$L$1500,2,FALSE),"")</f>
        <v/>
      </c>
      <c r="C177" s="16">
        <f>IFERROR(SUMIF(Consolidado!$B$1:$B$1500,VLOOKUP(RegistroPago!A177,Consolidado!$B$1:$L$1500,1,FALSE),Consolidado!$G$1:$G$1500),"")</f>
        <v>0</v>
      </c>
      <c r="D177" s="3"/>
      <c r="E177" s="3"/>
      <c r="F177" s="5" t="str">
        <f t="shared" si="8"/>
        <v/>
      </c>
      <c r="G177" s="16" t="str">
        <f>IF(D177&lt;&gt;"",D177-VLOOKUP(A177,Consolidado!$B$1:$L$1500,8,FALSE),"")</f>
        <v/>
      </c>
      <c r="H177" s="31"/>
      <c r="I177" s="32">
        <f t="shared" si="9"/>
        <v>0</v>
      </c>
      <c r="J177" s="33" t="str">
        <f t="shared" si="10"/>
        <v/>
      </c>
      <c r="K177" s="2"/>
      <c r="L177" s="15"/>
      <c r="M177" s="34">
        <f t="shared" si="11"/>
        <v>0</v>
      </c>
    </row>
    <row r="178" spans="1:13" x14ac:dyDescent="0.25">
      <c r="A178" s="31"/>
      <c r="B178" s="16" t="str">
        <f>IFERROR(VLOOKUP(A178,Consolidado!$B$1:$L$1500,2,FALSE),"")</f>
        <v/>
      </c>
      <c r="C178" s="16">
        <f>IFERROR(SUMIF(Consolidado!$B$1:$B$1500,VLOOKUP(RegistroPago!A178,Consolidado!$B$1:$L$1500,1,FALSE),Consolidado!$G$1:$G$1500),"")</f>
        <v>0</v>
      </c>
      <c r="D178" s="3"/>
      <c r="E178" s="3"/>
      <c r="F178" s="5" t="str">
        <f t="shared" si="8"/>
        <v/>
      </c>
      <c r="G178" s="16" t="str">
        <f>IF(D178&lt;&gt;"",D178-VLOOKUP(A178,Consolidado!$B$1:$L$1500,8,FALSE),"")</f>
        <v/>
      </c>
      <c r="H178" s="31"/>
      <c r="I178" s="32">
        <f t="shared" si="9"/>
        <v>0</v>
      </c>
      <c r="J178" s="33" t="str">
        <f t="shared" si="10"/>
        <v/>
      </c>
      <c r="K178" s="2"/>
      <c r="L178" s="15"/>
      <c r="M178" s="34">
        <f t="shared" si="11"/>
        <v>0</v>
      </c>
    </row>
    <row r="179" spans="1:13" x14ac:dyDescent="0.25">
      <c r="A179" s="31"/>
      <c r="B179" s="16" t="str">
        <f>IFERROR(VLOOKUP(A179,Consolidado!$B$1:$L$1500,2,FALSE),"")</f>
        <v/>
      </c>
      <c r="C179" s="16">
        <f>IFERROR(SUMIF(Consolidado!$B$1:$B$1500,VLOOKUP(RegistroPago!A179,Consolidado!$B$1:$L$1500,1,FALSE),Consolidado!$G$1:$G$1500),"")</f>
        <v>0</v>
      </c>
      <c r="D179" s="3"/>
      <c r="E179" s="3"/>
      <c r="F179" s="5" t="str">
        <f t="shared" si="8"/>
        <v/>
      </c>
      <c r="G179" s="16" t="str">
        <f>IF(D179&lt;&gt;"",D179-VLOOKUP(A179,Consolidado!$B$1:$L$1500,8,FALSE),"")</f>
        <v/>
      </c>
      <c r="H179" s="31"/>
      <c r="I179" s="32">
        <f t="shared" si="9"/>
        <v>0</v>
      </c>
      <c r="J179" s="33" t="str">
        <f t="shared" si="10"/>
        <v/>
      </c>
      <c r="K179" s="2"/>
      <c r="L179" s="15"/>
      <c r="M179" s="34">
        <f t="shared" si="11"/>
        <v>0</v>
      </c>
    </row>
    <row r="180" spans="1:13" x14ac:dyDescent="0.25">
      <c r="A180" s="31"/>
      <c r="B180" s="16" t="str">
        <f>IFERROR(VLOOKUP(A180,Consolidado!$B$1:$L$1500,2,FALSE),"")</f>
        <v/>
      </c>
      <c r="C180" s="16">
        <f>IFERROR(SUMIF(Consolidado!$B$1:$B$1500,VLOOKUP(RegistroPago!A180,Consolidado!$B$1:$L$1500,1,FALSE),Consolidado!$G$1:$G$1500),"")</f>
        <v>0</v>
      </c>
      <c r="D180" s="3"/>
      <c r="E180" s="3"/>
      <c r="F180" s="5" t="str">
        <f t="shared" si="8"/>
        <v/>
      </c>
      <c r="G180" s="16" t="str">
        <f>IF(D180&lt;&gt;"",D180-VLOOKUP(A180,Consolidado!$B$1:$L$1500,8,FALSE),"")</f>
        <v/>
      </c>
      <c r="H180" s="31"/>
      <c r="I180" s="32">
        <f t="shared" si="9"/>
        <v>0</v>
      </c>
      <c r="J180" s="33" t="str">
        <f t="shared" si="10"/>
        <v/>
      </c>
      <c r="K180" s="2"/>
      <c r="L180" s="15"/>
      <c r="M180" s="34">
        <f t="shared" si="11"/>
        <v>0</v>
      </c>
    </row>
    <row r="181" spans="1:13" x14ac:dyDescent="0.25">
      <c r="A181" s="31"/>
      <c r="B181" s="16" t="str">
        <f>IFERROR(VLOOKUP(A181,Consolidado!$B$1:$L$1500,2,FALSE),"")</f>
        <v/>
      </c>
      <c r="C181" s="16">
        <f>IFERROR(SUMIF(Consolidado!$B$1:$B$1500,VLOOKUP(RegistroPago!A181,Consolidado!$B$1:$L$1500,1,FALSE),Consolidado!$G$1:$G$1500),"")</f>
        <v>0</v>
      </c>
      <c r="D181" s="3"/>
      <c r="E181" s="3"/>
      <c r="F181" s="5" t="str">
        <f t="shared" si="8"/>
        <v/>
      </c>
      <c r="G181" s="16" t="str">
        <f>IF(D181&lt;&gt;"",D181-VLOOKUP(A181,Consolidado!$B$1:$L$1500,8,FALSE),"")</f>
        <v/>
      </c>
      <c r="H181" s="31"/>
      <c r="I181" s="32">
        <f t="shared" si="9"/>
        <v>0</v>
      </c>
      <c r="J181" s="33" t="str">
        <f t="shared" si="10"/>
        <v/>
      </c>
      <c r="K181" s="2"/>
      <c r="L181" s="15"/>
      <c r="M181" s="34">
        <f t="shared" si="11"/>
        <v>0</v>
      </c>
    </row>
    <row r="182" spans="1:13" x14ac:dyDescent="0.25">
      <c r="A182" s="31"/>
      <c r="B182" s="16" t="str">
        <f>IFERROR(VLOOKUP(A182,Consolidado!$B$1:$L$1500,2,FALSE),"")</f>
        <v/>
      </c>
      <c r="C182" s="16">
        <f>IFERROR(SUMIF(Consolidado!$B$1:$B$1500,VLOOKUP(RegistroPago!A182,Consolidado!$B$1:$L$1500,1,FALSE),Consolidado!$G$1:$G$1500),"")</f>
        <v>0</v>
      </c>
      <c r="D182" s="3"/>
      <c r="E182" s="3"/>
      <c r="F182" s="5" t="str">
        <f t="shared" si="8"/>
        <v/>
      </c>
      <c r="G182" s="16" t="str">
        <f>IF(D182&lt;&gt;"",D182-VLOOKUP(A182,Consolidado!$B$1:$L$1500,8,FALSE),"")</f>
        <v/>
      </c>
      <c r="H182" s="31"/>
      <c r="I182" s="32">
        <f t="shared" si="9"/>
        <v>0</v>
      </c>
      <c r="J182" s="33" t="str">
        <f t="shared" si="10"/>
        <v/>
      </c>
      <c r="K182" s="2"/>
      <c r="L182" s="15"/>
      <c r="M182" s="34">
        <f t="shared" si="11"/>
        <v>0</v>
      </c>
    </row>
    <row r="183" spans="1:13" x14ac:dyDescent="0.25">
      <c r="A183" s="31"/>
      <c r="B183" s="16" t="str">
        <f>IFERROR(VLOOKUP(A183,Consolidado!$B$1:$L$1500,2,FALSE),"")</f>
        <v/>
      </c>
      <c r="C183" s="16">
        <f>IFERROR(SUMIF(Consolidado!$B$1:$B$1500,VLOOKUP(RegistroPago!A183,Consolidado!$B$1:$L$1500,1,FALSE),Consolidado!$G$1:$G$1500),"")</f>
        <v>0</v>
      </c>
      <c r="D183" s="3"/>
      <c r="E183" s="3"/>
      <c r="F183" s="5" t="str">
        <f t="shared" si="8"/>
        <v/>
      </c>
      <c r="G183" s="16" t="str">
        <f>IF(D183&lt;&gt;"",D183-VLOOKUP(A183,Consolidado!$B$1:$L$1500,8,FALSE),"")</f>
        <v/>
      </c>
      <c r="H183" s="31"/>
      <c r="I183" s="32">
        <f t="shared" si="9"/>
        <v>0</v>
      </c>
      <c r="J183" s="33" t="str">
        <f t="shared" si="10"/>
        <v/>
      </c>
      <c r="K183" s="2"/>
      <c r="L183" s="15"/>
      <c r="M183" s="34">
        <f t="shared" si="11"/>
        <v>0</v>
      </c>
    </row>
    <row r="184" spans="1:13" x14ac:dyDescent="0.25">
      <c r="A184" s="31"/>
      <c r="B184" s="16" t="str">
        <f>IFERROR(VLOOKUP(A184,Consolidado!$B$1:$L$1500,2,FALSE),"")</f>
        <v/>
      </c>
      <c r="C184" s="16">
        <f>IFERROR(SUMIF(Consolidado!$B$1:$B$1500,VLOOKUP(RegistroPago!A184,Consolidado!$B$1:$L$1500,1,FALSE),Consolidado!$G$1:$G$1500),"")</f>
        <v>0</v>
      </c>
      <c r="D184" s="3"/>
      <c r="E184" s="3"/>
      <c r="F184" s="5" t="str">
        <f t="shared" si="8"/>
        <v/>
      </c>
      <c r="G184" s="16" t="str">
        <f>IF(D184&lt;&gt;"",D184-VLOOKUP(A184,Consolidado!$B$1:$L$1500,8,FALSE),"")</f>
        <v/>
      </c>
      <c r="H184" s="31"/>
      <c r="I184" s="32">
        <f t="shared" si="9"/>
        <v>0</v>
      </c>
      <c r="J184" s="33" t="str">
        <f t="shared" si="10"/>
        <v/>
      </c>
      <c r="K184" s="2"/>
      <c r="L184" s="15"/>
      <c r="M184" s="34">
        <f t="shared" si="11"/>
        <v>0</v>
      </c>
    </row>
    <row r="185" spans="1:13" x14ac:dyDescent="0.25">
      <c r="A185" s="31"/>
      <c r="B185" s="16" t="str">
        <f>IFERROR(VLOOKUP(A185,Consolidado!$B$1:$L$1500,2,FALSE),"")</f>
        <v/>
      </c>
      <c r="C185" s="16">
        <f>IFERROR(SUMIF(Consolidado!$B$1:$B$1500,VLOOKUP(RegistroPago!A185,Consolidado!$B$1:$L$1500,1,FALSE),Consolidado!$G$1:$G$1500),"")</f>
        <v>0</v>
      </c>
      <c r="D185" s="3"/>
      <c r="E185" s="3"/>
      <c r="F185" s="5" t="str">
        <f t="shared" si="8"/>
        <v/>
      </c>
      <c r="G185" s="16" t="str">
        <f>IF(D185&lt;&gt;"",D185-VLOOKUP(A185,Consolidado!$B$1:$L$1500,8,FALSE),"")</f>
        <v/>
      </c>
      <c r="H185" s="31"/>
      <c r="I185" s="32">
        <f t="shared" si="9"/>
        <v>0</v>
      </c>
      <c r="J185" s="33" t="str">
        <f t="shared" si="10"/>
        <v/>
      </c>
      <c r="K185" s="2"/>
      <c r="L185" s="15"/>
      <c r="M185" s="34">
        <f t="shared" si="11"/>
        <v>0</v>
      </c>
    </row>
    <row r="186" spans="1:13" x14ac:dyDescent="0.25">
      <c r="A186" s="31"/>
      <c r="B186" s="16" t="str">
        <f>IFERROR(VLOOKUP(A186,Consolidado!$B$1:$L$1500,2,FALSE),"")</f>
        <v/>
      </c>
      <c r="C186" s="16">
        <f>IFERROR(SUMIF(Consolidado!$B$1:$B$1500,VLOOKUP(RegistroPago!A186,Consolidado!$B$1:$L$1500,1,FALSE),Consolidado!$G$1:$G$1500),"")</f>
        <v>0</v>
      </c>
      <c r="D186" s="3"/>
      <c r="E186" s="3"/>
      <c r="F186" s="5" t="str">
        <f t="shared" si="8"/>
        <v/>
      </c>
      <c r="G186" s="16" t="str">
        <f>IF(D186&lt;&gt;"",D186-VLOOKUP(A186,Consolidado!$B$1:$L$1500,8,FALSE),"")</f>
        <v/>
      </c>
      <c r="H186" s="31"/>
      <c r="I186" s="32">
        <f t="shared" si="9"/>
        <v>0</v>
      </c>
      <c r="J186" s="33" t="str">
        <f t="shared" si="10"/>
        <v/>
      </c>
      <c r="K186" s="2"/>
      <c r="L186" s="15"/>
      <c r="M186" s="34">
        <f t="shared" si="11"/>
        <v>0</v>
      </c>
    </row>
    <row r="187" spans="1:13" x14ac:dyDescent="0.25">
      <c r="A187" s="31"/>
      <c r="B187" s="16" t="str">
        <f>IFERROR(VLOOKUP(A187,Consolidado!$B$1:$L$1500,2,FALSE),"")</f>
        <v/>
      </c>
      <c r="C187" s="16">
        <f>IFERROR(SUMIF(Consolidado!$B$1:$B$1500,VLOOKUP(RegistroPago!A187,Consolidado!$B$1:$L$1500,1,FALSE),Consolidado!$G$1:$G$1500),"")</f>
        <v>0</v>
      </c>
      <c r="D187" s="3"/>
      <c r="E187" s="3"/>
      <c r="F187" s="5" t="str">
        <f t="shared" si="8"/>
        <v/>
      </c>
      <c r="G187" s="16" t="str">
        <f>IF(D187&lt;&gt;"",D187-VLOOKUP(A187,Consolidado!$B$1:$L$1500,8,FALSE),"")</f>
        <v/>
      </c>
      <c r="H187" s="31"/>
      <c r="I187" s="32">
        <f t="shared" si="9"/>
        <v>0</v>
      </c>
      <c r="J187" s="33" t="str">
        <f t="shared" si="10"/>
        <v/>
      </c>
      <c r="K187" s="2"/>
      <c r="L187" s="15"/>
      <c r="M187" s="34">
        <f t="shared" si="11"/>
        <v>0</v>
      </c>
    </row>
    <row r="188" spans="1:13" x14ac:dyDescent="0.25">
      <c r="A188" s="31"/>
      <c r="B188" s="16" t="str">
        <f>IFERROR(VLOOKUP(A188,Consolidado!$B$1:$L$1500,2,FALSE),"")</f>
        <v/>
      </c>
      <c r="C188" s="16">
        <f>IFERROR(SUMIF(Consolidado!$B$1:$B$1500,VLOOKUP(RegistroPago!A188,Consolidado!$B$1:$L$1500,1,FALSE),Consolidado!$G$1:$G$1500),"")</f>
        <v>0</v>
      </c>
      <c r="D188" s="3"/>
      <c r="E188" s="3"/>
      <c r="F188" s="5" t="str">
        <f t="shared" si="8"/>
        <v/>
      </c>
      <c r="G188" s="16" t="str">
        <f>IF(D188&lt;&gt;"",D188-VLOOKUP(A188,Consolidado!$B$1:$L$1500,8,FALSE),"")</f>
        <v/>
      </c>
      <c r="H188" s="31"/>
      <c r="I188" s="32">
        <f t="shared" si="9"/>
        <v>0</v>
      </c>
      <c r="J188" s="33" t="str">
        <f t="shared" si="10"/>
        <v/>
      </c>
      <c r="K188" s="2"/>
      <c r="L188" s="15"/>
      <c r="M188" s="34">
        <f t="shared" si="11"/>
        <v>0</v>
      </c>
    </row>
    <row r="189" spans="1:13" x14ac:dyDescent="0.25">
      <c r="A189" s="31"/>
      <c r="B189" s="16" t="str">
        <f>IFERROR(VLOOKUP(A189,Consolidado!$B$1:$L$1500,2,FALSE),"")</f>
        <v/>
      </c>
      <c r="C189" s="16">
        <f>IFERROR(SUMIF(Consolidado!$B$1:$B$1500,VLOOKUP(RegistroPago!A189,Consolidado!$B$1:$L$1500,1,FALSE),Consolidado!$G$1:$G$1500),"")</f>
        <v>0</v>
      </c>
      <c r="D189" s="3"/>
      <c r="E189" s="3"/>
      <c r="F189" s="5" t="str">
        <f t="shared" si="8"/>
        <v/>
      </c>
      <c r="G189" s="16" t="str">
        <f>IF(D189&lt;&gt;"",D189-VLOOKUP(A189,Consolidado!$B$1:$L$1500,8,FALSE),"")</f>
        <v/>
      </c>
      <c r="H189" s="31"/>
      <c r="I189" s="32">
        <f t="shared" si="9"/>
        <v>0</v>
      </c>
      <c r="J189" s="33" t="str">
        <f t="shared" si="10"/>
        <v/>
      </c>
      <c r="K189" s="2"/>
      <c r="L189" s="15"/>
      <c r="M189" s="34">
        <f t="shared" si="11"/>
        <v>0</v>
      </c>
    </row>
    <row r="190" spans="1:13" x14ac:dyDescent="0.25">
      <c r="A190" s="31"/>
      <c r="B190" s="16" t="str">
        <f>IFERROR(VLOOKUP(A190,Consolidado!$B$1:$L$1500,2,FALSE),"")</f>
        <v/>
      </c>
      <c r="C190" s="16">
        <f>IFERROR(SUMIF(Consolidado!$B$1:$B$1500,VLOOKUP(RegistroPago!A190,Consolidado!$B$1:$L$1500,1,FALSE),Consolidado!$G$1:$G$1500),"")</f>
        <v>0</v>
      </c>
      <c r="D190" s="3"/>
      <c r="E190" s="3"/>
      <c r="F190" s="5" t="str">
        <f t="shared" si="8"/>
        <v/>
      </c>
      <c r="G190" s="16" t="str">
        <f>IF(D190&lt;&gt;"",D190-VLOOKUP(A190,Consolidado!$B$1:$L$1500,8,FALSE),"")</f>
        <v/>
      </c>
      <c r="H190" s="31"/>
      <c r="I190" s="32">
        <f t="shared" si="9"/>
        <v>0</v>
      </c>
      <c r="J190" s="33" t="str">
        <f t="shared" si="10"/>
        <v/>
      </c>
      <c r="K190" s="2"/>
      <c r="L190" s="15"/>
      <c r="M190" s="34">
        <f t="shared" si="11"/>
        <v>0</v>
      </c>
    </row>
    <row r="191" spans="1:13" x14ac:dyDescent="0.25">
      <c r="A191" s="31"/>
      <c r="B191" s="16" t="str">
        <f>IFERROR(VLOOKUP(A191,Consolidado!$B$1:$L$1500,2,FALSE),"")</f>
        <v/>
      </c>
      <c r="C191" s="16">
        <f>IFERROR(SUMIF(Consolidado!$B$1:$B$1500,VLOOKUP(RegistroPago!A191,Consolidado!$B$1:$L$1500,1,FALSE),Consolidado!$G$1:$G$1500),"")</f>
        <v>0</v>
      </c>
      <c r="D191" s="3"/>
      <c r="E191" s="3"/>
      <c r="F191" s="5" t="str">
        <f t="shared" si="8"/>
        <v/>
      </c>
      <c r="G191" s="16" t="str">
        <f>IF(D191&lt;&gt;"",D191-VLOOKUP(A191,Consolidado!$B$1:$L$1500,8,FALSE),"")</f>
        <v/>
      </c>
      <c r="H191" s="31"/>
      <c r="I191" s="32">
        <f t="shared" si="9"/>
        <v>0</v>
      </c>
      <c r="J191" s="33" t="str">
        <f t="shared" si="10"/>
        <v/>
      </c>
      <c r="K191" s="2"/>
      <c r="L191" s="15"/>
      <c r="M191" s="34">
        <f t="shared" si="11"/>
        <v>0</v>
      </c>
    </row>
    <row r="192" spans="1:13" x14ac:dyDescent="0.25">
      <c r="A192" s="31"/>
      <c r="B192" s="16" t="str">
        <f>IFERROR(VLOOKUP(A192,Consolidado!$B$1:$L$1500,2,FALSE),"")</f>
        <v/>
      </c>
      <c r="C192" s="16">
        <f>IFERROR(SUMIF(Consolidado!$B$1:$B$1500,VLOOKUP(RegistroPago!A192,Consolidado!$B$1:$L$1500,1,FALSE),Consolidado!$G$1:$G$1500),"")</f>
        <v>0</v>
      </c>
      <c r="D192" s="3"/>
      <c r="E192" s="3"/>
      <c r="F192" s="5" t="str">
        <f t="shared" si="8"/>
        <v/>
      </c>
      <c r="G192" s="16" t="str">
        <f>IF(D192&lt;&gt;"",D192-VLOOKUP(A192,Consolidado!$B$1:$L$1500,8,FALSE),"")</f>
        <v/>
      </c>
      <c r="H192" s="31"/>
      <c r="I192" s="32">
        <f t="shared" si="9"/>
        <v>0</v>
      </c>
      <c r="J192" s="33" t="str">
        <f t="shared" si="10"/>
        <v/>
      </c>
      <c r="K192" s="2"/>
      <c r="L192" s="15"/>
      <c r="M192" s="34">
        <f t="shared" si="11"/>
        <v>0</v>
      </c>
    </row>
    <row r="193" spans="1:13" x14ac:dyDescent="0.25">
      <c r="A193" s="31"/>
      <c r="B193" s="16" t="str">
        <f>IFERROR(VLOOKUP(A193,Consolidado!$B$1:$L$1500,2,FALSE),"")</f>
        <v/>
      </c>
      <c r="C193" s="16">
        <f>IFERROR(SUMIF(Consolidado!$B$1:$B$1500,VLOOKUP(RegistroPago!A193,Consolidado!$B$1:$L$1500,1,FALSE),Consolidado!$G$1:$G$1500),"")</f>
        <v>0</v>
      </c>
      <c r="D193" s="3"/>
      <c r="E193" s="3"/>
      <c r="F193" s="5" t="str">
        <f t="shared" si="8"/>
        <v/>
      </c>
      <c r="G193" s="16" t="str">
        <f>IF(D193&lt;&gt;"",D193-VLOOKUP(A193,Consolidado!$B$1:$L$1500,8,FALSE),"")</f>
        <v/>
      </c>
      <c r="H193" s="31"/>
      <c r="I193" s="32">
        <f t="shared" si="9"/>
        <v>0</v>
      </c>
      <c r="J193" s="33" t="str">
        <f t="shared" si="10"/>
        <v/>
      </c>
      <c r="K193" s="2"/>
      <c r="L193" s="15"/>
      <c r="M193" s="34">
        <f t="shared" si="11"/>
        <v>0</v>
      </c>
    </row>
    <row r="194" spans="1:13" x14ac:dyDescent="0.25">
      <c r="A194" s="31"/>
      <c r="B194" s="16" t="str">
        <f>IFERROR(VLOOKUP(A194,Consolidado!$B$1:$L$1500,2,FALSE),"")</f>
        <v/>
      </c>
      <c r="C194" s="16">
        <f>IFERROR(SUMIF(Consolidado!$B$1:$B$1500,VLOOKUP(RegistroPago!A194,Consolidado!$B$1:$L$1500,1,FALSE),Consolidado!$G$1:$G$1500),"")</f>
        <v>0</v>
      </c>
      <c r="D194" s="3"/>
      <c r="E194" s="3"/>
      <c r="F194" s="5" t="str">
        <f t="shared" si="8"/>
        <v/>
      </c>
      <c r="G194" s="16" t="str">
        <f>IF(D194&lt;&gt;"",D194-VLOOKUP(A194,Consolidado!$B$1:$L$1500,8,FALSE),"")</f>
        <v/>
      </c>
      <c r="H194" s="31"/>
      <c r="I194" s="32">
        <f t="shared" si="9"/>
        <v>0</v>
      </c>
      <c r="J194" s="33" t="str">
        <f t="shared" si="10"/>
        <v/>
      </c>
      <c r="K194" s="2"/>
      <c r="L194" s="15"/>
      <c r="M194" s="34">
        <f t="shared" si="11"/>
        <v>0</v>
      </c>
    </row>
    <row r="195" spans="1:13" x14ac:dyDescent="0.25">
      <c r="A195" s="31"/>
      <c r="B195" s="16" t="str">
        <f>IFERROR(VLOOKUP(A195,Consolidado!$B$1:$L$1500,2,FALSE),"")</f>
        <v/>
      </c>
      <c r="C195" s="16">
        <f>IFERROR(SUMIF(Consolidado!$B$1:$B$1500,VLOOKUP(RegistroPago!A195,Consolidado!$B$1:$L$1500,1,FALSE),Consolidado!$G$1:$G$1500),"")</f>
        <v>0</v>
      </c>
      <c r="D195" s="3"/>
      <c r="E195" s="3"/>
      <c r="F195" s="5" t="str">
        <f t="shared" ref="F195:F258" si="12">IF(COUNTIF($E$2:$E$2000,E195)&gt;1,"Ya registrado","")</f>
        <v/>
      </c>
      <c r="G195" s="16" t="str">
        <f>IF(D195&lt;&gt;"",D195-VLOOKUP(A195,Consolidado!$B$1:$L$1500,8,FALSE),"")</f>
        <v/>
      </c>
      <c r="H195" s="31"/>
      <c r="I195" s="32">
        <f t="shared" ref="I195:I258" si="13">IFERROR(SUMIF($E$1:$E$2000,H195,$C$1:$C$2000)-SUMIF($E$1:$E$2000,H195,$F$1:$F$2000),"")</f>
        <v>0</v>
      </c>
      <c r="J195" s="33" t="str">
        <f t="shared" ref="J195:J258" si="14">IFERROR(I195/SUMIF($E$1:$E$2000,H195,$C$1:$C$2000),"")</f>
        <v/>
      </c>
      <c r="K195" s="2"/>
      <c r="L195" s="15"/>
      <c r="M195" s="34">
        <f t="shared" ref="M195:M258" si="15">IFERROR(L195*SUMIF($E$1:$E$2000,H195,$F$1:$F$2000),"")</f>
        <v>0</v>
      </c>
    </row>
    <row r="196" spans="1:13" x14ac:dyDescent="0.25">
      <c r="A196" s="31"/>
      <c r="B196" s="16" t="str">
        <f>IFERROR(VLOOKUP(A196,Consolidado!$B$1:$L$1500,2,FALSE),"")</f>
        <v/>
      </c>
      <c r="C196" s="16">
        <f>IFERROR(SUMIF(Consolidado!$B$1:$B$1500,VLOOKUP(RegistroPago!A196,Consolidado!$B$1:$L$1500,1,FALSE),Consolidado!$G$1:$G$1500),"")</f>
        <v>0</v>
      </c>
      <c r="D196" s="3"/>
      <c r="E196" s="3"/>
      <c r="F196" s="5" t="str">
        <f t="shared" si="12"/>
        <v/>
      </c>
      <c r="G196" s="16" t="str">
        <f>IF(D196&lt;&gt;"",D196-VLOOKUP(A196,Consolidado!$B$1:$L$1500,8,FALSE),"")</f>
        <v/>
      </c>
      <c r="H196" s="31"/>
      <c r="I196" s="32">
        <f t="shared" si="13"/>
        <v>0</v>
      </c>
      <c r="J196" s="33" t="str">
        <f t="shared" si="14"/>
        <v/>
      </c>
      <c r="K196" s="2"/>
      <c r="L196" s="15"/>
      <c r="M196" s="34">
        <f t="shared" si="15"/>
        <v>0</v>
      </c>
    </row>
    <row r="197" spans="1:13" x14ac:dyDescent="0.25">
      <c r="A197" s="31"/>
      <c r="B197" s="16" t="str">
        <f>IFERROR(VLOOKUP(A197,Consolidado!$B$1:$L$1500,2,FALSE),"")</f>
        <v/>
      </c>
      <c r="C197" s="16">
        <f>IFERROR(SUMIF(Consolidado!$B$1:$B$1500,VLOOKUP(RegistroPago!A197,Consolidado!$B$1:$L$1500,1,FALSE),Consolidado!$G$1:$G$1500),"")</f>
        <v>0</v>
      </c>
      <c r="D197" s="3"/>
      <c r="E197" s="3"/>
      <c r="F197" s="5" t="str">
        <f t="shared" si="12"/>
        <v/>
      </c>
      <c r="G197" s="16" t="str">
        <f>IF(D197&lt;&gt;"",D197-VLOOKUP(A197,Consolidado!$B$1:$L$1500,8,FALSE),"")</f>
        <v/>
      </c>
      <c r="H197" s="31"/>
      <c r="I197" s="32">
        <f t="shared" si="13"/>
        <v>0</v>
      </c>
      <c r="J197" s="33" t="str">
        <f t="shared" si="14"/>
        <v/>
      </c>
      <c r="K197" s="2"/>
      <c r="L197" s="15"/>
      <c r="M197" s="34">
        <f t="shared" si="15"/>
        <v>0</v>
      </c>
    </row>
    <row r="198" spans="1:13" x14ac:dyDescent="0.25">
      <c r="A198" s="31"/>
      <c r="B198" s="16" t="str">
        <f>IFERROR(VLOOKUP(A198,Consolidado!$B$1:$L$1500,2,FALSE),"")</f>
        <v/>
      </c>
      <c r="C198" s="16">
        <f>IFERROR(SUMIF(Consolidado!$B$1:$B$1500,VLOOKUP(RegistroPago!A198,Consolidado!$B$1:$L$1500,1,FALSE),Consolidado!$G$1:$G$1500),"")</f>
        <v>0</v>
      </c>
      <c r="D198" s="3"/>
      <c r="E198" s="3"/>
      <c r="F198" s="5" t="str">
        <f t="shared" si="12"/>
        <v/>
      </c>
      <c r="G198" s="16" t="str">
        <f>IF(D198&lt;&gt;"",D198-VLOOKUP(A198,Consolidado!$B$1:$L$1500,8,FALSE),"")</f>
        <v/>
      </c>
      <c r="H198" s="31"/>
      <c r="I198" s="32">
        <f t="shared" si="13"/>
        <v>0</v>
      </c>
      <c r="J198" s="33" t="str">
        <f t="shared" si="14"/>
        <v/>
      </c>
      <c r="K198" s="2"/>
      <c r="L198" s="15"/>
      <c r="M198" s="34">
        <f t="shared" si="15"/>
        <v>0</v>
      </c>
    </row>
    <row r="199" spans="1:13" x14ac:dyDescent="0.25">
      <c r="A199" s="31"/>
      <c r="B199" s="16" t="str">
        <f>IFERROR(VLOOKUP(A199,Consolidado!$B$1:$L$1500,2,FALSE),"")</f>
        <v/>
      </c>
      <c r="C199" s="16">
        <f>IFERROR(SUMIF(Consolidado!$B$1:$B$1500,VLOOKUP(RegistroPago!A199,Consolidado!$B$1:$L$1500,1,FALSE),Consolidado!$G$1:$G$1500),"")</f>
        <v>0</v>
      </c>
      <c r="D199" s="3"/>
      <c r="E199" s="3"/>
      <c r="F199" s="5" t="str">
        <f t="shared" si="12"/>
        <v/>
      </c>
      <c r="G199" s="16" t="str">
        <f>IF(D199&lt;&gt;"",D199-VLOOKUP(A199,Consolidado!$B$1:$L$1500,8,FALSE),"")</f>
        <v/>
      </c>
      <c r="H199" s="31"/>
      <c r="I199" s="32">
        <f t="shared" si="13"/>
        <v>0</v>
      </c>
      <c r="J199" s="33" t="str">
        <f t="shared" si="14"/>
        <v/>
      </c>
      <c r="K199" s="2"/>
      <c r="L199" s="15"/>
      <c r="M199" s="34">
        <f t="shared" si="15"/>
        <v>0</v>
      </c>
    </row>
    <row r="200" spans="1:13" x14ac:dyDescent="0.25">
      <c r="A200" s="31"/>
      <c r="B200" s="16" t="str">
        <f>IFERROR(VLOOKUP(A200,Consolidado!$B$1:$L$1500,2,FALSE),"")</f>
        <v/>
      </c>
      <c r="C200" s="16">
        <f>IFERROR(SUMIF(Consolidado!$B$1:$B$1500,VLOOKUP(RegistroPago!A200,Consolidado!$B$1:$L$1500,1,FALSE),Consolidado!$G$1:$G$1500),"")</f>
        <v>0</v>
      </c>
      <c r="D200" s="3"/>
      <c r="E200" s="3"/>
      <c r="F200" s="5" t="str">
        <f t="shared" si="12"/>
        <v/>
      </c>
      <c r="G200" s="16" t="str">
        <f>IF(D200&lt;&gt;"",D200-VLOOKUP(A200,Consolidado!$B$1:$L$1500,8,FALSE),"")</f>
        <v/>
      </c>
      <c r="H200" s="31"/>
      <c r="I200" s="32">
        <f t="shared" si="13"/>
        <v>0</v>
      </c>
      <c r="J200" s="33" t="str">
        <f t="shared" si="14"/>
        <v/>
      </c>
      <c r="K200" s="2"/>
      <c r="L200" s="15"/>
      <c r="M200" s="34">
        <f t="shared" si="15"/>
        <v>0</v>
      </c>
    </row>
    <row r="201" spans="1:13" x14ac:dyDescent="0.25">
      <c r="A201" s="31"/>
      <c r="B201" s="16" t="str">
        <f>IFERROR(VLOOKUP(A201,Consolidado!$B$1:$L$1500,2,FALSE),"")</f>
        <v/>
      </c>
      <c r="C201" s="16">
        <f>IFERROR(SUMIF(Consolidado!$B$1:$B$1500,VLOOKUP(RegistroPago!A201,Consolidado!$B$1:$L$1500,1,FALSE),Consolidado!$G$1:$G$1500),"")</f>
        <v>0</v>
      </c>
      <c r="D201" s="3"/>
      <c r="E201" s="3"/>
      <c r="F201" s="5" t="str">
        <f t="shared" si="12"/>
        <v/>
      </c>
      <c r="G201" s="16" t="str">
        <f>IF(D201&lt;&gt;"",D201-VLOOKUP(A201,Consolidado!$B$1:$L$1500,8,FALSE),"")</f>
        <v/>
      </c>
      <c r="H201" s="31"/>
      <c r="I201" s="32">
        <f t="shared" si="13"/>
        <v>0</v>
      </c>
      <c r="J201" s="33" t="str">
        <f t="shared" si="14"/>
        <v/>
      </c>
      <c r="K201" s="2"/>
      <c r="L201" s="15"/>
      <c r="M201" s="34">
        <f t="shared" si="15"/>
        <v>0</v>
      </c>
    </row>
    <row r="202" spans="1:13" x14ac:dyDescent="0.25">
      <c r="A202" s="31"/>
      <c r="B202" s="16" t="str">
        <f>IFERROR(VLOOKUP(A202,Consolidado!$B$1:$L$1500,2,FALSE),"")</f>
        <v/>
      </c>
      <c r="C202" s="16">
        <f>IFERROR(SUMIF(Consolidado!$B$1:$B$1500,VLOOKUP(RegistroPago!A202,Consolidado!$B$1:$L$1500,1,FALSE),Consolidado!$G$1:$G$1500),"")</f>
        <v>0</v>
      </c>
      <c r="D202" s="3"/>
      <c r="E202" s="3"/>
      <c r="F202" s="5" t="str">
        <f t="shared" si="12"/>
        <v/>
      </c>
      <c r="G202" s="16" t="str">
        <f>IF(D202&lt;&gt;"",D202-VLOOKUP(A202,Consolidado!$B$1:$L$1500,8,FALSE),"")</f>
        <v/>
      </c>
      <c r="H202" s="31"/>
      <c r="I202" s="32">
        <f t="shared" si="13"/>
        <v>0</v>
      </c>
      <c r="J202" s="33" t="str">
        <f t="shared" si="14"/>
        <v/>
      </c>
      <c r="K202" s="2"/>
      <c r="L202" s="15"/>
      <c r="M202" s="34">
        <f t="shared" si="15"/>
        <v>0</v>
      </c>
    </row>
    <row r="203" spans="1:13" x14ac:dyDescent="0.25">
      <c r="A203" s="31"/>
      <c r="B203" s="16" t="str">
        <f>IFERROR(VLOOKUP(A203,Consolidado!$B$1:$L$1500,2,FALSE),"")</f>
        <v/>
      </c>
      <c r="C203" s="16">
        <f>IFERROR(SUMIF(Consolidado!$B$1:$B$1500,VLOOKUP(RegistroPago!A203,Consolidado!$B$1:$L$1500,1,FALSE),Consolidado!$G$1:$G$1500),"")</f>
        <v>0</v>
      </c>
      <c r="D203" s="3"/>
      <c r="E203" s="3"/>
      <c r="F203" s="5" t="str">
        <f t="shared" si="12"/>
        <v/>
      </c>
      <c r="G203" s="16" t="str">
        <f>IF(D203&lt;&gt;"",D203-VLOOKUP(A203,Consolidado!$B$1:$L$1500,8,FALSE),"")</f>
        <v/>
      </c>
      <c r="H203" s="31"/>
      <c r="I203" s="32">
        <f t="shared" si="13"/>
        <v>0</v>
      </c>
      <c r="J203" s="33" t="str">
        <f t="shared" si="14"/>
        <v/>
      </c>
      <c r="K203" s="2"/>
      <c r="L203" s="15"/>
      <c r="M203" s="34">
        <f t="shared" si="15"/>
        <v>0</v>
      </c>
    </row>
    <row r="204" spans="1:13" x14ac:dyDescent="0.25">
      <c r="A204" s="31"/>
      <c r="B204" s="16" t="str">
        <f>IFERROR(VLOOKUP(A204,Consolidado!$B$1:$L$1500,2,FALSE),"")</f>
        <v/>
      </c>
      <c r="C204" s="16">
        <f>IFERROR(SUMIF(Consolidado!$B$1:$B$1500,VLOOKUP(RegistroPago!A204,Consolidado!$B$1:$L$1500,1,FALSE),Consolidado!$G$1:$G$1500),"")</f>
        <v>0</v>
      </c>
      <c r="D204" s="3"/>
      <c r="E204" s="3"/>
      <c r="F204" s="5" t="str">
        <f t="shared" si="12"/>
        <v/>
      </c>
      <c r="G204" s="16" t="str">
        <f>IF(D204&lt;&gt;"",D204-VLOOKUP(A204,Consolidado!$B$1:$L$1500,8,FALSE),"")</f>
        <v/>
      </c>
      <c r="H204" s="31"/>
      <c r="I204" s="32">
        <f t="shared" si="13"/>
        <v>0</v>
      </c>
      <c r="J204" s="33" t="str">
        <f t="shared" si="14"/>
        <v/>
      </c>
      <c r="K204" s="2"/>
      <c r="L204" s="15"/>
      <c r="M204" s="34">
        <f t="shared" si="15"/>
        <v>0</v>
      </c>
    </row>
    <row r="205" spans="1:13" x14ac:dyDescent="0.25">
      <c r="A205" s="31"/>
      <c r="B205" s="16" t="str">
        <f>IFERROR(VLOOKUP(A205,Consolidado!$B$1:$L$1500,2,FALSE),"")</f>
        <v/>
      </c>
      <c r="C205" s="16">
        <f>IFERROR(SUMIF(Consolidado!$B$1:$B$1500,VLOOKUP(RegistroPago!A205,Consolidado!$B$1:$L$1500,1,FALSE),Consolidado!$G$1:$G$1500),"")</f>
        <v>0</v>
      </c>
      <c r="D205" s="3"/>
      <c r="E205" s="3"/>
      <c r="F205" s="5" t="str">
        <f t="shared" si="12"/>
        <v/>
      </c>
      <c r="G205" s="16" t="str">
        <f>IF(D205&lt;&gt;"",D205-VLOOKUP(A205,Consolidado!$B$1:$L$1500,8,FALSE),"")</f>
        <v/>
      </c>
      <c r="H205" s="31"/>
      <c r="I205" s="32">
        <f t="shared" si="13"/>
        <v>0</v>
      </c>
      <c r="J205" s="33" t="str">
        <f t="shared" si="14"/>
        <v/>
      </c>
      <c r="K205" s="2"/>
      <c r="L205" s="15"/>
      <c r="M205" s="34">
        <f t="shared" si="15"/>
        <v>0</v>
      </c>
    </row>
    <row r="206" spans="1:13" x14ac:dyDescent="0.25">
      <c r="A206" s="31"/>
      <c r="B206" s="16" t="str">
        <f>IFERROR(VLOOKUP(A206,Consolidado!$B$1:$L$1500,2,FALSE),"")</f>
        <v/>
      </c>
      <c r="C206" s="16">
        <f>IFERROR(SUMIF(Consolidado!$B$1:$B$1500,VLOOKUP(RegistroPago!A206,Consolidado!$B$1:$L$1500,1,FALSE),Consolidado!$G$1:$G$1500),"")</f>
        <v>0</v>
      </c>
      <c r="D206" s="3"/>
      <c r="E206" s="3"/>
      <c r="F206" s="5" t="str">
        <f t="shared" si="12"/>
        <v/>
      </c>
      <c r="G206" s="16" t="str">
        <f>IF(D206&lt;&gt;"",D206-VLOOKUP(A206,Consolidado!$B$1:$L$1500,8,FALSE),"")</f>
        <v/>
      </c>
      <c r="H206" s="31"/>
      <c r="I206" s="32">
        <f t="shared" si="13"/>
        <v>0</v>
      </c>
      <c r="J206" s="33" t="str">
        <f t="shared" si="14"/>
        <v/>
      </c>
      <c r="K206" s="2"/>
      <c r="L206" s="15"/>
      <c r="M206" s="34">
        <f t="shared" si="15"/>
        <v>0</v>
      </c>
    </row>
    <row r="207" spans="1:13" x14ac:dyDescent="0.25">
      <c r="A207" s="31"/>
      <c r="B207" s="16" t="str">
        <f>IFERROR(VLOOKUP(A207,Consolidado!$B$1:$L$1500,2,FALSE),"")</f>
        <v/>
      </c>
      <c r="C207" s="16">
        <f>IFERROR(SUMIF(Consolidado!$B$1:$B$1500,VLOOKUP(RegistroPago!A207,Consolidado!$B$1:$L$1500,1,FALSE),Consolidado!$G$1:$G$1500),"")</f>
        <v>0</v>
      </c>
      <c r="D207" s="3"/>
      <c r="E207" s="3"/>
      <c r="F207" s="5" t="str">
        <f t="shared" si="12"/>
        <v/>
      </c>
      <c r="G207" s="16" t="str">
        <f>IF(D207&lt;&gt;"",D207-VLOOKUP(A207,Consolidado!$B$1:$L$1500,8,FALSE),"")</f>
        <v/>
      </c>
      <c r="H207" s="31"/>
      <c r="I207" s="32">
        <f t="shared" si="13"/>
        <v>0</v>
      </c>
      <c r="J207" s="33" t="str">
        <f t="shared" si="14"/>
        <v/>
      </c>
      <c r="K207" s="2"/>
      <c r="L207" s="15"/>
      <c r="M207" s="34">
        <f t="shared" si="15"/>
        <v>0</v>
      </c>
    </row>
    <row r="208" spans="1:13" x14ac:dyDescent="0.25">
      <c r="A208" s="31"/>
      <c r="B208" s="16" t="str">
        <f>IFERROR(VLOOKUP(A208,Consolidado!$B$1:$L$1500,2,FALSE),"")</f>
        <v/>
      </c>
      <c r="C208" s="16">
        <f>IFERROR(SUMIF(Consolidado!$B$1:$B$1500,VLOOKUP(RegistroPago!A208,Consolidado!$B$1:$L$1500,1,FALSE),Consolidado!$G$1:$G$1500),"")</f>
        <v>0</v>
      </c>
      <c r="D208" s="3"/>
      <c r="E208" s="3"/>
      <c r="F208" s="5" t="str">
        <f t="shared" si="12"/>
        <v/>
      </c>
      <c r="G208" s="16" t="str">
        <f>IF(D208&lt;&gt;"",D208-VLOOKUP(A208,Consolidado!$B$1:$L$1500,8,FALSE),"")</f>
        <v/>
      </c>
      <c r="H208" s="31"/>
      <c r="I208" s="32">
        <f t="shared" si="13"/>
        <v>0</v>
      </c>
      <c r="J208" s="33" t="str">
        <f t="shared" si="14"/>
        <v/>
      </c>
      <c r="K208" s="2"/>
      <c r="L208" s="15"/>
      <c r="M208" s="34">
        <f t="shared" si="15"/>
        <v>0</v>
      </c>
    </row>
    <row r="209" spans="1:13" x14ac:dyDescent="0.25">
      <c r="A209" s="31"/>
      <c r="B209" s="16" t="str">
        <f>IFERROR(VLOOKUP(A209,Consolidado!$B$1:$L$1500,2,FALSE),"")</f>
        <v/>
      </c>
      <c r="C209" s="16">
        <f>IFERROR(SUMIF(Consolidado!$B$1:$B$1500,VLOOKUP(RegistroPago!A209,Consolidado!$B$1:$L$1500,1,FALSE),Consolidado!$G$1:$G$1500),"")</f>
        <v>0</v>
      </c>
      <c r="D209" s="3"/>
      <c r="E209" s="3"/>
      <c r="F209" s="5" t="str">
        <f t="shared" si="12"/>
        <v/>
      </c>
      <c r="G209" s="16" t="str">
        <f>IF(D209&lt;&gt;"",D209-VLOOKUP(A209,Consolidado!$B$1:$L$1500,8,FALSE),"")</f>
        <v/>
      </c>
      <c r="H209" s="31"/>
      <c r="I209" s="32">
        <f t="shared" si="13"/>
        <v>0</v>
      </c>
      <c r="J209" s="33" t="str">
        <f t="shared" si="14"/>
        <v/>
      </c>
      <c r="K209" s="2"/>
      <c r="L209" s="15"/>
      <c r="M209" s="34">
        <f t="shared" si="15"/>
        <v>0</v>
      </c>
    </row>
    <row r="210" spans="1:13" x14ac:dyDescent="0.25">
      <c r="A210" s="31"/>
      <c r="B210" s="16" t="str">
        <f>IFERROR(VLOOKUP(A210,Consolidado!$B$1:$L$1500,2,FALSE),"")</f>
        <v/>
      </c>
      <c r="C210" s="16">
        <f>IFERROR(SUMIF(Consolidado!$B$1:$B$1500,VLOOKUP(RegistroPago!A210,Consolidado!$B$1:$L$1500,1,FALSE),Consolidado!$G$1:$G$1500),"")</f>
        <v>0</v>
      </c>
      <c r="D210" s="3"/>
      <c r="E210" s="3"/>
      <c r="F210" s="5" t="str">
        <f t="shared" si="12"/>
        <v/>
      </c>
      <c r="G210" s="16" t="str">
        <f>IF(D210&lt;&gt;"",D210-VLOOKUP(A210,Consolidado!$B$1:$L$1500,8,FALSE),"")</f>
        <v/>
      </c>
      <c r="H210" s="31"/>
      <c r="I210" s="32">
        <f t="shared" si="13"/>
        <v>0</v>
      </c>
      <c r="J210" s="33" t="str">
        <f t="shared" si="14"/>
        <v/>
      </c>
      <c r="K210" s="2"/>
      <c r="L210" s="15"/>
      <c r="M210" s="34">
        <f t="shared" si="15"/>
        <v>0</v>
      </c>
    </row>
    <row r="211" spans="1:13" x14ac:dyDescent="0.25">
      <c r="A211" s="31"/>
      <c r="B211" s="16" t="str">
        <f>IFERROR(VLOOKUP(A211,Consolidado!$B$1:$L$1500,2,FALSE),"")</f>
        <v/>
      </c>
      <c r="C211" s="16">
        <f>IFERROR(SUMIF(Consolidado!$B$1:$B$1500,VLOOKUP(RegistroPago!A211,Consolidado!$B$1:$L$1500,1,FALSE),Consolidado!$G$1:$G$1500),"")</f>
        <v>0</v>
      </c>
      <c r="D211" s="3"/>
      <c r="E211" s="3"/>
      <c r="F211" s="5" t="str">
        <f t="shared" si="12"/>
        <v/>
      </c>
      <c r="G211" s="16" t="str">
        <f>IF(D211&lt;&gt;"",D211-VLOOKUP(A211,Consolidado!$B$1:$L$1500,8,FALSE),"")</f>
        <v/>
      </c>
      <c r="H211" s="31"/>
      <c r="I211" s="32">
        <f t="shared" si="13"/>
        <v>0</v>
      </c>
      <c r="J211" s="33" t="str">
        <f t="shared" si="14"/>
        <v/>
      </c>
      <c r="K211" s="2"/>
      <c r="L211" s="15"/>
      <c r="M211" s="34">
        <f t="shared" si="15"/>
        <v>0</v>
      </c>
    </row>
    <row r="212" spans="1:13" x14ac:dyDescent="0.25">
      <c r="A212" s="31"/>
      <c r="B212" s="16" t="str">
        <f>IFERROR(VLOOKUP(A212,Consolidado!$B$1:$L$1500,2,FALSE),"")</f>
        <v/>
      </c>
      <c r="C212" s="16">
        <f>IFERROR(SUMIF(Consolidado!$B$1:$B$1500,VLOOKUP(RegistroPago!A212,Consolidado!$B$1:$L$1500,1,FALSE),Consolidado!$G$1:$G$1500),"")</f>
        <v>0</v>
      </c>
      <c r="D212" s="3"/>
      <c r="E212" s="3"/>
      <c r="F212" s="5" t="str">
        <f t="shared" si="12"/>
        <v/>
      </c>
      <c r="G212" s="16" t="str">
        <f>IF(D212&lt;&gt;"",D212-VLOOKUP(A212,Consolidado!$B$1:$L$1500,8,FALSE),"")</f>
        <v/>
      </c>
      <c r="H212" s="31"/>
      <c r="I212" s="32">
        <f t="shared" si="13"/>
        <v>0</v>
      </c>
      <c r="J212" s="33" t="str">
        <f t="shared" si="14"/>
        <v/>
      </c>
      <c r="K212" s="2"/>
      <c r="L212" s="15"/>
      <c r="M212" s="34">
        <f t="shared" si="15"/>
        <v>0</v>
      </c>
    </row>
    <row r="213" spans="1:13" x14ac:dyDescent="0.25">
      <c r="A213" s="31"/>
      <c r="B213" s="16" t="str">
        <f>IFERROR(VLOOKUP(A213,Consolidado!$B$1:$L$1500,2,FALSE),"")</f>
        <v/>
      </c>
      <c r="C213" s="16">
        <f>IFERROR(SUMIF(Consolidado!$B$1:$B$1500,VLOOKUP(RegistroPago!A213,Consolidado!$B$1:$L$1500,1,FALSE),Consolidado!$G$1:$G$1500),"")</f>
        <v>0</v>
      </c>
      <c r="D213" s="3"/>
      <c r="E213" s="3"/>
      <c r="F213" s="5" t="str">
        <f t="shared" si="12"/>
        <v/>
      </c>
      <c r="G213" s="16" t="str">
        <f>IF(D213&lt;&gt;"",D213-VLOOKUP(A213,Consolidado!$B$1:$L$1500,8,FALSE),"")</f>
        <v/>
      </c>
      <c r="H213" s="31"/>
      <c r="I213" s="32">
        <f t="shared" si="13"/>
        <v>0</v>
      </c>
      <c r="J213" s="33" t="str">
        <f t="shared" si="14"/>
        <v/>
      </c>
      <c r="K213" s="2"/>
      <c r="L213" s="15"/>
      <c r="M213" s="34">
        <f t="shared" si="15"/>
        <v>0</v>
      </c>
    </row>
    <row r="214" spans="1:13" x14ac:dyDescent="0.25">
      <c r="A214" s="31"/>
      <c r="B214" s="16" t="str">
        <f>IFERROR(VLOOKUP(A214,Consolidado!$B$1:$L$1500,2,FALSE),"")</f>
        <v/>
      </c>
      <c r="C214" s="16">
        <f>IFERROR(SUMIF(Consolidado!$B$1:$B$1500,VLOOKUP(RegistroPago!A214,Consolidado!$B$1:$L$1500,1,FALSE),Consolidado!$G$1:$G$1500),"")</f>
        <v>0</v>
      </c>
      <c r="D214" s="3"/>
      <c r="E214" s="3"/>
      <c r="F214" s="5" t="str">
        <f t="shared" si="12"/>
        <v/>
      </c>
      <c r="G214" s="16" t="str">
        <f>IF(D214&lt;&gt;"",D214-VLOOKUP(A214,Consolidado!$B$1:$L$1500,8,FALSE),"")</f>
        <v/>
      </c>
      <c r="H214" s="31"/>
      <c r="I214" s="32">
        <f t="shared" si="13"/>
        <v>0</v>
      </c>
      <c r="J214" s="33" t="str">
        <f t="shared" si="14"/>
        <v/>
      </c>
      <c r="K214" s="2"/>
      <c r="L214" s="15"/>
      <c r="M214" s="34">
        <f t="shared" si="15"/>
        <v>0</v>
      </c>
    </row>
    <row r="215" spans="1:13" x14ac:dyDescent="0.25">
      <c r="A215" s="31"/>
      <c r="B215" s="16" t="str">
        <f>IFERROR(VLOOKUP(A215,Consolidado!$B$1:$L$1500,2,FALSE),"")</f>
        <v/>
      </c>
      <c r="C215" s="16">
        <f>IFERROR(SUMIF(Consolidado!$B$1:$B$1500,VLOOKUP(RegistroPago!A215,Consolidado!$B$1:$L$1500,1,FALSE),Consolidado!$G$1:$G$1500),"")</f>
        <v>0</v>
      </c>
      <c r="D215" s="3"/>
      <c r="E215" s="3"/>
      <c r="F215" s="5" t="str">
        <f t="shared" si="12"/>
        <v/>
      </c>
      <c r="G215" s="16" t="str">
        <f>IF(D215&lt;&gt;"",D215-VLOOKUP(A215,Consolidado!$B$1:$L$1500,8,FALSE),"")</f>
        <v/>
      </c>
      <c r="H215" s="31"/>
      <c r="I215" s="32">
        <f t="shared" si="13"/>
        <v>0</v>
      </c>
      <c r="J215" s="33" t="str">
        <f t="shared" si="14"/>
        <v/>
      </c>
      <c r="K215" s="2"/>
      <c r="L215" s="15"/>
      <c r="M215" s="34">
        <f t="shared" si="15"/>
        <v>0</v>
      </c>
    </row>
    <row r="216" spans="1:13" x14ac:dyDescent="0.25">
      <c r="A216" s="31"/>
      <c r="B216" s="16" t="str">
        <f>IFERROR(VLOOKUP(A216,Consolidado!$B$1:$L$1500,2,FALSE),"")</f>
        <v/>
      </c>
      <c r="C216" s="16">
        <f>IFERROR(SUMIF(Consolidado!$B$1:$B$1500,VLOOKUP(RegistroPago!A216,Consolidado!$B$1:$L$1500,1,FALSE),Consolidado!$G$1:$G$1500),"")</f>
        <v>0</v>
      </c>
      <c r="D216" s="3"/>
      <c r="E216" s="3"/>
      <c r="F216" s="5" t="str">
        <f t="shared" si="12"/>
        <v/>
      </c>
      <c r="G216" s="16" t="str">
        <f>IF(D216&lt;&gt;"",D216-VLOOKUP(A216,Consolidado!$B$1:$L$1500,8,FALSE),"")</f>
        <v/>
      </c>
      <c r="H216" s="31"/>
      <c r="I216" s="32">
        <f t="shared" si="13"/>
        <v>0</v>
      </c>
      <c r="J216" s="33" t="str">
        <f t="shared" si="14"/>
        <v/>
      </c>
      <c r="K216" s="2"/>
      <c r="L216" s="15"/>
      <c r="M216" s="34">
        <f t="shared" si="15"/>
        <v>0</v>
      </c>
    </row>
    <row r="217" spans="1:13" x14ac:dyDescent="0.25">
      <c r="A217" s="31"/>
      <c r="B217" s="16" t="str">
        <f>IFERROR(VLOOKUP(A217,Consolidado!$B$1:$L$1500,2,FALSE),"")</f>
        <v/>
      </c>
      <c r="C217" s="16">
        <f>IFERROR(SUMIF(Consolidado!$B$1:$B$1500,VLOOKUP(RegistroPago!A217,Consolidado!$B$1:$L$1500,1,FALSE),Consolidado!$G$1:$G$1500),"")</f>
        <v>0</v>
      </c>
      <c r="D217" s="3"/>
      <c r="E217" s="3"/>
      <c r="F217" s="5" t="str">
        <f t="shared" si="12"/>
        <v/>
      </c>
      <c r="G217" s="16" t="str">
        <f>IF(D217&lt;&gt;"",D217-VLOOKUP(A217,Consolidado!$B$1:$L$1500,8,FALSE),"")</f>
        <v/>
      </c>
      <c r="H217" s="31"/>
      <c r="I217" s="32">
        <f t="shared" si="13"/>
        <v>0</v>
      </c>
      <c r="J217" s="33" t="str">
        <f t="shared" si="14"/>
        <v/>
      </c>
      <c r="K217" s="2"/>
      <c r="L217" s="15"/>
      <c r="M217" s="34">
        <f t="shared" si="15"/>
        <v>0</v>
      </c>
    </row>
    <row r="218" spans="1:13" x14ac:dyDescent="0.25">
      <c r="A218" s="31"/>
      <c r="B218" s="16" t="str">
        <f>IFERROR(VLOOKUP(A218,Consolidado!$B$1:$L$1500,2,FALSE),"")</f>
        <v/>
      </c>
      <c r="C218" s="16">
        <f>IFERROR(SUMIF(Consolidado!$B$1:$B$1500,VLOOKUP(RegistroPago!A218,Consolidado!$B$1:$L$1500,1,FALSE),Consolidado!$G$1:$G$1500),"")</f>
        <v>0</v>
      </c>
      <c r="D218" s="3"/>
      <c r="E218" s="3"/>
      <c r="F218" s="5" t="str">
        <f t="shared" si="12"/>
        <v/>
      </c>
      <c r="G218" s="16" t="str">
        <f>IF(D218&lt;&gt;"",D218-VLOOKUP(A218,Consolidado!$B$1:$L$1500,8,FALSE),"")</f>
        <v/>
      </c>
      <c r="H218" s="31"/>
      <c r="I218" s="32">
        <f t="shared" si="13"/>
        <v>0</v>
      </c>
      <c r="J218" s="33" t="str">
        <f t="shared" si="14"/>
        <v/>
      </c>
      <c r="K218" s="2"/>
      <c r="L218" s="15"/>
      <c r="M218" s="34">
        <f t="shared" si="15"/>
        <v>0</v>
      </c>
    </row>
    <row r="219" spans="1:13" x14ac:dyDescent="0.25">
      <c r="A219" s="31"/>
      <c r="B219" s="16" t="str">
        <f>IFERROR(VLOOKUP(A219,Consolidado!$B$1:$L$1500,2,FALSE),"")</f>
        <v/>
      </c>
      <c r="C219" s="16">
        <f>IFERROR(SUMIF(Consolidado!$B$1:$B$1500,VLOOKUP(RegistroPago!A219,Consolidado!$B$1:$L$1500,1,FALSE),Consolidado!$G$1:$G$1500),"")</f>
        <v>0</v>
      </c>
      <c r="D219" s="3"/>
      <c r="E219" s="3"/>
      <c r="F219" s="5" t="str">
        <f t="shared" si="12"/>
        <v/>
      </c>
      <c r="G219" s="16" t="str">
        <f>IF(D219&lt;&gt;"",D219-VLOOKUP(A219,Consolidado!$B$1:$L$1500,8,FALSE),"")</f>
        <v/>
      </c>
      <c r="H219" s="31"/>
      <c r="I219" s="32">
        <f t="shared" si="13"/>
        <v>0</v>
      </c>
      <c r="J219" s="33" t="str">
        <f t="shared" si="14"/>
        <v/>
      </c>
      <c r="K219" s="2"/>
      <c r="L219" s="15"/>
      <c r="M219" s="34">
        <f t="shared" si="15"/>
        <v>0</v>
      </c>
    </row>
    <row r="220" spans="1:13" x14ac:dyDescent="0.25">
      <c r="A220" s="31"/>
      <c r="B220" s="16" t="str">
        <f>IFERROR(VLOOKUP(A220,Consolidado!$B$1:$L$1500,2,FALSE),"")</f>
        <v/>
      </c>
      <c r="C220" s="16">
        <f>IFERROR(SUMIF(Consolidado!$B$1:$B$1500,VLOOKUP(RegistroPago!A220,Consolidado!$B$1:$L$1500,1,FALSE),Consolidado!$G$1:$G$1500),"")</f>
        <v>0</v>
      </c>
      <c r="D220" s="3"/>
      <c r="E220" s="3"/>
      <c r="F220" s="5" t="str">
        <f t="shared" si="12"/>
        <v/>
      </c>
      <c r="G220" s="16" t="str">
        <f>IF(D220&lt;&gt;"",D220-VLOOKUP(A220,Consolidado!$B$1:$L$1500,8,FALSE),"")</f>
        <v/>
      </c>
      <c r="H220" s="31"/>
      <c r="I220" s="32">
        <f t="shared" si="13"/>
        <v>0</v>
      </c>
      <c r="J220" s="33" t="str">
        <f t="shared" si="14"/>
        <v/>
      </c>
      <c r="K220" s="2"/>
      <c r="L220" s="15"/>
      <c r="M220" s="34">
        <f t="shared" si="15"/>
        <v>0</v>
      </c>
    </row>
    <row r="221" spans="1:13" x14ac:dyDescent="0.25">
      <c r="A221" s="31"/>
      <c r="B221" s="16" t="str">
        <f>IFERROR(VLOOKUP(A221,Consolidado!$B$1:$L$1500,2,FALSE),"")</f>
        <v/>
      </c>
      <c r="C221" s="16">
        <f>IFERROR(SUMIF(Consolidado!$B$1:$B$1500,VLOOKUP(RegistroPago!A221,Consolidado!$B$1:$L$1500,1,FALSE),Consolidado!$G$1:$G$1500),"")</f>
        <v>0</v>
      </c>
      <c r="D221" s="3"/>
      <c r="E221" s="3"/>
      <c r="F221" s="5" t="str">
        <f t="shared" si="12"/>
        <v/>
      </c>
      <c r="G221" s="16" t="str">
        <f>IF(D221&lt;&gt;"",D221-VLOOKUP(A221,Consolidado!$B$1:$L$1500,8,FALSE),"")</f>
        <v/>
      </c>
      <c r="H221" s="31"/>
      <c r="I221" s="32">
        <f t="shared" si="13"/>
        <v>0</v>
      </c>
      <c r="J221" s="33" t="str">
        <f t="shared" si="14"/>
        <v/>
      </c>
      <c r="K221" s="2"/>
      <c r="L221" s="15"/>
      <c r="M221" s="34">
        <f t="shared" si="15"/>
        <v>0</v>
      </c>
    </row>
    <row r="222" spans="1:13" x14ac:dyDescent="0.25">
      <c r="A222" s="31"/>
      <c r="B222" s="16" t="str">
        <f>IFERROR(VLOOKUP(A222,Consolidado!$B$1:$L$1500,2,FALSE),"")</f>
        <v/>
      </c>
      <c r="C222" s="16">
        <f>IFERROR(SUMIF(Consolidado!$B$1:$B$1500,VLOOKUP(RegistroPago!A222,Consolidado!$B$1:$L$1500,1,FALSE),Consolidado!$G$1:$G$1500),"")</f>
        <v>0</v>
      </c>
      <c r="D222" s="3"/>
      <c r="E222" s="3"/>
      <c r="F222" s="5" t="str">
        <f t="shared" si="12"/>
        <v/>
      </c>
      <c r="G222" s="16" t="str">
        <f>IF(D222&lt;&gt;"",D222-VLOOKUP(A222,Consolidado!$B$1:$L$1500,8,FALSE),"")</f>
        <v/>
      </c>
      <c r="H222" s="31"/>
      <c r="I222" s="32">
        <f t="shared" si="13"/>
        <v>0</v>
      </c>
      <c r="J222" s="33" t="str">
        <f t="shared" si="14"/>
        <v/>
      </c>
      <c r="K222" s="2"/>
      <c r="L222" s="15"/>
      <c r="M222" s="34">
        <f t="shared" si="15"/>
        <v>0</v>
      </c>
    </row>
    <row r="223" spans="1:13" x14ac:dyDescent="0.25">
      <c r="A223" s="31"/>
      <c r="B223" s="16" t="str">
        <f>IFERROR(VLOOKUP(A223,Consolidado!$B$1:$L$1500,2,FALSE),"")</f>
        <v/>
      </c>
      <c r="C223" s="16">
        <f>IFERROR(SUMIF(Consolidado!$B$1:$B$1500,VLOOKUP(RegistroPago!A223,Consolidado!$B$1:$L$1500,1,FALSE),Consolidado!$G$1:$G$1500),"")</f>
        <v>0</v>
      </c>
      <c r="D223" s="3"/>
      <c r="E223" s="3"/>
      <c r="F223" s="5" t="str">
        <f t="shared" si="12"/>
        <v/>
      </c>
      <c r="G223" s="16" t="str">
        <f>IF(D223&lt;&gt;"",D223-VLOOKUP(A223,Consolidado!$B$1:$L$1500,8,FALSE),"")</f>
        <v/>
      </c>
      <c r="H223" s="31"/>
      <c r="I223" s="32">
        <f t="shared" si="13"/>
        <v>0</v>
      </c>
      <c r="J223" s="33" t="str">
        <f t="shared" si="14"/>
        <v/>
      </c>
      <c r="K223" s="2"/>
      <c r="L223" s="15"/>
      <c r="M223" s="34">
        <f t="shared" si="15"/>
        <v>0</v>
      </c>
    </row>
    <row r="224" spans="1:13" x14ac:dyDescent="0.25">
      <c r="A224" s="31"/>
      <c r="B224" s="16" t="str">
        <f>IFERROR(VLOOKUP(A224,Consolidado!$B$1:$L$1500,2,FALSE),"")</f>
        <v/>
      </c>
      <c r="C224" s="16">
        <f>IFERROR(SUMIF(Consolidado!$B$1:$B$1500,VLOOKUP(RegistroPago!A224,Consolidado!$B$1:$L$1500,1,FALSE),Consolidado!$G$1:$G$1500),"")</f>
        <v>0</v>
      </c>
      <c r="D224" s="3"/>
      <c r="E224" s="3"/>
      <c r="F224" s="5" t="str">
        <f t="shared" si="12"/>
        <v/>
      </c>
      <c r="G224" s="16" t="str">
        <f>IF(D224&lt;&gt;"",D224-VLOOKUP(A224,Consolidado!$B$1:$L$1500,8,FALSE),"")</f>
        <v/>
      </c>
      <c r="H224" s="31"/>
      <c r="I224" s="32">
        <f t="shared" si="13"/>
        <v>0</v>
      </c>
      <c r="J224" s="33" t="str">
        <f t="shared" si="14"/>
        <v/>
      </c>
      <c r="K224" s="2"/>
      <c r="L224" s="15"/>
      <c r="M224" s="34">
        <f t="shared" si="15"/>
        <v>0</v>
      </c>
    </row>
    <row r="225" spans="1:13" x14ac:dyDescent="0.25">
      <c r="A225" s="31"/>
      <c r="B225" s="16" t="str">
        <f>IFERROR(VLOOKUP(A225,Consolidado!$B$1:$L$1500,2,FALSE),"")</f>
        <v/>
      </c>
      <c r="C225" s="16">
        <f>IFERROR(SUMIF(Consolidado!$B$1:$B$1500,VLOOKUP(RegistroPago!A225,Consolidado!$B$1:$L$1500,1,FALSE),Consolidado!$G$1:$G$1500),"")</f>
        <v>0</v>
      </c>
      <c r="D225" s="3"/>
      <c r="E225" s="3"/>
      <c r="F225" s="5" t="str">
        <f t="shared" si="12"/>
        <v/>
      </c>
      <c r="G225" s="16" t="str">
        <f>IF(D225&lt;&gt;"",D225-VLOOKUP(A225,Consolidado!$B$1:$L$1500,8,FALSE),"")</f>
        <v/>
      </c>
      <c r="H225" s="31"/>
      <c r="I225" s="32">
        <f t="shared" si="13"/>
        <v>0</v>
      </c>
      <c r="J225" s="33" t="str">
        <f t="shared" si="14"/>
        <v/>
      </c>
      <c r="K225" s="2"/>
      <c r="L225" s="15"/>
      <c r="M225" s="34">
        <f t="shared" si="15"/>
        <v>0</v>
      </c>
    </row>
    <row r="226" spans="1:13" x14ac:dyDescent="0.25">
      <c r="A226" s="31"/>
      <c r="B226" s="16" t="str">
        <f>IFERROR(VLOOKUP(A226,Consolidado!$B$1:$L$1500,2,FALSE),"")</f>
        <v/>
      </c>
      <c r="C226" s="16">
        <f>IFERROR(SUMIF(Consolidado!$B$1:$B$1500,VLOOKUP(RegistroPago!A226,Consolidado!$B$1:$L$1500,1,FALSE),Consolidado!$G$1:$G$1500),"")</f>
        <v>0</v>
      </c>
      <c r="D226" s="3"/>
      <c r="E226" s="3"/>
      <c r="F226" s="5" t="str">
        <f t="shared" si="12"/>
        <v/>
      </c>
      <c r="G226" s="16" t="str">
        <f>IF(D226&lt;&gt;"",D226-VLOOKUP(A226,Consolidado!$B$1:$L$1500,8,FALSE),"")</f>
        <v/>
      </c>
      <c r="H226" s="31"/>
      <c r="I226" s="32">
        <f t="shared" si="13"/>
        <v>0</v>
      </c>
      <c r="J226" s="33" t="str">
        <f t="shared" si="14"/>
        <v/>
      </c>
      <c r="K226" s="2"/>
      <c r="L226" s="15"/>
      <c r="M226" s="34">
        <f t="shared" si="15"/>
        <v>0</v>
      </c>
    </row>
    <row r="227" spans="1:13" x14ac:dyDescent="0.25">
      <c r="A227" s="31"/>
      <c r="B227" s="16" t="str">
        <f>IFERROR(VLOOKUP(A227,Consolidado!$B$1:$L$1500,2,FALSE),"")</f>
        <v/>
      </c>
      <c r="C227" s="16">
        <f>IFERROR(SUMIF(Consolidado!$B$1:$B$1500,VLOOKUP(RegistroPago!A227,Consolidado!$B$1:$L$1500,1,FALSE),Consolidado!$G$1:$G$1500),"")</f>
        <v>0</v>
      </c>
      <c r="D227" s="3"/>
      <c r="E227" s="3"/>
      <c r="F227" s="5" t="str">
        <f t="shared" si="12"/>
        <v/>
      </c>
      <c r="G227" s="16" t="str">
        <f>IF(D227&lt;&gt;"",D227-VLOOKUP(A227,Consolidado!$B$1:$L$1500,8,FALSE),"")</f>
        <v/>
      </c>
      <c r="H227" s="31"/>
      <c r="I227" s="32">
        <f t="shared" si="13"/>
        <v>0</v>
      </c>
      <c r="J227" s="33" t="str">
        <f t="shared" si="14"/>
        <v/>
      </c>
      <c r="K227" s="2"/>
      <c r="L227" s="15"/>
      <c r="M227" s="34">
        <f t="shared" si="15"/>
        <v>0</v>
      </c>
    </row>
    <row r="228" spans="1:13" x14ac:dyDescent="0.25">
      <c r="A228" s="31"/>
      <c r="B228" s="16" t="str">
        <f>IFERROR(VLOOKUP(A228,Consolidado!$B$1:$L$1500,2,FALSE),"")</f>
        <v/>
      </c>
      <c r="C228" s="16">
        <f>IFERROR(SUMIF(Consolidado!$B$1:$B$1500,VLOOKUP(RegistroPago!A228,Consolidado!$B$1:$L$1500,1,FALSE),Consolidado!$G$1:$G$1500),"")</f>
        <v>0</v>
      </c>
      <c r="D228" s="3"/>
      <c r="E228" s="3"/>
      <c r="F228" s="5" t="str">
        <f t="shared" si="12"/>
        <v/>
      </c>
      <c r="G228" s="16" t="str">
        <f>IF(D228&lt;&gt;"",D228-VLOOKUP(A228,Consolidado!$B$1:$L$1500,8,FALSE),"")</f>
        <v/>
      </c>
      <c r="H228" s="31"/>
      <c r="I228" s="32">
        <f t="shared" si="13"/>
        <v>0</v>
      </c>
      <c r="J228" s="33" t="str">
        <f t="shared" si="14"/>
        <v/>
      </c>
      <c r="K228" s="2"/>
      <c r="L228" s="15"/>
      <c r="M228" s="34">
        <f t="shared" si="15"/>
        <v>0</v>
      </c>
    </row>
    <row r="229" spans="1:13" x14ac:dyDescent="0.25">
      <c r="A229" s="31"/>
      <c r="B229" s="16" t="str">
        <f>IFERROR(VLOOKUP(A229,Consolidado!$B$1:$L$1500,2,FALSE),"")</f>
        <v/>
      </c>
      <c r="C229" s="16">
        <f>IFERROR(SUMIF(Consolidado!$B$1:$B$1500,VLOOKUP(RegistroPago!A229,Consolidado!$B$1:$L$1500,1,FALSE),Consolidado!$G$1:$G$1500),"")</f>
        <v>0</v>
      </c>
      <c r="D229" s="3"/>
      <c r="E229" s="3"/>
      <c r="F229" s="5" t="str">
        <f t="shared" si="12"/>
        <v/>
      </c>
      <c r="G229" s="16" t="str">
        <f>IF(D229&lt;&gt;"",D229-VLOOKUP(A229,Consolidado!$B$1:$L$1500,8,FALSE),"")</f>
        <v/>
      </c>
      <c r="H229" s="31"/>
      <c r="I229" s="32">
        <f t="shared" si="13"/>
        <v>0</v>
      </c>
      <c r="J229" s="33" t="str">
        <f t="shared" si="14"/>
        <v/>
      </c>
      <c r="K229" s="2"/>
      <c r="L229" s="15"/>
      <c r="M229" s="34">
        <f t="shared" si="15"/>
        <v>0</v>
      </c>
    </row>
    <row r="230" spans="1:13" x14ac:dyDescent="0.25">
      <c r="A230" s="31"/>
      <c r="B230" s="16" t="str">
        <f>IFERROR(VLOOKUP(A230,Consolidado!$B$1:$L$1500,2,FALSE),"")</f>
        <v/>
      </c>
      <c r="C230" s="16">
        <f>IFERROR(SUMIF(Consolidado!$B$1:$B$1500,VLOOKUP(RegistroPago!A230,Consolidado!$B$1:$L$1500,1,FALSE),Consolidado!$G$1:$G$1500),"")</f>
        <v>0</v>
      </c>
      <c r="D230" s="3"/>
      <c r="E230" s="3"/>
      <c r="F230" s="5" t="str">
        <f t="shared" si="12"/>
        <v/>
      </c>
      <c r="G230" s="16" t="str">
        <f>IF(D230&lt;&gt;"",D230-VLOOKUP(A230,Consolidado!$B$1:$L$1500,8,FALSE),"")</f>
        <v/>
      </c>
      <c r="H230" s="31"/>
      <c r="I230" s="32">
        <f t="shared" si="13"/>
        <v>0</v>
      </c>
      <c r="J230" s="33" t="str">
        <f t="shared" si="14"/>
        <v/>
      </c>
      <c r="K230" s="2"/>
      <c r="L230" s="15"/>
      <c r="M230" s="34">
        <f t="shared" si="15"/>
        <v>0</v>
      </c>
    </row>
    <row r="231" spans="1:13" x14ac:dyDescent="0.25">
      <c r="A231" s="31"/>
      <c r="B231" s="16" t="str">
        <f>IFERROR(VLOOKUP(A231,Consolidado!$B$1:$L$1500,2,FALSE),"")</f>
        <v/>
      </c>
      <c r="C231" s="16">
        <f>IFERROR(SUMIF(Consolidado!$B$1:$B$1500,VLOOKUP(RegistroPago!A231,Consolidado!$B$1:$L$1500,1,FALSE),Consolidado!$G$1:$G$1500),"")</f>
        <v>0</v>
      </c>
      <c r="D231" s="3"/>
      <c r="E231" s="3"/>
      <c r="F231" s="5" t="str">
        <f t="shared" si="12"/>
        <v/>
      </c>
      <c r="G231" s="16" t="str">
        <f>IF(D231&lt;&gt;"",D231-VLOOKUP(A231,Consolidado!$B$1:$L$1500,8,FALSE),"")</f>
        <v/>
      </c>
      <c r="H231" s="31"/>
      <c r="I231" s="32">
        <f t="shared" si="13"/>
        <v>0</v>
      </c>
      <c r="J231" s="33" t="str">
        <f t="shared" si="14"/>
        <v/>
      </c>
      <c r="K231" s="2"/>
      <c r="L231" s="15"/>
      <c r="M231" s="34">
        <f t="shared" si="15"/>
        <v>0</v>
      </c>
    </row>
    <row r="232" spans="1:13" x14ac:dyDescent="0.25">
      <c r="A232" s="31"/>
      <c r="B232" s="16" t="str">
        <f>IFERROR(VLOOKUP(A232,Consolidado!$B$1:$L$1500,2,FALSE),"")</f>
        <v/>
      </c>
      <c r="C232" s="16">
        <f>IFERROR(SUMIF(Consolidado!$B$1:$B$1500,VLOOKUP(RegistroPago!A232,Consolidado!$B$1:$L$1500,1,FALSE),Consolidado!$G$1:$G$1500),"")</f>
        <v>0</v>
      </c>
      <c r="D232" s="3"/>
      <c r="E232" s="3"/>
      <c r="F232" s="5" t="str">
        <f t="shared" si="12"/>
        <v/>
      </c>
      <c r="G232" s="16" t="str">
        <f>IF(D232&lt;&gt;"",D232-VLOOKUP(A232,Consolidado!$B$1:$L$1500,8,FALSE),"")</f>
        <v/>
      </c>
      <c r="H232" s="31"/>
      <c r="I232" s="32">
        <f t="shared" si="13"/>
        <v>0</v>
      </c>
      <c r="J232" s="33" t="str">
        <f t="shared" si="14"/>
        <v/>
      </c>
      <c r="K232" s="2"/>
      <c r="L232" s="15"/>
      <c r="M232" s="34">
        <f t="shared" si="15"/>
        <v>0</v>
      </c>
    </row>
    <row r="233" spans="1:13" x14ac:dyDescent="0.25">
      <c r="A233" s="31"/>
      <c r="B233" s="16" t="str">
        <f>IFERROR(VLOOKUP(A233,Consolidado!$B$1:$L$1500,2,FALSE),"")</f>
        <v/>
      </c>
      <c r="C233" s="16">
        <f>IFERROR(SUMIF(Consolidado!$B$1:$B$1500,VLOOKUP(RegistroPago!A233,Consolidado!$B$1:$L$1500,1,FALSE),Consolidado!$G$1:$G$1500),"")</f>
        <v>0</v>
      </c>
      <c r="D233" s="3"/>
      <c r="E233" s="3"/>
      <c r="F233" s="5" t="str">
        <f t="shared" si="12"/>
        <v/>
      </c>
      <c r="G233" s="16" t="str">
        <f>IF(D233&lt;&gt;"",D233-VLOOKUP(A233,Consolidado!$B$1:$L$1500,8,FALSE),"")</f>
        <v/>
      </c>
      <c r="H233" s="31"/>
      <c r="I233" s="32">
        <f t="shared" si="13"/>
        <v>0</v>
      </c>
      <c r="J233" s="33" t="str">
        <f t="shared" si="14"/>
        <v/>
      </c>
      <c r="K233" s="2"/>
      <c r="L233" s="15"/>
      <c r="M233" s="34">
        <f t="shared" si="15"/>
        <v>0</v>
      </c>
    </row>
    <row r="234" spans="1:13" x14ac:dyDescent="0.25">
      <c r="A234" s="31"/>
      <c r="B234" s="16" t="str">
        <f>IFERROR(VLOOKUP(A234,Consolidado!$B$1:$L$1500,2,FALSE),"")</f>
        <v/>
      </c>
      <c r="C234" s="16">
        <f>IFERROR(SUMIF(Consolidado!$B$1:$B$1500,VLOOKUP(RegistroPago!A234,Consolidado!$B$1:$L$1500,1,FALSE),Consolidado!$G$1:$G$1500),"")</f>
        <v>0</v>
      </c>
      <c r="D234" s="3"/>
      <c r="E234" s="3"/>
      <c r="F234" s="5" t="str">
        <f t="shared" si="12"/>
        <v/>
      </c>
      <c r="G234" s="16" t="str">
        <f>IF(D234&lt;&gt;"",D234-VLOOKUP(A234,Consolidado!$B$1:$L$1500,8,FALSE),"")</f>
        <v/>
      </c>
      <c r="H234" s="31"/>
      <c r="I234" s="32">
        <f t="shared" si="13"/>
        <v>0</v>
      </c>
      <c r="J234" s="33" t="str">
        <f t="shared" si="14"/>
        <v/>
      </c>
      <c r="K234" s="2"/>
      <c r="L234" s="15"/>
      <c r="M234" s="34">
        <f t="shared" si="15"/>
        <v>0</v>
      </c>
    </row>
    <row r="235" spans="1:13" x14ac:dyDescent="0.25">
      <c r="A235" s="31"/>
      <c r="B235" s="16" t="str">
        <f>IFERROR(VLOOKUP(A235,Consolidado!$B$1:$L$1500,2,FALSE),"")</f>
        <v/>
      </c>
      <c r="C235" s="16">
        <f>IFERROR(SUMIF(Consolidado!$B$1:$B$1500,VLOOKUP(RegistroPago!A235,Consolidado!$B$1:$L$1500,1,FALSE),Consolidado!$G$1:$G$1500),"")</f>
        <v>0</v>
      </c>
      <c r="D235" s="3"/>
      <c r="E235" s="3"/>
      <c r="F235" s="5" t="str">
        <f t="shared" si="12"/>
        <v/>
      </c>
      <c r="G235" s="16" t="str">
        <f>IF(D235&lt;&gt;"",D235-VLOOKUP(A235,Consolidado!$B$1:$L$1500,8,FALSE),"")</f>
        <v/>
      </c>
      <c r="H235" s="31"/>
      <c r="I235" s="32">
        <f t="shared" si="13"/>
        <v>0</v>
      </c>
      <c r="J235" s="33" t="str">
        <f t="shared" si="14"/>
        <v/>
      </c>
      <c r="K235" s="2"/>
      <c r="L235" s="15"/>
      <c r="M235" s="34">
        <f t="shared" si="15"/>
        <v>0</v>
      </c>
    </row>
    <row r="236" spans="1:13" x14ac:dyDescent="0.25">
      <c r="A236" s="31"/>
      <c r="B236" s="16" t="str">
        <f>IFERROR(VLOOKUP(A236,Consolidado!$B$1:$L$1500,2,FALSE),"")</f>
        <v/>
      </c>
      <c r="C236" s="16">
        <f>IFERROR(SUMIF(Consolidado!$B$1:$B$1500,VLOOKUP(RegistroPago!A236,Consolidado!$B$1:$L$1500,1,FALSE),Consolidado!$G$1:$G$1500),"")</f>
        <v>0</v>
      </c>
      <c r="D236" s="3"/>
      <c r="E236" s="3"/>
      <c r="F236" s="5" t="str">
        <f t="shared" si="12"/>
        <v/>
      </c>
      <c r="G236" s="16" t="str">
        <f>IF(D236&lt;&gt;"",D236-VLOOKUP(A236,Consolidado!$B$1:$L$1500,8,FALSE),"")</f>
        <v/>
      </c>
      <c r="H236" s="31"/>
      <c r="I236" s="32">
        <f t="shared" si="13"/>
        <v>0</v>
      </c>
      <c r="J236" s="33" t="str">
        <f t="shared" si="14"/>
        <v/>
      </c>
      <c r="K236" s="2"/>
      <c r="L236" s="15"/>
      <c r="M236" s="34">
        <f t="shared" si="15"/>
        <v>0</v>
      </c>
    </row>
    <row r="237" spans="1:13" x14ac:dyDescent="0.25">
      <c r="A237" s="31"/>
      <c r="B237" s="16" t="str">
        <f>IFERROR(VLOOKUP(A237,Consolidado!$B$1:$L$1500,2,FALSE),"")</f>
        <v/>
      </c>
      <c r="C237" s="16">
        <f>IFERROR(SUMIF(Consolidado!$B$1:$B$1500,VLOOKUP(RegistroPago!A237,Consolidado!$B$1:$L$1500,1,FALSE),Consolidado!$G$1:$G$1500),"")</f>
        <v>0</v>
      </c>
      <c r="D237" s="3"/>
      <c r="E237" s="3"/>
      <c r="F237" s="5" t="str">
        <f t="shared" si="12"/>
        <v/>
      </c>
      <c r="G237" s="16" t="str">
        <f>IF(D237&lt;&gt;"",D237-VLOOKUP(A237,Consolidado!$B$1:$L$1500,8,FALSE),"")</f>
        <v/>
      </c>
      <c r="H237" s="31"/>
      <c r="I237" s="32">
        <f t="shared" si="13"/>
        <v>0</v>
      </c>
      <c r="J237" s="33" t="str">
        <f t="shared" si="14"/>
        <v/>
      </c>
      <c r="K237" s="2"/>
      <c r="L237" s="15"/>
      <c r="M237" s="34">
        <f t="shared" si="15"/>
        <v>0</v>
      </c>
    </row>
    <row r="238" spans="1:13" x14ac:dyDescent="0.25">
      <c r="A238" s="31"/>
      <c r="B238" s="16" t="str">
        <f>IFERROR(VLOOKUP(A238,Consolidado!$B$1:$L$1500,2,FALSE),"")</f>
        <v/>
      </c>
      <c r="C238" s="16">
        <f>IFERROR(SUMIF(Consolidado!$B$1:$B$1500,VLOOKUP(RegistroPago!A238,Consolidado!$B$1:$L$1500,1,FALSE),Consolidado!$G$1:$G$1500),"")</f>
        <v>0</v>
      </c>
      <c r="D238" s="3"/>
      <c r="E238" s="3"/>
      <c r="F238" s="5" t="str">
        <f t="shared" si="12"/>
        <v/>
      </c>
      <c r="G238" s="16" t="str">
        <f>IF(D238&lt;&gt;"",D238-VLOOKUP(A238,Consolidado!$B$1:$L$1500,8,FALSE),"")</f>
        <v/>
      </c>
      <c r="H238" s="31"/>
      <c r="I238" s="32">
        <f t="shared" si="13"/>
        <v>0</v>
      </c>
      <c r="J238" s="33" t="str">
        <f t="shared" si="14"/>
        <v/>
      </c>
      <c r="K238" s="2"/>
      <c r="L238" s="15"/>
      <c r="M238" s="34">
        <f t="shared" si="15"/>
        <v>0</v>
      </c>
    </row>
    <row r="239" spans="1:13" x14ac:dyDescent="0.25">
      <c r="A239" s="31"/>
      <c r="B239" s="16" t="str">
        <f>IFERROR(VLOOKUP(A239,Consolidado!$B$1:$L$1500,2,FALSE),"")</f>
        <v/>
      </c>
      <c r="C239" s="16">
        <f>IFERROR(SUMIF(Consolidado!$B$1:$B$1500,VLOOKUP(RegistroPago!A239,Consolidado!$B$1:$L$1500,1,FALSE),Consolidado!$G$1:$G$1500),"")</f>
        <v>0</v>
      </c>
      <c r="D239" s="3"/>
      <c r="E239" s="3"/>
      <c r="F239" s="5" t="str">
        <f t="shared" si="12"/>
        <v/>
      </c>
      <c r="G239" s="16" t="str">
        <f>IF(D239&lt;&gt;"",D239-VLOOKUP(A239,Consolidado!$B$1:$L$1500,8,FALSE),"")</f>
        <v/>
      </c>
      <c r="H239" s="31"/>
      <c r="I239" s="32">
        <f t="shared" si="13"/>
        <v>0</v>
      </c>
      <c r="J239" s="33" t="str">
        <f t="shared" si="14"/>
        <v/>
      </c>
      <c r="K239" s="2"/>
      <c r="L239" s="15"/>
      <c r="M239" s="34">
        <f t="shared" si="15"/>
        <v>0</v>
      </c>
    </row>
    <row r="240" spans="1:13" x14ac:dyDescent="0.25">
      <c r="A240" s="31"/>
      <c r="B240" s="16" t="str">
        <f>IFERROR(VLOOKUP(A240,Consolidado!$B$1:$L$1500,2,FALSE),"")</f>
        <v/>
      </c>
      <c r="C240" s="16">
        <f>IFERROR(SUMIF(Consolidado!$B$1:$B$1500,VLOOKUP(RegistroPago!A240,Consolidado!$B$1:$L$1500,1,FALSE),Consolidado!$G$1:$G$1500),"")</f>
        <v>0</v>
      </c>
      <c r="D240" s="3"/>
      <c r="E240" s="3"/>
      <c r="F240" s="5" t="str">
        <f t="shared" si="12"/>
        <v/>
      </c>
      <c r="G240" s="16" t="str">
        <f>IF(D240&lt;&gt;"",D240-VLOOKUP(A240,Consolidado!$B$1:$L$1500,8,FALSE),"")</f>
        <v/>
      </c>
      <c r="H240" s="31"/>
      <c r="I240" s="32">
        <f t="shared" si="13"/>
        <v>0</v>
      </c>
      <c r="J240" s="33" t="str">
        <f t="shared" si="14"/>
        <v/>
      </c>
      <c r="K240" s="2"/>
      <c r="L240" s="15"/>
      <c r="M240" s="34">
        <f t="shared" si="15"/>
        <v>0</v>
      </c>
    </row>
    <row r="241" spans="1:13" x14ac:dyDescent="0.25">
      <c r="A241" s="31"/>
      <c r="B241" s="16" t="str">
        <f>IFERROR(VLOOKUP(A241,Consolidado!$B$1:$L$1500,2,FALSE),"")</f>
        <v/>
      </c>
      <c r="C241" s="16">
        <f>IFERROR(SUMIF(Consolidado!$B$1:$B$1500,VLOOKUP(RegistroPago!A241,Consolidado!$B$1:$L$1500,1,FALSE),Consolidado!$G$1:$G$1500),"")</f>
        <v>0</v>
      </c>
      <c r="D241" s="3"/>
      <c r="E241" s="3"/>
      <c r="F241" s="5" t="str">
        <f t="shared" si="12"/>
        <v/>
      </c>
      <c r="G241" s="16" t="str">
        <f>IF(D241&lt;&gt;"",D241-VLOOKUP(A241,Consolidado!$B$1:$L$1500,8,FALSE),"")</f>
        <v/>
      </c>
      <c r="H241" s="31"/>
      <c r="I241" s="32">
        <f t="shared" si="13"/>
        <v>0</v>
      </c>
      <c r="J241" s="33" t="str">
        <f t="shared" si="14"/>
        <v/>
      </c>
      <c r="K241" s="2"/>
      <c r="L241" s="15"/>
      <c r="M241" s="34">
        <f t="shared" si="15"/>
        <v>0</v>
      </c>
    </row>
    <row r="242" spans="1:13" x14ac:dyDescent="0.25">
      <c r="A242" s="31"/>
      <c r="B242" s="16" t="str">
        <f>IFERROR(VLOOKUP(A242,Consolidado!$B$1:$L$1500,2,FALSE),"")</f>
        <v/>
      </c>
      <c r="C242" s="16">
        <f>IFERROR(SUMIF(Consolidado!$B$1:$B$1500,VLOOKUP(RegistroPago!A242,Consolidado!$B$1:$L$1500,1,FALSE),Consolidado!$G$1:$G$1500),"")</f>
        <v>0</v>
      </c>
      <c r="D242" s="3"/>
      <c r="E242" s="3"/>
      <c r="F242" s="5" t="str">
        <f t="shared" si="12"/>
        <v/>
      </c>
      <c r="G242" s="16" t="str">
        <f>IF(D242&lt;&gt;"",D242-VLOOKUP(A242,Consolidado!$B$1:$L$1500,8,FALSE),"")</f>
        <v/>
      </c>
      <c r="H242" s="31"/>
      <c r="I242" s="32">
        <f t="shared" si="13"/>
        <v>0</v>
      </c>
      <c r="J242" s="33" t="str">
        <f t="shared" si="14"/>
        <v/>
      </c>
      <c r="K242" s="2"/>
      <c r="L242" s="15"/>
      <c r="M242" s="34">
        <f t="shared" si="15"/>
        <v>0</v>
      </c>
    </row>
    <row r="243" spans="1:13" x14ac:dyDescent="0.25">
      <c r="A243" s="31"/>
      <c r="B243" s="16" t="str">
        <f>IFERROR(VLOOKUP(A243,Consolidado!$B$1:$L$1500,2,FALSE),"")</f>
        <v/>
      </c>
      <c r="C243" s="16">
        <f>IFERROR(SUMIF(Consolidado!$B$1:$B$1500,VLOOKUP(RegistroPago!A243,Consolidado!$B$1:$L$1500,1,FALSE),Consolidado!$G$1:$G$1500),"")</f>
        <v>0</v>
      </c>
      <c r="D243" s="3"/>
      <c r="E243" s="3"/>
      <c r="F243" s="5" t="str">
        <f t="shared" si="12"/>
        <v/>
      </c>
      <c r="G243" s="16" t="str">
        <f>IF(D243&lt;&gt;"",D243-VLOOKUP(A243,Consolidado!$B$1:$L$1500,8,FALSE),"")</f>
        <v/>
      </c>
      <c r="H243" s="31"/>
      <c r="I243" s="32">
        <f t="shared" si="13"/>
        <v>0</v>
      </c>
      <c r="J243" s="33" t="str">
        <f t="shared" si="14"/>
        <v/>
      </c>
      <c r="K243" s="2"/>
      <c r="L243" s="15"/>
      <c r="M243" s="34">
        <f t="shared" si="15"/>
        <v>0</v>
      </c>
    </row>
    <row r="244" spans="1:13" x14ac:dyDescent="0.25">
      <c r="A244" s="31"/>
      <c r="B244" s="16" t="str">
        <f>IFERROR(VLOOKUP(A244,Consolidado!$B$1:$L$1500,2,FALSE),"")</f>
        <v/>
      </c>
      <c r="C244" s="16">
        <f>IFERROR(SUMIF(Consolidado!$B$1:$B$1500,VLOOKUP(RegistroPago!A244,Consolidado!$B$1:$L$1500,1,FALSE),Consolidado!$G$1:$G$1500),"")</f>
        <v>0</v>
      </c>
      <c r="D244" s="3"/>
      <c r="E244" s="3"/>
      <c r="F244" s="5" t="str">
        <f t="shared" si="12"/>
        <v/>
      </c>
      <c r="G244" s="16" t="str">
        <f>IF(D244&lt;&gt;"",D244-VLOOKUP(A244,Consolidado!$B$1:$L$1500,8,FALSE),"")</f>
        <v/>
      </c>
      <c r="H244" s="31"/>
      <c r="I244" s="32">
        <f t="shared" si="13"/>
        <v>0</v>
      </c>
      <c r="J244" s="33" t="str">
        <f t="shared" si="14"/>
        <v/>
      </c>
      <c r="K244" s="2"/>
      <c r="L244" s="15"/>
      <c r="M244" s="34">
        <f t="shared" si="15"/>
        <v>0</v>
      </c>
    </row>
    <row r="245" spans="1:13" x14ac:dyDescent="0.25">
      <c r="A245" s="31"/>
      <c r="B245" s="16" t="str">
        <f>IFERROR(VLOOKUP(A245,Consolidado!$B$1:$L$1500,2,FALSE),"")</f>
        <v/>
      </c>
      <c r="C245" s="16">
        <f>IFERROR(SUMIF(Consolidado!$B$1:$B$1500,VLOOKUP(RegistroPago!A245,Consolidado!$B$1:$L$1500,1,FALSE),Consolidado!$G$1:$G$1500),"")</f>
        <v>0</v>
      </c>
      <c r="D245" s="3"/>
      <c r="E245" s="3"/>
      <c r="F245" s="5" t="str">
        <f t="shared" si="12"/>
        <v/>
      </c>
      <c r="G245" s="16" t="str">
        <f>IF(D245&lt;&gt;"",D245-VLOOKUP(A245,Consolidado!$B$1:$L$1500,8,FALSE),"")</f>
        <v/>
      </c>
      <c r="H245" s="31"/>
      <c r="I245" s="32">
        <f t="shared" si="13"/>
        <v>0</v>
      </c>
      <c r="J245" s="33" t="str">
        <f t="shared" si="14"/>
        <v/>
      </c>
      <c r="K245" s="2"/>
      <c r="L245" s="15"/>
      <c r="M245" s="34">
        <f t="shared" si="15"/>
        <v>0</v>
      </c>
    </row>
    <row r="246" spans="1:13" x14ac:dyDescent="0.25">
      <c r="A246" s="31"/>
      <c r="B246" s="16" t="str">
        <f>IFERROR(VLOOKUP(A246,Consolidado!$B$1:$L$1500,2,FALSE),"")</f>
        <v/>
      </c>
      <c r="C246" s="16">
        <f>IFERROR(SUMIF(Consolidado!$B$1:$B$1500,VLOOKUP(RegistroPago!A246,Consolidado!$B$1:$L$1500,1,FALSE),Consolidado!$G$1:$G$1500),"")</f>
        <v>0</v>
      </c>
      <c r="D246" s="3"/>
      <c r="E246" s="3"/>
      <c r="F246" s="5" t="str">
        <f t="shared" si="12"/>
        <v/>
      </c>
      <c r="G246" s="16" t="str">
        <f>IF(D246&lt;&gt;"",D246-VLOOKUP(A246,Consolidado!$B$1:$L$1500,8,FALSE),"")</f>
        <v/>
      </c>
      <c r="H246" s="31"/>
      <c r="I246" s="32">
        <f t="shared" si="13"/>
        <v>0</v>
      </c>
      <c r="J246" s="33" t="str">
        <f t="shared" si="14"/>
        <v/>
      </c>
      <c r="K246" s="2"/>
      <c r="L246" s="15"/>
      <c r="M246" s="34">
        <f t="shared" si="15"/>
        <v>0</v>
      </c>
    </row>
    <row r="247" spans="1:13" x14ac:dyDescent="0.25">
      <c r="A247" s="31"/>
      <c r="B247" s="16" t="str">
        <f>IFERROR(VLOOKUP(A247,Consolidado!$B$1:$L$1500,2,FALSE),"")</f>
        <v/>
      </c>
      <c r="C247" s="16">
        <f>IFERROR(SUMIF(Consolidado!$B$1:$B$1500,VLOOKUP(RegistroPago!A247,Consolidado!$B$1:$L$1500,1,FALSE),Consolidado!$G$1:$G$1500),"")</f>
        <v>0</v>
      </c>
      <c r="D247" s="3"/>
      <c r="E247" s="3"/>
      <c r="F247" s="5" t="str">
        <f t="shared" si="12"/>
        <v/>
      </c>
      <c r="G247" s="16" t="str">
        <f>IF(D247&lt;&gt;"",D247-VLOOKUP(A247,Consolidado!$B$1:$L$1500,8,FALSE),"")</f>
        <v/>
      </c>
      <c r="H247" s="31"/>
      <c r="I247" s="32">
        <f t="shared" si="13"/>
        <v>0</v>
      </c>
      <c r="J247" s="33" t="str">
        <f t="shared" si="14"/>
        <v/>
      </c>
      <c r="K247" s="2"/>
      <c r="L247" s="15"/>
      <c r="M247" s="34">
        <f t="shared" si="15"/>
        <v>0</v>
      </c>
    </row>
    <row r="248" spans="1:13" x14ac:dyDescent="0.25">
      <c r="A248" s="31"/>
      <c r="B248" s="16" t="str">
        <f>IFERROR(VLOOKUP(A248,Consolidado!$B$1:$L$1500,2,FALSE),"")</f>
        <v/>
      </c>
      <c r="C248" s="16">
        <f>IFERROR(SUMIF(Consolidado!$B$1:$B$1500,VLOOKUP(RegistroPago!A248,Consolidado!$B$1:$L$1500,1,FALSE),Consolidado!$G$1:$G$1500),"")</f>
        <v>0</v>
      </c>
      <c r="D248" s="3"/>
      <c r="E248" s="3"/>
      <c r="F248" s="5" t="str">
        <f t="shared" si="12"/>
        <v/>
      </c>
      <c r="G248" s="16" t="str">
        <f>IF(D248&lt;&gt;"",D248-VLOOKUP(A248,Consolidado!$B$1:$L$1500,8,FALSE),"")</f>
        <v/>
      </c>
      <c r="H248" s="31"/>
      <c r="I248" s="32">
        <f t="shared" si="13"/>
        <v>0</v>
      </c>
      <c r="J248" s="33" t="str">
        <f t="shared" si="14"/>
        <v/>
      </c>
      <c r="K248" s="2"/>
      <c r="L248" s="15"/>
      <c r="M248" s="34">
        <f t="shared" si="15"/>
        <v>0</v>
      </c>
    </row>
    <row r="249" spans="1:13" x14ac:dyDescent="0.25">
      <c r="A249" s="31"/>
      <c r="B249" s="16" t="str">
        <f>IFERROR(VLOOKUP(A249,Consolidado!$B$1:$L$1500,2,FALSE),"")</f>
        <v/>
      </c>
      <c r="C249" s="16">
        <f>IFERROR(SUMIF(Consolidado!$B$1:$B$1500,VLOOKUP(RegistroPago!A249,Consolidado!$B$1:$L$1500,1,FALSE),Consolidado!$G$1:$G$1500),"")</f>
        <v>0</v>
      </c>
      <c r="D249" s="3"/>
      <c r="E249" s="3"/>
      <c r="F249" s="5" t="str">
        <f t="shared" si="12"/>
        <v/>
      </c>
      <c r="G249" s="16" t="str">
        <f>IF(D249&lt;&gt;"",D249-VLOOKUP(A249,Consolidado!$B$1:$L$1500,8,FALSE),"")</f>
        <v/>
      </c>
      <c r="H249" s="31"/>
      <c r="I249" s="32">
        <f t="shared" si="13"/>
        <v>0</v>
      </c>
      <c r="J249" s="33" t="str">
        <f t="shared" si="14"/>
        <v/>
      </c>
      <c r="K249" s="2"/>
      <c r="L249" s="15"/>
      <c r="M249" s="34">
        <f t="shared" si="15"/>
        <v>0</v>
      </c>
    </row>
    <row r="250" spans="1:13" x14ac:dyDescent="0.25">
      <c r="A250" s="31"/>
      <c r="B250" s="16" t="str">
        <f>IFERROR(VLOOKUP(A250,Consolidado!$B$1:$L$1500,2,FALSE),"")</f>
        <v/>
      </c>
      <c r="C250" s="16">
        <f>IFERROR(SUMIF(Consolidado!$B$1:$B$1500,VLOOKUP(RegistroPago!A250,Consolidado!$B$1:$L$1500,1,FALSE),Consolidado!$G$1:$G$1500),"")</f>
        <v>0</v>
      </c>
      <c r="D250" s="3"/>
      <c r="E250" s="3"/>
      <c r="F250" s="5" t="str">
        <f t="shared" si="12"/>
        <v/>
      </c>
      <c r="G250" s="16" t="str">
        <f>IF(D250&lt;&gt;"",D250-VLOOKUP(A250,Consolidado!$B$1:$L$1500,8,FALSE),"")</f>
        <v/>
      </c>
      <c r="H250" s="31"/>
      <c r="I250" s="32">
        <f t="shared" si="13"/>
        <v>0</v>
      </c>
      <c r="J250" s="33" t="str">
        <f t="shared" si="14"/>
        <v/>
      </c>
      <c r="K250" s="2"/>
      <c r="L250" s="15"/>
      <c r="M250" s="34">
        <f t="shared" si="15"/>
        <v>0</v>
      </c>
    </row>
    <row r="251" spans="1:13" x14ac:dyDescent="0.25">
      <c r="A251" s="31"/>
      <c r="B251" s="16" t="str">
        <f>IFERROR(VLOOKUP(A251,Consolidado!$B$1:$L$1500,2,FALSE),"")</f>
        <v/>
      </c>
      <c r="C251" s="16">
        <f>IFERROR(SUMIF(Consolidado!$B$1:$B$1500,VLOOKUP(RegistroPago!A251,Consolidado!$B$1:$L$1500,1,FALSE),Consolidado!$G$1:$G$1500),"")</f>
        <v>0</v>
      </c>
      <c r="D251" s="3"/>
      <c r="E251" s="3"/>
      <c r="F251" s="5" t="str">
        <f t="shared" si="12"/>
        <v/>
      </c>
      <c r="G251" s="16" t="str">
        <f>IF(D251&lt;&gt;"",D251-VLOOKUP(A251,Consolidado!$B$1:$L$1500,8,FALSE),"")</f>
        <v/>
      </c>
      <c r="H251" s="31"/>
      <c r="I251" s="32">
        <f t="shared" si="13"/>
        <v>0</v>
      </c>
      <c r="J251" s="33" t="str">
        <f t="shared" si="14"/>
        <v/>
      </c>
      <c r="K251" s="2"/>
      <c r="L251" s="15"/>
      <c r="M251" s="34">
        <f t="shared" si="15"/>
        <v>0</v>
      </c>
    </row>
    <row r="252" spans="1:13" x14ac:dyDescent="0.25">
      <c r="A252" s="31"/>
      <c r="B252" s="16" t="str">
        <f>IFERROR(VLOOKUP(A252,Consolidado!$B$1:$L$1500,2,FALSE),"")</f>
        <v/>
      </c>
      <c r="C252" s="16">
        <f>IFERROR(SUMIF(Consolidado!$B$1:$B$1500,VLOOKUP(RegistroPago!A252,Consolidado!$B$1:$L$1500,1,FALSE),Consolidado!$G$1:$G$1500),"")</f>
        <v>0</v>
      </c>
      <c r="D252" s="3"/>
      <c r="E252" s="3"/>
      <c r="F252" s="5" t="str">
        <f t="shared" si="12"/>
        <v/>
      </c>
      <c r="G252" s="16" t="str">
        <f>IF(D252&lt;&gt;"",D252-VLOOKUP(A252,Consolidado!$B$1:$L$1500,8,FALSE),"")</f>
        <v/>
      </c>
      <c r="H252" s="31"/>
      <c r="I252" s="32">
        <f t="shared" si="13"/>
        <v>0</v>
      </c>
      <c r="J252" s="33" t="str">
        <f t="shared" si="14"/>
        <v/>
      </c>
      <c r="K252" s="2"/>
      <c r="L252" s="15"/>
      <c r="M252" s="34">
        <f t="shared" si="15"/>
        <v>0</v>
      </c>
    </row>
    <row r="253" spans="1:13" x14ac:dyDescent="0.25">
      <c r="A253" s="31"/>
      <c r="B253" s="16" t="str">
        <f>IFERROR(VLOOKUP(A253,Consolidado!$B$1:$L$1500,2,FALSE),"")</f>
        <v/>
      </c>
      <c r="C253" s="16">
        <f>IFERROR(SUMIF(Consolidado!$B$1:$B$1500,VLOOKUP(RegistroPago!A253,Consolidado!$B$1:$L$1500,1,FALSE),Consolidado!$G$1:$G$1500),"")</f>
        <v>0</v>
      </c>
      <c r="D253" s="3"/>
      <c r="E253" s="3"/>
      <c r="F253" s="5" t="str">
        <f t="shared" si="12"/>
        <v/>
      </c>
      <c r="G253" s="16" t="str">
        <f>IF(D253&lt;&gt;"",D253-VLOOKUP(A253,Consolidado!$B$1:$L$1500,8,FALSE),"")</f>
        <v/>
      </c>
      <c r="H253" s="31"/>
      <c r="I253" s="32">
        <f t="shared" si="13"/>
        <v>0</v>
      </c>
      <c r="J253" s="33" t="str">
        <f t="shared" si="14"/>
        <v/>
      </c>
      <c r="K253" s="2"/>
      <c r="L253" s="15"/>
      <c r="M253" s="34">
        <f t="shared" si="15"/>
        <v>0</v>
      </c>
    </row>
    <row r="254" spans="1:13" x14ac:dyDescent="0.25">
      <c r="A254" s="31"/>
      <c r="B254" s="16" t="str">
        <f>IFERROR(VLOOKUP(A254,Consolidado!$B$1:$L$1500,2,FALSE),"")</f>
        <v/>
      </c>
      <c r="C254" s="16">
        <f>IFERROR(SUMIF(Consolidado!$B$1:$B$1500,VLOOKUP(RegistroPago!A254,Consolidado!$B$1:$L$1500,1,FALSE),Consolidado!$G$1:$G$1500),"")</f>
        <v>0</v>
      </c>
      <c r="D254" s="3"/>
      <c r="E254" s="3"/>
      <c r="F254" s="5" t="str">
        <f t="shared" si="12"/>
        <v/>
      </c>
      <c r="G254" s="16" t="str">
        <f>IF(D254&lt;&gt;"",D254-VLOOKUP(A254,Consolidado!$B$1:$L$1500,8,FALSE),"")</f>
        <v/>
      </c>
      <c r="H254" s="31"/>
      <c r="I254" s="32">
        <f t="shared" si="13"/>
        <v>0</v>
      </c>
      <c r="J254" s="33" t="str">
        <f t="shared" si="14"/>
        <v/>
      </c>
      <c r="K254" s="2"/>
      <c r="L254" s="15"/>
      <c r="M254" s="34">
        <f t="shared" si="15"/>
        <v>0</v>
      </c>
    </row>
    <row r="255" spans="1:13" x14ac:dyDescent="0.25">
      <c r="A255" s="31"/>
      <c r="B255" s="16" t="str">
        <f>IFERROR(VLOOKUP(A255,Consolidado!$B$1:$L$1500,2,FALSE),"")</f>
        <v/>
      </c>
      <c r="C255" s="16">
        <f>IFERROR(SUMIF(Consolidado!$B$1:$B$1500,VLOOKUP(RegistroPago!A255,Consolidado!$B$1:$L$1500,1,FALSE),Consolidado!$G$1:$G$1500),"")</f>
        <v>0</v>
      </c>
      <c r="D255" s="3"/>
      <c r="E255" s="3"/>
      <c r="F255" s="5" t="str">
        <f t="shared" si="12"/>
        <v/>
      </c>
      <c r="G255" s="16" t="str">
        <f>IF(D255&lt;&gt;"",D255-VLOOKUP(A255,Consolidado!$B$1:$L$1500,8,FALSE),"")</f>
        <v/>
      </c>
      <c r="H255" s="31"/>
      <c r="I255" s="32">
        <f t="shared" si="13"/>
        <v>0</v>
      </c>
      <c r="J255" s="33" t="str">
        <f t="shared" si="14"/>
        <v/>
      </c>
      <c r="K255" s="2"/>
      <c r="L255" s="15"/>
      <c r="M255" s="34">
        <f t="shared" si="15"/>
        <v>0</v>
      </c>
    </row>
    <row r="256" spans="1:13" x14ac:dyDescent="0.25">
      <c r="A256" s="31"/>
      <c r="B256" s="16" t="str">
        <f>IFERROR(VLOOKUP(A256,Consolidado!$B$1:$L$1500,2,FALSE),"")</f>
        <v/>
      </c>
      <c r="C256" s="16">
        <f>IFERROR(SUMIF(Consolidado!$B$1:$B$1500,VLOOKUP(RegistroPago!A256,Consolidado!$B$1:$L$1500,1,FALSE),Consolidado!$G$1:$G$1500),"")</f>
        <v>0</v>
      </c>
      <c r="D256" s="3"/>
      <c r="E256" s="3"/>
      <c r="F256" s="5" t="str">
        <f t="shared" si="12"/>
        <v/>
      </c>
      <c r="G256" s="16" t="str">
        <f>IF(D256&lt;&gt;"",D256-VLOOKUP(A256,Consolidado!$B$1:$L$1500,8,FALSE),"")</f>
        <v/>
      </c>
      <c r="H256" s="31"/>
      <c r="I256" s="32">
        <f t="shared" si="13"/>
        <v>0</v>
      </c>
      <c r="J256" s="33" t="str">
        <f t="shared" si="14"/>
        <v/>
      </c>
      <c r="K256" s="2"/>
      <c r="L256" s="15"/>
      <c r="M256" s="34">
        <f t="shared" si="15"/>
        <v>0</v>
      </c>
    </row>
    <row r="257" spans="1:13" x14ac:dyDescent="0.25">
      <c r="A257" s="31"/>
      <c r="B257" s="16" t="str">
        <f>IFERROR(VLOOKUP(A257,Consolidado!$B$1:$L$1500,2,FALSE),"")</f>
        <v/>
      </c>
      <c r="C257" s="16">
        <f>IFERROR(SUMIF(Consolidado!$B$1:$B$1500,VLOOKUP(RegistroPago!A257,Consolidado!$B$1:$L$1500,1,FALSE),Consolidado!$G$1:$G$1500),"")</f>
        <v>0</v>
      </c>
      <c r="D257" s="3"/>
      <c r="E257" s="3"/>
      <c r="F257" s="5" t="str">
        <f t="shared" si="12"/>
        <v/>
      </c>
      <c r="G257" s="16" t="str">
        <f>IF(D257&lt;&gt;"",D257-VLOOKUP(A257,Consolidado!$B$1:$L$1500,8,FALSE),"")</f>
        <v/>
      </c>
      <c r="H257" s="31"/>
      <c r="I257" s="32">
        <f t="shared" si="13"/>
        <v>0</v>
      </c>
      <c r="J257" s="33" t="str">
        <f t="shared" si="14"/>
        <v/>
      </c>
      <c r="K257" s="2"/>
      <c r="L257" s="15"/>
      <c r="M257" s="34">
        <f t="shared" si="15"/>
        <v>0</v>
      </c>
    </row>
    <row r="258" spans="1:13" x14ac:dyDescent="0.25">
      <c r="A258" s="31"/>
      <c r="B258" s="16" t="str">
        <f>IFERROR(VLOOKUP(A258,Consolidado!$B$1:$L$1500,2,FALSE),"")</f>
        <v/>
      </c>
      <c r="C258" s="16">
        <f>IFERROR(SUMIF(Consolidado!$B$1:$B$1500,VLOOKUP(RegistroPago!A258,Consolidado!$B$1:$L$1500,1,FALSE),Consolidado!$G$1:$G$1500),"")</f>
        <v>0</v>
      </c>
      <c r="D258" s="3"/>
      <c r="E258" s="3"/>
      <c r="F258" s="5" t="str">
        <f t="shared" si="12"/>
        <v/>
      </c>
      <c r="G258" s="16" t="str">
        <f>IF(D258&lt;&gt;"",D258-VLOOKUP(A258,Consolidado!$B$1:$L$1500,8,FALSE),"")</f>
        <v/>
      </c>
      <c r="H258" s="31"/>
      <c r="I258" s="32">
        <f t="shared" si="13"/>
        <v>0</v>
      </c>
      <c r="J258" s="33" t="str">
        <f t="shared" si="14"/>
        <v/>
      </c>
      <c r="K258" s="2"/>
      <c r="L258" s="15"/>
      <c r="M258" s="34">
        <f t="shared" si="15"/>
        <v>0</v>
      </c>
    </row>
    <row r="259" spans="1:13" x14ac:dyDescent="0.25">
      <c r="A259" s="31"/>
      <c r="B259" s="16" t="str">
        <f>IFERROR(VLOOKUP(A259,Consolidado!$B$1:$L$1500,2,FALSE),"")</f>
        <v/>
      </c>
      <c r="C259" s="16">
        <f>IFERROR(SUMIF(Consolidado!$B$1:$B$1500,VLOOKUP(RegistroPago!A259,Consolidado!$B$1:$L$1500,1,FALSE),Consolidado!$G$1:$G$1500),"")</f>
        <v>0</v>
      </c>
      <c r="D259" s="3"/>
      <c r="E259" s="3"/>
      <c r="F259" s="5" t="str">
        <f t="shared" ref="F259:F322" si="16">IF(COUNTIF($E$2:$E$2000,E259)&gt;1,"Ya registrado","")</f>
        <v/>
      </c>
      <c r="G259" s="16" t="str">
        <f>IF(D259&lt;&gt;"",D259-VLOOKUP(A259,Consolidado!$B$1:$L$1500,8,FALSE),"")</f>
        <v/>
      </c>
      <c r="H259" s="31"/>
      <c r="I259" s="32">
        <f t="shared" ref="I259:I322" si="17">IFERROR(SUMIF($E$1:$E$2000,H259,$C$1:$C$2000)-SUMIF($E$1:$E$2000,H259,$F$1:$F$2000),"")</f>
        <v>0</v>
      </c>
      <c r="J259" s="33" t="str">
        <f t="shared" ref="J259:J322" si="18">IFERROR(I259/SUMIF($E$1:$E$2000,H259,$C$1:$C$2000),"")</f>
        <v/>
      </c>
      <c r="K259" s="2"/>
      <c r="L259" s="15"/>
      <c r="M259" s="34">
        <f t="shared" ref="M259:M322" si="19">IFERROR(L259*SUMIF($E$1:$E$2000,H259,$F$1:$F$2000),"")</f>
        <v>0</v>
      </c>
    </row>
    <row r="260" spans="1:13" x14ac:dyDescent="0.25">
      <c r="A260" s="31"/>
      <c r="B260" s="16" t="str">
        <f>IFERROR(VLOOKUP(A260,Consolidado!$B$1:$L$1500,2,FALSE),"")</f>
        <v/>
      </c>
      <c r="C260" s="16">
        <f>IFERROR(SUMIF(Consolidado!$B$1:$B$1500,VLOOKUP(RegistroPago!A260,Consolidado!$B$1:$L$1500,1,FALSE),Consolidado!$G$1:$G$1500),"")</f>
        <v>0</v>
      </c>
      <c r="D260" s="3"/>
      <c r="E260" s="3"/>
      <c r="F260" s="5" t="str">
        <f t="shared" si="16"/>
        <v/>
      </c>
      <c r="G260" s="16" t="str">
        <f>IF(D260&lt;&gt;"",D260-VLOOKUP(A260,Consolidado!$B$1:$L$1500,8,FALSE),"")</f>
        <v/>
      </c>
      <c r="H260" s="31"/>
      <c r="I260" s="32">
        <f t="shared" si="17"/>
        <v>0</v>
      </c>
      <c r="J260" s="33" t="str">
        <f t="shared" si="18"/>
        <v/>
      </c>
      <c r="K260" s="2"/>
      <c r="L260" s="15"/>
      <c r="M260" s="34">
        <f t="shared" si="19"/>
        <v>0</v>
      </c>
    </row>
    <row r="261" spans="1:13" x14ac:dyDescent="0.25">
      <c r="A261" s="31"/>
      <c r="B261" s="16" t="str">
        <f>IFERROR(VLOOKUP(A261,Consolidado!$B$1:$L$1500,2,FALSE),"")</f>
        <v/>
      </c>
      <c r="C261" s="16">
        <f>IFERROR(SUMIF(Consolidado!$B$1:$B$1500,VLOOKUP(RegistroPago!A261,Consolidado!$B$1:$L$1500,1,FALSE),Consolidado!$G$1:$G$1500),"")</f>
        <v>0</v>
      </c>
      <c r="D261" s="3"/>
      <c r="E261" s="3"/>
      <c r="F261" s="5" t="str">
        <f t="shared" si="16"/>
        <v/>
      </c>
      <c r="G261" s="16" t="str">
        <f>IF(D261&lt;&gt;"",D261-VLOOKUP(A261,Consolidado!$B$1:$L$1500,8,FALSE),"")</f>
        <v/>
      </c>
      <c r="H261" s="31"/>
      <c r="I261" s="32">
        <f t="shared" si="17"/>
        <v>0</v>
      </c>
      <c r="J261" s="33" t="str">
        <f t="shared" si="18"/>
        <v/>
      </c>
      <c r="K261" s="2"/>
      <c r="L261" s="15"/>
      <c r="M261" s="34">
        <f t="shared" si="19"/>
        <v>0</v>
      </c>
    </row>
    <row r="262" spans="1:13" x14ac:dyDescent="0.25">
      <c r="A262" s="31"/>
      <c r="B262" s="16" t="str">
        <f>IFERROR(VLOOKUP(A262,Consolidado!$B$1:$L$1500,2,FALSE),"")</f>
        <v/>
      </c>
      <c r="C262" s="16">
        <f>IFERROR(SUMIF(Consolidado!$B$1:$B$1500,VLOOKUP(RegistroPago!A262,Consolidado!$B$1:$L$1500,1,FALSE),Consolidado!$G$1:$G$1500),"")</f>
        <v>0</v>
      </c>
      <c r="D262" s="3"/>
      <c r="E262" s="3"/>
      <c r="F262" s="5" t="str">
        <f t="shared" si="16"/>
        <v/>
      </c>
      <c r="G262" s="16" t="str">
        <f>IF(D262&lt;&gt;"",D262-VLOOKUP(A262,Consolidado!$B$1:$L$1500,8,FALSE),"")</f>
        <v/>
      </c>
      <c r="H262" s="31"/>
      <c r="I262" s="32">
        <f t="shared" si="17"/>
        <v>0</v>
      </c>
      <c r="J262" s="33" t="str">
        <f t="shared" si="18"/>
        <v/>
      </c>
      <c r="K262" s="2"/>
      <c r="L262" s="15"/>
      <c r="M262" s="34">
        <f t="shared" si="19"/>
        <v>0</v>
      </c>
    </row>
    <row r="263" spans="1:13" x14ac:dyDescent="0.25">
      <c r="A263" s="31"/>
      <c r="B263" s="16" t="str">
        <f>IFERROR(VLOOKUP(A263,Consolidado!$B$1:$L$1500,2,FALSE),"")</f>
        <v/>
      </c>
      <c r="C263" s="16">
        <f>IFERROR(SUMIF(Consolidado!$B$1:$B$1500,VLOOKUP(RegistroPago!A263,Consolidado!$B$1:$L$1500,1,FALSE),Consolidado!$G$1:$G$1500),"")</f>
        <v>0</v>
      </c>
      <c r="D263" s="3"/>
      <c r="E263" s="3"/>
      <c r="F263" s="5" t="str">
        <f t="shared" si="16"/>
        <v/>
      </c>
      <c r="G263" s="16" t="str">
        <f>IF(D263&lt;&gt;"",D263-VLOOKUP(A263,Consolidado!$B$1:$L$1500,8,FALSE),"")</f>
        <v/>
      </c>
      <c r="H263" s="31"/>
      <c r="I263" s="32">
        <f t="shared" si="17"/>
        <v>0</v>
      </c>
      <c r="J263" s="33" t="str">
        <f t="shared" si="18"/>
        <v/>
      </c>
      <c r="K263" s="2"/>
      <c r="L263" s="15"/>
      <c r="M263" s="34">
        <f t="shared" si="19"/>
        <v>0</v>
      </c>
    </row>
    <row r="264" spans="1:13" x14ac:dyDescent="0.25">
      <c r="A264" s="31"/>
      <c r="B264" s="16" t="str">
        <f>IFERROR(VLOOKUP(A264,Consolidado!$B$1:$L$1500,2,FALSE),"")</f>
        <v/>
      </c>
      <c r="C264" s="16">
        <f>IFERROR(SUMIF(Consolidado!$B$1:$B$1500,VLOOKUP(RegistroPago!A264,Consolidado!$B$1:$L$1500,1,FALSE),Consolidado!$G$1:$G$1500),"")</f>
        <v>0</v>
      </c>
      <c r="D264" s="3"/>
      <c r="E264" s="3"/>
      <c r="F264" s="5" t="str">
        <f t="shared" si="16"/>
        <v/>
      </c>
      <c r="G264" s="16" t="str">
        <f>IF(D264&lt;&gt;"",D264-VLOOKUP(A264,Consolidado!$B$1:$L$1500,8,FALSE),"")</f>
        <v/>
      </c>
      <c r="H264" s="31"/>
      <c r="I264" s="32">
        <f t="shared" si="17"/>
        <v>0</v>
      </c>
      <c r="J264" s="33" t="str">
        <f t="shared" si="18"/>
        <v/>
      </c>
      <c r="K264" s="2"/>
      <c r="L264" s="15"/>
      <c r="M264" s="34">
        <f t="shared" si="19"/>
        <v>0</v>
      </c>
    </row>
    <row r="265" spans="1:13" x14ac:dyDescent="0.25">
      <c r="A265" s="31"/>
      <c r="B265" s="16" t="str">
        <f>IFERROR(VLOOKUP(A265,Consolidado!$B$1:$L$1500,2,FALSE),"")</f>
        <v/>
      </c>
      <c r="C265" s="16">
        <f>IFERROR(SUMIF(Consolidado!$B$1:$B$1500,VLOOKUP(RegistroPago!A265,Consolidado!$B$1:$L$1500,1,FALSE),Consolidado!$G$1:$G$1500),"")</f>
        <v>0</v>
      </c>
      <c r="D265" s="3"/>
      <c r="E265" s="3"/>
      <c r="F265" s="5" t="str">
        <f t="shared" si="16"/>
        <v/>
      </c>
      <c r="G265" s="16" t="str">
        <f>IF(D265&lt;&gt;"",D265-VLOOKUP(A265,Consolidado!$B$1:$L$1500,8,FALSE),"")</f>
        <v/>
      </c>
      <c r="H265" s="31"/>
      <c r="I265" s="32">
        <f t="shared" si="17"/>
        <v>0</v>
      </c>
      <c r="J265" s="33" t="str">
        <f t="shared" si="18"/>
        <v/>
      </c>
      <c r="K265" s="2"/>
      <c r="L265" s="15"/>
      <c r="M265" s="34">
        <f t="shared" si="19"/>
        <v>0</v>
      </c>
    </row>
    <row r="266" spans="1:13" x14ac:dyDescent="0.25">
      <c r="A266" s="31"/>
      <c r="B266" s="16" t="str">
        <f>IFERROR(VLOOKUP(A266,Consolidado!$B$1:$L$1500,2,FALSE),"")</f>
        <v/>
      </c>
      <c r="C266" s="16">
        <f>IFERROR(SUMIF(Consolidado!$B$1:$B$1500,VLOOKUP(RegistroPago!A266,Consolidado!$B$1:$L$1500,1,FALSE),Consolidado!$G$1:$G$1500),"")</f>
        <v>0</v>
      </c>
      <c r="D266" s="3"/>
      <c r="E266" s="3"/>
      <c r="F266" s="5" t="str">
        <f t="shared" si="16"/>
        <v/>
      </c>
      <c r="G266" s="16" t="str">
        <f>IF(D266&lt;&gt;"",D266-VLOOKUP(A266,Consolidado!$B$1:$L$1500,8,FALSE),"")</f>
        <v/>
      </c>
      <c r="H266" s="31"/>
      <c r="I266" s="32">
        <f t="shared" si="17"/>
        <v>0</v>
      </c>
      <c r="J266" s="33" t="str">
        <f t="shared" si="18"/>
        <v/>
      </c>
      <c r="K266" s="2"/>
      <c r="L266" s="15"/>
      <c r="M266" s="34">
        <f t="shared" si="19"/>
        <v>0</v>
      </c>
    </row>
    <row r="267" spans="1:13" x14ac:dyDescent="0.25">
      <c r="A267" s="31"/>
      <c r="B267" s="16" t="str">
        <f>IFERROR(VLOOKUP(A267,Consolidado!$B$1:$L$1500,2,FALSE),"")</f>
        <v/>
      </c>
      <c r="C267" s="16">
        <f>IFERROR(SUMIF(Consolidado!$B$1:$B$1500,VLOOKUP(RegistroPago!A267,Consolidado!$B$1:$L$1500,1,FALSE),Consolidado!$G$1:$G$1500),"")</f>
        <v>0</v>
      </c>
      <c r="D267" s="3"/>
      <c r="E267" s="3"/>
      <c r="F267" s="5" t="str">
        <f t="shared" si="16"/>
        <v/>
      </c>
      <c r="G267" s="16" t="str">
        <f>IF(D267&lt;&gt;"",D267-VLOOKUP(A267,Consolidado!$B$1:$L$1500,8,FALSE),"")</f>
        <v/>
      </c>
      <c r="H267" s="31"/>
      <c r="I267" s="32">
        <f t="shared" si="17"/>
        <v>0</v>
      </c>
      <c r="J267" s="33" t="str">
        <f t="shared" si="18"/>
        <v/>
      </c>
      <c r="K267" s="2"/>
      <c r="L267" s="15"/>
      <c r="M267" s="34">
        <f t="shared" si="19"/>
        <v>0</v>
      </c>
    </row>
    <row r="268" spans="1:13" x14ac:dyDescent="0.25">
      <c r="A268" s="31"/>
      <c r="B268" s="16" t="str">
        <f>IFERROR(VLOOKUP(A268,Consolidado!$B$1:$L$1500,2,FALSE),"")</f>
        <v/>
      </c>
      <c r="C268" s="16">
        <f>IFERROR(SUMIF(Consolidado!$B$1:$B$1500,VLOOKUP(RegistroPago!A268,Consolidado!$B$1:$L$1500,1,FALSE),Consolidado!$G$1:$G$1500),"")</f>
        <v>0</v>
      </c>
      <c r="D268" s="3"/>
      <c r="E268" s="3"/>
      <c r="F268" s="5" t="str">
        <f t="shared" si="16"/>
        <v/>
      </c>
      <c r="G268" s="16" t="str">
        <f>IF(D268&lt;&gt;"",D268-VLOOKUP(A268,Consolidado!$B$1:$L$1500,8,FALSE),"")</f>
        <v/>
      </c>
      <c r="H268" s="31"/>
      <c r="I268" s="32">
        <f t="shared" si="17"/>
        <v>0</v>
      </c>
      <c r="J268" s="33" t="str">
        <f t="shared" si="18"/>
        <v/>
      </c>
      <c r="K268" s="2"/>
      <c r="L268" s="15"/>
      <c r="M268" s="34">
        <f t="shared" si="19"/>
        <v>0</v>
      </c>
    </row>
    <row r="269" spans="1:13" x14ac:dyDescent="0.25">
      <c r="A269" s="31"/>
      <c r="B269" s="16" t="str">
        <f>IFERROR(VLOOKUP(A269,Consolidado!$B$1:$L$1500,2,FALSE),"")</f>
        <v/>
      </c>
      <c r="C269" s="16">
        <f>IFERROR(SUMIF(Consolidado!$B$1:$B$1500,VLOOKUP(RegistroPago!A269,Consolidado!$B$1:$L$1500,1,FALSE),Consolidado!$G$1:$G$1500),"")</f>
        <v>0</v>
      </c>
      <c r="D269" s="3"/>
      <c r="E269" s="3"/>
      <c r="F269" s="5" t="str">
        <f t="shared" si="16"/>
        <v/>
      </c>
      <c r="G269" s="16" t="str">
        <f>IF(D269&lt;&gt;"",D269-VLOOKUP(A269,Consolidado!$B$1:$L$1500,8,FALSE),"")</f>
        <v/>
      </c>
      <c r="H269" s="31"/>
      <c r="I269" s="32">
        <f t="shared" si="17"/>
        <v>0</v>
      </c>
      <c r="J269" s="33" t="str">
        <f t="shared" si="18"/>
        <v/>
      </c>
      <c r="K269" s="2"/>
      <c r="L269" s="15"/>
      <c r="M269" s="34">
        <f t="shared" si="19"/>
        <v>0</v>
      </c>
    </row>
    <row r="270" spans="1:13" x14ac:dyDescent="0.25">
      <c r="A270" s="31"/>
      <c r="B270" s="16" t="str">
        <f>IFERROR(VLOOKUP(A270,Consolidado!$B$1:$L$1500,2,FALSE),"")</f>
        <v/>
      </c>
      <c r="C270" s="16">
        <f>IFERROR(SUMIF(Consolidado!$B$1:$B$1500,VLOOKUP(RegistroPago!A270,Consolidado!$B$1:$L$1500,1,FALSE),Consolidado!$G$1:$G$1500),"")</f>
        <v>0</v>
      </c>
      <c r="D270" s="3"/>
      <c r="E270" s="3"/>
      <c r="F270" s="5" t="str">
        <f t="shared" si="16"/>
        <v/>
      </c>
      <c r="G270" s="16" t="str">
        <f>IF(D270&lt;&gt;"",D270-VLOOKUP(A270,Consolidado!$B$1:$L$1500,8,FALSE),"")</f>
        <v/>
      </c>
      <c r="H270" s="31"/>
      <c r="I270" s="32">
        <f t="shared" si="17"/>
        <v>0</v>
      </c>
      <c r="J270" s="33" t="str">
        <f t="shared" si="18"/>
        <v/>
      </c>
      <c r="K270" s="2"/>
      <c r="L270" s="15"/>
      <c r="M270" s="34">
        <f t="shared" si="19"/>
        <v>0</v>
      </c>
    </row>
    <row r="271" spans="1:13" x14ac:dyDescent="0.25">
      <c r="A271" s="31"/>
      <c r="B271" s="16" t="str">
        <f>IFERROR(VLOOKUP(A271,Consolidado!$B$1:$L$1500,2,FALSE),"")</f>
        <v/>
      </c>
      <c r="C271" s="16">
        <f>IFERROR(SUMIF(Consolidado!$B$1:$B$1500,VLOOKUP(RegistroPago!A271,Consolidado!$B$1:$L$1500,1,FALSE),Consolidado!$G$1:$G$1500),"")</f>
        <v>0</v>
      </c>
      <c r="D271" s="3"/>
      <c r="E271" s="3"/>
      <c r="F271" s="5" t="str">
        <f t="shared" si="16"/>
        <v/>
      </c>
      <c r="G271" s="16" t="str">
        <f>IF(D271&lt;&gt;"",D271-VLOOKUP(A271,Consolidado!$B$1:$L$1500,8,FALSE),"")</f>
        <v/>
      </c>
      <c r="H271" s="31"/>
      <c r="I271" s="32">
        <f t="shared" si="17"/>
        <v>0</v>
      </c>
      <c r="J271" s="33" t="str">
        <f t="shared" si="18"/>
        <v/>
      </c>
      <c r="K271" s="2"/>
      <c r="L271" s="15"/>
      <c r="M271" s="34">
        <f t="shared" si="19"/>
        <v>0</v>
      </c>
    </row>
    <row r="272" spans="1:13" x14ac:dyDescent="0.25">
      <c r="A272" s="31"/>
      <c r="B272" s="16" t="str">
        <f>IFERROR(VLOOKUP(A272,Consolidado!$B$1:$L$1500,2,FALSE),"")</f>
        <v/>
      </c>
      <c r="C272" s="16">
        <f>IFERROR(SUMIF(Consolidado!$B$1:$B$1500,VLOOKUP(RegistroPago!A272,Consolidado!$B$1:$L$1500,1,FALSE),Consolidado!$G$1:$G$1500),"")</f>
        <v>0</v>
      </c>
      <c r="D272" s="3"/>
      <c r="E272" s="3"/>
      <c r="F272" s="5" t="str">
        <f t="shared" si="16"/>
        <v/>
      </c>
      <c r="G272" s="16" t="str">
        <f>IF(D272&lt;&gt;"",D272-VLOOKUP(A272,Consolidado!$B$1:$L$1500,8,FALSE),"")</f>
        <v/>
      </c>
      <c r="H272" s="31"/>
      <c r="I272" s="32">
        <f t="shared" si="17"/>
        <v>0</v>
      </c>
      <c r="J272" s="33" t="str">
        <f t="shared" si="18"/>
        <v/>
      </c>
      <c r="K272" s="2"/>
      <c r="L272" s="15"/>
      <c r="M272" s="34">
        <f t="shared" si="19"/>
        <v>0</v>
      </c>
    </row>
    <row r="273" spans="1:13" x14ac:dyDescent="0.25">
      <c r="A273" s="31"/>
      <c r="B273" s="16" t="str">
        <f>IFERROR(VLOOKUP(A273,Consolidado!$B$1:$L$1500,2,FALSE),"")</f>
        <v/>
      </c>
      <c r="C273" s="16">
        <f>IFERROR(SUMIF(Consolidado!$B$1:$B$1500,VLOOKUP(RegistroPago!A273,Consolidado!$B$1:$L$1500,1,FALSE),Consolidado!$G$1:$G$1500),"")</f>
        <v>0</v>
      </c>
      <c r="D273" s="3"/>
      <c r="E273" s="3"/>
      <c r="F273" s="5" t="str">
        <f t="shared" si="16"/>
        <v/>
      </c>
      <c r="G273" s="16" t="str">
        <f>IF(D273&lt;&gt;"",D273-VLOOKUP(A273,Consolidado!$B$1:$L$1500,8,FALSE),"")</f>
        <v/>
      </c>
      <c r="H273" s="31"/>
      <c r="I273" s="32">
        <f t="shared" si="17"/>
        <v>0</v>
      </c>
      <c r="J273" s="33" t="str">
        <f t="shared" si="18"/>
        <v/>
      </c>
      <c r="K273" s="2"/>
      <c r="L273" s="15"/>
      <c r="M273" s="34">
        <f t="shared" si="19"/>
        <v>0</v>
      </c>
    </row>
    <row r="274" spans="1:13" x14ac:dyDescent="0.25">
      <c r="A274" s="31"/>
      <c r="B274" s="16" t="str">
        <f>IFERROR(VLOOKUP(A274,Consolidado!$B$1:$L$1500,2,FALSE),"")</f>
        <v/>
      </c>
      <c r="C274" s="16">
        <f>IFERROR(SUMIF(Consolidado!$B$1:$B$1500,VLOOKUP(RegistroPago!A274,Consolidado!$B$1:$L$1500,1,FALSE),Consolidado!$G$1:$G$1500),"")</f>
        <v>0</v>
      </c>
      <c r="D274" s="3"/>
      <c r="E274" s="3"/>
      <c r="F274" s="5" t="str">
        <f t="shared" si="16"/>
        <v/>
      </c>
      <c r="G274" s="16" t="str">
        <f>IF(D274&lt;&gt;"",D274-VLOOKUP(A274,Consolidado!$B$1:$L$1500,8,FALSE),"")</f>
        <v/>
      </c>
      <c r="H274" s="31"/>
      <c r="I274" s="32">
        <f t="shared" si="17"/>
        <v>0</v>
      </c>
      <c r="J274" s="33" t="str">
        <f t="shared" si="18"/>
        <v/>
      </c>
      <c r="K274" s="2"/>
      <c r="L274" s="15"/>
      <c r="M274" s="34">
        <f t="shared" si="19"/>
        <v>0</v>
      </c>
    </row>
    <row r="275" spans="1:13" x14ac:dyDescent="0.25">
      <c r="A275" s="31"/>
      <c r="B275" s="16" t="str">
        <f>IFERROR(VLOOKUP(A275,Consolidado!$B$1:$L$1500,2,FALSE),"")</f>
        <v/>
      </c>
      <c r="C275" s="16">
        <f>IFERROR(SUMIF(Consolidado!$B$1:$B$1500,VLOOKUP(RegistroPago!A275,Consolidado!$B$1:$L$1500,1,FALSE),Consolidado!$G$1:$G$1500),"")</f>
        <v>0</v>
      </c>
      <c r="D275" s="3"/>
      <c r="E275" s="3"/>
      <c r="F275" s="5" t="str">
        <f t="shared" si="16"/>
        <v/>
      </c>
      <c r="G275" s="16" t="str">
        <f>IF(D275&lt;&gt;"",D275-VLOOKUP(A275,Consolidado!$B$1:$L$1500,8,FALSE),"")</f>
        <v/>
      </c>
      <c r="H275" s="31"/>
      <c r="I275" s="32">
        <f t="shared" si="17"/>
        <v>0</v>
      </c>
      <c r="J275" s="33" t="str">
        <f t="shared" si="18"/>
        <v/>
      </c>
      <c r="K275" s="2"/>
      <c r="L275" s="15"/>
      <c r="M275" s="34">
        <f t="shared" si="19"/>
        <v>0</v>
      </c>
    </row>
    <row r="276" spans="1:13" x14ac:dyDescent="0.25">
      <c r="A276" s="31"/>
      <c r="B276" s="16" t="str">
        <f>IFERROR(VLOOKUP(A276,Consolidado!$B$1:$L$1500,2,FALSE),"")</f>
        <v/>
      </c>
      <c r="C276" s="16">
        <f>IFERROR(SUMIF(Consolidado!$B$1:$B$1500,VLOOKUP(RegistroPago!A276,Consolidado!$B$1:$L$1500,1,FALSE),Consolidado!$G$1:$G$1500),"")</f>
        <v>0</v>
      </c>
      <c r="D276" s="3"/>
      <c r="E276" s="3"/>
      <c r="F276" s="5" t="str">
        <f t="shared" si="16"/>
        <v/>
      </c>
      <c r="G276" s="16" t="str">
        <f>IF(D276&lt;&gt;"",D276-VLOOKUP(A276,Consolidado!$B$1:$L$1500,8,FALSE),"")</f>
        <v/>
      </c>
      <c r="H276" s="31"/>
      <c r="I276" s="32">
        <f t="shared" si="17"/>
        <v>0</v>
      </c>
      <c r="J276" s="33" t="str">
        <f t="shared" si="18"/>
        <v/>
      </c>
      <c r="K276" s="2"/>
      <c r="L276" s="15"/>
      <c r="M276" s="34">
        <f t="shared" si="19"/>
        <v>0</v>
      </c>
    </row>
    <row r="277" spans="1:13" x14ac:dyDescent="0.25">
      <c r="A277" s="31"/>
      <c r="B277" s="16" t="str">
        <f>IFERROR(VLOOKUP(A277,Consolidado!$B$1:$L$1500,2,FALSE),"")</f>
        <v/>
      </c>
      <c r="C277" s="16">
        <f>IFERROR(SUMIF(Consolidado!$B$1:$B$1500,VLOOKUP(RegistroPago!A277,Consolidado!$B$1:$L$1500,1,FALSE),Consolidado!$G$1:$G$1500),"")</f>
        <v>0</v>
      </c>
      <c r="D277" s="3"/>
      <c r="E277" s="3"/>
      <c r="F277" s="5" t="str">
        <f t="shared" si="16"/>
        <v/>
      </c>
      <c r="G277" s="16" t="str">
        <f>IF(D277&lt;&gt;"",D277-VLOOKUP(A277,Consolidado!$B$1:$L$1500,8,FALSE),"")</f>
        <v/>
      </c>
      <c r="H277" s="31"/>
      <c r="I277" s="32">
        <f t="shared" si="17"/>
        <v>0</v>
      </c>
      <c r="J277" s="33" t="str">
        <f t="shared" si="18"/>
        <v/>
      </c>
      <c r="K277" s="2"/>
      <c r="L277" s="15"/>
      <c r="M277" s="34">
        <f t="shared" si="19"/>
        <v>0</v>
      </c>
    </row>
    <row r="278" spans="1:13" x14ac:dyDescent="0.25">
      <c r="A278" s="31"/>
      <c r="B278" s="16" t="str">
        <f>IFERROR(VLOOKUP(A278,Consolidado!$B$1:$L$1500,2,FALSE),"")</f>
        <v/>
      </c>
      <c r="C278" s="16">
        <f>IFERROR(SUMIF(Consolidado!$B$1:$B$1500,VLOOKUP(RegistroPago!A278,Consolidado!$B$1:$L$1500,1,FALSE),Consolidado!$G$1:$G$1500),"")</f>
        <v>0</v>
      </c>
      <c r="D278" s="3"/>
      <c r="E278" s="3"/>
      <c r="F278" s="5" t="str">
        <f t="shared" si="16"/>
        <v/>
      </c>
      <c r="G278" s="16" t="str">
        <f>IF(D278&lt;&gt;"",D278-VLOOKUP(A278,Consolidado!$B$1:$L$1500,8,FALSE),"")</f>
        <v/>
      </c>
      <c r="H278" s="31"/>
      <c r="I278" s="32">
        <f t="shared" si="17"/>
        <v>0</v>
      </c>
      <c r="J278" s="33" t="str">
        <f t="shared" si="18"/>
        <v/>
      </c>
      <c r="K278" s="2"/>
      <c r="L278" s="15"/>
      <c r="M278" s="34">
        <f t="shared" si="19"/>
        <v>0</v>
      </c>
    </row>
    <row r="279" spans="1:13" x14ac:dyDescent="0.25">
      <c r="A279" s="31"/>
      <c r="B279" s="16" t="str">
        <f>IFERROR(VLOOKUP(A279,Consolidado!$B$1:$L$1500,2,FALSE),"")</f>
        <v/>
      </c>
      <c r="C279" s="16">
        <f>IFERROR(SUMIF(Consolidado!$B$1:$B$1500,VLOOKUP(RegistroPago!A279,Consolidado!$B$1:$L$1500,1,FALSE),Consolidado!$G$1:$G$1500),"")</f>
        <v>0</v>
      </c>
      <c r="D279" s="3"/>
      <c r="E279" s="3"/>
      <c r="F279" s="5" t="str">
        <f t="shared" si="16"/>
        <v/>
      </c>
      <c r="G279" s="16" t="str">
        <f>IF(D279&lt;&gt;"",D279-VLOOKUP(A279,Consolidado!$B$1:$L$1500,8,FALSE),"")</f>
        <v/>
      </c>
      <c r="H279" s="31"/>
      <c r="I279" s="32">
        <f t="shared" si="17"/>
        <v>0</v>
      </c>
      <c r="J279" s="33" t="str">
        <f t="shared" si="18"/>
        <v/>
      </c>
      <c r="K279" s="2"/>
      <c r="L279" s="15"/>
      <c r="M279" s="34">
        <f t="shared" si="19"/>
        <v>0</v>
      </c>
    </row>
    <row r="280" spans="1:13" x14ac:dyDescent="0.25">
      <c r="A280" s="31"/>
      <c r="B280" s="16" t="str">
        <f>IFERROR(VLOOKUP(A280,Consolidado!$B$1:$L$1500,2,FALSE),"")</f>
        <v/>
      </c>
      <c r="C280" s="16">
        <f>IFERROR(SUMIF(Consolidado!$B$1:$B$1500,VLOOKUP(RegistroPago!A280,Consolidado!$B$1:$L$1500,1,FALSE),Consolidado!$G$1:$G$1500),"")</f>
        <v>0</v>
      </c>
      <c r="D280" s="3"/>
      <c r="E280" s="3"/>
      <c r="F280" s="5" t="str">
        <f t="shared" si="16"/>
        <v/>
      </c>
      <c r="G280" s="16" t="str">
        <f>IF(D280&lt;&gt;"",D280-VLOOKUP(A280,Consolidado!$B$1:$L$1500,8,FALSE),"")</f>
        <v/>
      </c>
      <c r="H280" s="31"/>
      <c r="I280" s="32">
        <f t="shared" si="17"/>
        <v>0</v>
      </c>
      <c r="J280" s="33" t="str">
        <f t="shared" si="18"/>
        <v/>
      </c>
      <c r="K280" s="2"/>
      <c r="L280" s="15"/>
      <c r="M280" s="34">
        <f t="shared" si="19"/>
        <v>0</v>
      </c>
    </row>
    <row r="281" spans="1:13" x14ac:dyDescent="0.25">
      <c r="A281" s="31"/>
      <c r="B281" s="16" t="str">
        <f>IFERROR(VLOOKUP(A281,Consolidado!$B$1:$L$1500,2,FALSE),"")</f>
        <v/>
      </c>
      <c r="C281" s="16">
        <f>IFERROR(SUMIF(Consolidado!$B$1:$B$1500,VLOOKUP(RegistroPago!A281,Consolidado!$B$1:$L$1500,1,FALSE),Consolidado!$G$1:$G$1500),"")</f>
        <v>0</v>
      </c>
      <c r="D281" s="3"/>
      <c r="E281" s="3"/>
      <c r="F281" s="5" t="str">
        <f t="shared" si="16"/>
        <v/>
      </c>
      <c r="G281" s="16" t="str">
        <f>IF(D281&lt;&gt;"",D281-VLOOKUP(A281,Consolidado!$B$1:$L$1500,8,FALSE),"")</f>
        <v/>
      </c>
      <c r="H281" s="31"/>
      <c r="I281" s="32">
        <f t="shared" si="17"/>
        <v>0</v>
      </c>
      <c r="J281" s="33" t="str">
        <f t="shared" si="18"/>
        <v/>
      </c>
      <c r="K281" s="2"/>
      <c r="L281" s="15"/>
      <c r="M281" s="34">
        <f t="shared" si="19"/>
        <v>0</v>
      </c>
    </row>
    <row r="282" spans="1:13" x14ac:dyDescent="0.25">
      <c r="A282" s="31"/>
      <c r="B282" s="16" t="str">
        <f>IFERROR(VLOOKUP(A282,Consolidado!$B$1:$L$1500,2,FALSE),"")</f>
        <v/>
      </c>
      <c r="C282" s="16">
        <f>IFERROR(SUMIF(Consolidado!$B$1:$B$1500,VLOOKUP(RegistroPago!A282,Consolidado!$B$1:$L$1500,1,FALSE),Consolidado!$G$1:$G$1500),"")</f>
        <v>0</v>
      </c>
      <c r="D282" s="3"/>
      <c r="E282" s="3"/>
      <c r="F282" s="5" t="str">
        <f t="shared" si="16"/>
        <v/>
      </c>
      <c r="G282" s="16" t="str">
        <f>IF(D282&lt;&gt;"",D282-VLOOKUP(A282,Consolidado!$B$1:$L$1500,8,FALSE),"")</f>
        <v/>
      </c>
      <c r="H282" s="31"/>
      <c r="I282" s="32">
        <f t="shared" si="17"/>
        <v>0</v>
      </c>
      <c r="J282" s="33" t="str">
        <f t="shared" si="18"/>
        <v/>
      </c>
      <c r="K282" s="2"/>
      <c r="L282" s="15"/>
      <c r="M282" s="34">
        <f t="shared" si="19"/>
        <v>0</v>
      </c>
    </row>
    <row r="283" spans="1:13" x14ac:dyDescent="0.25">
      <c r="A283" s="31"/>
      <c r="B283" s="16" t="str">
        <f>IFERROR(VLOOKUP(A283,Consolidado!$B$1:$L$1500,2,FALSE),"")</f>
        <v/>
      </c>
      <c r="C283" s="16">
        <f>IFERROR(SUMIF(Consolidado!$B$1:$B$1500,VLOOKUP(RegistroPago!A283,Consolidado!$B$1:$L$1500,1,FALSE),Consolidado!$G$1:$G$1500),"")</f>
        <v>0</v>
      </c>
      <c r="D283" s="3"/>
      <c r="E283" s="3"/>
      <c r="F283" s="5" t="str">
        <f t="shared" si="16"/>
        <v/>
      </c>
      <c r="G283" s="16" t="str">
        <f>IF(D283&lt;&gt;"",D283-VLOOKUP(A283,Consolidado!$B$1:$L$1500,8,FALSE),"")</f>
        <v/>
      </c>
      <c r="H283" s="31"/>
      <c r="I283" s="32">
        <f t="shared" si="17"/>
        <v>0</v>
      </c>
      <c r="J283" s="33" t="str">
        <f t="shared" si="18"/>
        <v/>
      </c>
      <c r="K283" s="2"/>
      <c r="L283" s="15"/>
      <c r="M283" s="34">
        <f t="shared" si="19"/>
        <v>0</v>
      </c>
    </row>
    <row r="284" spans="1:13" x14ac:dyDescent="0.25">
      <c r="A284" s="31"/>
      <c r="B284" s="16" t="str">
        <f>IFERROR(VLOOKUP(A284,Consolidado!$B$1:$L$1500,2,FALSE),"")</f>
        <v/>
      </c>
      <c r="C284" s="16">
        <f>IFERROR(SUMIF(Consolidado!$B$1:$B$1500,VLOOKUP(RegistroPago!A284,Consolidado!$B$1:$L$1500,1,FALSE),Consolidado!$G$1:$G$1500),"")</f>
        <v>0</v>
      </c>
      <c r="D284" s="3"/>
      <c r="E284" s="3"/>
      <c r="F284" s="5" t="str">
        <f t="shared" si="16"/>
        <v/>
      </c>
      <c r="G284" s="16" t="str">
        <f>IF(D284&lt;&gt;"",D284-VLOOKUP(A284,Consolidado!$B$1:$L$1500,8,FALSE),"")</f>
        <v/>
      </c>
      <c r="H284" s="31"/>
      <c r="I284" s="32">
        <f t="shared" si="17"/>
        <v>0</v>
      </c>
      <c r="J284" s="33" t="str">
        <f t="shared" si="18"/>
        <v/>
      </c>
      <c r="K284" s="2"/>
      <c r="L284" s="15"/>
      <c r="M284" s="34">
        <f t="shared" si="19"/>
        <v>0</v>
      </c>
    </row>
    <row r="285" spans="1:13" x14ac:dyDescent="0.25">
      <c r="A285" s="31"/>
      <c r="B285" s="16" t="str">
        <f>IFERROR(VLOOKUP(A285,Consolidado!$B$1:$L$1500,2,FALSE),"")</f>
        <v/>
      </c>
      <c r="C285" s="16">
        <f>IFERROR(SUMIF(Consolidado!$B$1:$B$1500,VLOOKUP(RegistroPago!A285,Consolidado!$B$1:$L$1500,1,FALSE),Consolidado!$G$1:$G$1500),"")</f>
        <v>0</v>
      </c>
      <c r="D285" s="3"/>
      <c r="E285" s="3"/>
      <c r="F285" s="5" t="str">
        <f t="shared" si="16"/>
        <v/>
      </c>
      <c r="G285" s="16" t="str">
        <f>IF(D285&lt;&gt;"",D285-VLOOKUP(A285,Consolidado!$B$1:$L$1500,8,FALSE),"")</f>
        <v/>
      </c>
      <c r="H285" s="31"/>
      <c r="I285" s="32">
        <f t="shared" si="17"/>
        <v>0</v>
      </c>
      <c r="J285" s="33" t="str">
        <f t="shared" si="18"/>
        <v/>
      </c>
      <c r="K285" s="2"/>
      <c r="L285" s="15"/>
      <c r="M285" s="34">
        <f t="shared" si="19"/>
        <v>0</v>
      </c>
    </row>
    <row r="286" spans="1:13" x14ac:dyDescent="0.25">
      <c r="A286" s="31"/>
      <c r="B286" s="16" t="str">
        <f>IFERROR(VLOOKUP(A286,Consolidado!$B$1:$L$1500,2,FALSE),"")</f>
        <v/>
      </c>
      <c r="C286" s="16">
        <f>IFERROR(SUMIF(Consolidado!$B$1:$B$1500,VLOOKUP(RegistroPago!A286,Consolidado!$B$1:$L$1500,1,FALSE),Consolidado!$G$1:$G$1500),"")</f>
        <v>0</v>
      </c>
      <c r="D286" s="3"/>
      <c r="E286" s="3"/>
      <c r="F286" s="5" t="str">
        <f t="shared" si="16"/>
        <v/>
      </c>
      <c r="G286" s="16" t="str">
        <f>IF(D286&lt;&gt;"",D286-VLOOKUP(A286,Consolidado!$B$1:$L$1500,8,FALSE),"")</f>
        <v/>
      </c>
      <c r="H286" s="31"/>
      <c r="I286" s="32">
        <f t="shared" si="17"/>
        <v>0</v>
      </c>
      <c r="J286" s="33" t="str">
        <f t="shared" si="18"/>
        <v/>
      </c>
      <c r="K286" s="2"/>
      <c r="L286" s="15"/>
      <c r="M286" s="34">
        <f t="shared" si="19"/>
        <v>0</v>
      </c>
    </row>
    <row r="287" spans="1:13" x14ac:dyDescent="0.25">
      <c r="A287" s="31"/>
      <c r="B287" s="16" t="str">
        <f>IFERROR(VLOOKUP(A287,Consolidado!$B$1:$L$1500,2,FALSE),"")</f>
        <v/>
      </c>
      <c r="C287" s="16">
        <f>IFERROR(SUMIF(Consolidado!$B$1:$B$1500,VLOOKUP(RegistroPago!A287,Consolidado!$B$1:$L$1500,1,FALSE),Consolidado!$G$1:$G$1500),"")</f>
        <v>0</v>
      </c>
      <c r="D287" s="3"/>
      <c r="E287" s="3"/>
      <c r="F287" s="5" t="str">
        <f t="shared" si="16"/>
        <v/>
      </c>
      <c r="G287" s="16" t="str">
        <f>IF(D287&lt;&gt;"",D287-VLOOKUP(A287,Consolidado!$B$1:$L$1500,8,FALSE),"")</f>
        <v/>
      </c>
      <c r="H287" s="31"/>
      <c r="I287" s="32">
        <f t="shared" si="17"/>
        <v>0</v>
      </c>
      <c r="J287" s="33" t="str">
        <f t="shared" si="18"/>
        <v/>
      </c>
      <c r="K287" s="2"/>
      <c r="L287" s="15"/>
      <c r="M287" s="34">
        <f t="shared" si="19"/>
        <v>0</v>
      </c>
    </row>
    <row r="288" spans="1:13" x14ac:dyDescent="0.25">
      <c r="A288" s="31"/>
      <c r="B288" s="16" t="str">
        <f>IFERROR(VLOOKUP(A288,Consolidado!$B$1:$L$1500,2,FALSE),"")</f>
        <v/>
      </c>
      <c r="C288" s="16">
        <f>IFERROR(SUMIF(Consolidado!$B$1:$B$1500,VLOOKUP(RegistroPago!A288,Consolidado!$B$1:$L$1500,1,FALSE),Consolidado!$G$1:$G$1500),"")</f>
        <v>0</v>
      </c>
      <c r="D288" s="3"/>
      <c r="E288" s="3"/>
      <c r="F288" s="5" t="str">
        <f t="shared" si="16"/>
        <v/>
      </c>
      <c r="G288" s="16" t="str">
        <f>IF(D288&lt;&gt;"",D288-VLOOKUP(A288,Consolidado!$B$1:$L$1500,8,FALSE),"")</f>
        <v/>
      </c>
      <c r="H288" s="31"/>
      <c r="I288" s="32">
        <f t="shared" si="17"/>
        <v>0</v>
      </c>
      <c r="J288" s="33" t="str">
        <f t="shared" si="18"/>
        <v/>
      </c>
      <c r="K288" s="2"/>
      <c r="L288" s="15"/>
      <c r="M288" s="34">
        <f t="shared" si="19"/>
        <v>0</v>
      </c>
    </row>
    <row r="289" spans="1:13" x14ac:dyDescent="0.25">
      <c r="A289" s="31"/>
      <c r="B289" s="16" t="str">
        <f>IFERROR(VLOOKUP(A289,Consolidado!$B$1:$L$1500,2,FALSE),"")</f>
        <v/>
      </c>
      <c r="C289" s="16">
        <f>IFERROR(SUMIF(Consolidado!$B$1:$B$1500,VLOOKUP(RegistroPago!A289,Consolidado!$B$1:$L$1500,1,FALSE),Consolidado!$G$1:$G$1500),"")</f>
        <v>0</v>
      </c>
      <c r="D289" s="3"/>
      <c r="E289" s="3"/>
      <c r="F289" s="5" t="str">
        <f t="shared" si="16"/>
        <v/>
      </c>
      <c r="G289" s="16" t="str">
        <f>IF(D289&lt;&gt;"",D289-VLOOKUP(A289,Consolidado!$B$1:$L$1500,8,FALSE),"")</f>
        <v/>
      </c>
      <c r="H289" s="31"/>
      <c r="I289" s="32">
        <f t="shared" si="17"/>
        <v>0</v>
      </c>
      <c r="J289" s="33" t="str">
        <f t="shared" si="18"/>
        <v/>
      </c>
      <c r="K289" s="2"/>
      <c r="L289" s="15"/>
      <c r="M289" s="34">
        <f t="shared" si="19"/>
        <v>0</v>
      </c>
    </row>
    <row r="290" spans="1:13" x14ac:dyDescent="0.25">
      <c r="A290" s="31"/>
      <c r="B290" s="16" t="str">
        <f>IFERROR(VLOOKUP(A290,Consolidado!$B$1:$L$1500,2,FALSE),"")</f>
        <v/>
      </c>
      <c r="C290" s="16">
        <f>IFERROR(SUMIF(Consolidado!$B$1:$B$1500,VLOOKUP(RegistroPago!A290,Consolidado!$B$1:$L$1500,1,FALSE),Consolidado!$G$1:$G$1500),"")</f>
        <v>0</v>
      </c>
      <c r="D290" s="3"/>
      <c r="E290" s="3"/>
      <c r="F290" s="5" t="str">
        <f t="shared" si="16"/>
        <v/>
      </c>
      <c r="G290" s="16" t="str">
        <f>IF(D290&lt;&gt;"",D290-VLOOKUP(A290,Consolidado!$B$1:$L$1500,8,FALSE),"")</f>
        <v/>
      </c>
      <c r="H290" s="31"/>
      <c r="I290" s="32">
        <f t="shared" si="17"/>
        <v>0</v>
      </c>
      <c r="J290" s="33" t="str">
        <f t="shared" si="18"/>
        <v/>
      </c>
      <c r="K290" s="2"/>
      <c r="L290" s="15"/>
      <c r="M290" s="34">
        <f t="shared" si="19"/>
        <v>0</v>
      </c>
    </row>
    <row r="291" spans="1:13" x14ac:dyDescent="0.25">
      <c r="A291" s="31"/>
      <c r="B291" s="16" t="str">
        <f>IFERROR(VLOOKUP(A291,Consolidado!$B$1:$L$1500,2,FALSE),"")</f>
        <v/>
      </c>
      <c r="C291" s="16">
        <f>IFERROR(SUMIF(Consolidado!$B$1:$B$1500,VLOOKUP(RegistroPago!A291,Consolidado!$B$1:$L$1500,1,FALSE),Consolidado!$G$1:$G$1500),"")</f>
        <v>0</v>
      </c>
      <c r="D291" s="3"/>
      <c r="E291" s="3"/>
      <c r="F291" s="5" t="str">
        <f t="shared" si="16"/>
        <v/>
      </c>
      <c r="G291" s="16" t="str">
        <f>IF(D291&lt;&gt;"",D291-VLOOKUP(A291,Consolidado!$B$1:$L$1500,8,FALSE),"")</f>
        <v/>
      </c>
      <c r="H291" s="31"/>
      <c r="I291" s="32">
        <f t="shared" si="17"/>
        <v>0</v>
      </c>
      <c r="J291" s="33" t="str">
        <f t="shared" si="18"/>
        <v/>
      </c>
      <c r="K291" s="2"/>
      <c r="L291" s="15"/>
      <c r="M291" s="34">
        <f t="shared" si="19"/>
        <v>0</v>
      </c>
    </row>
    <row r="292" spans="1:13" x14ac:dyDescent="0.25">
      <c r="A292" s="31"/>
      <c r="B292" s="16" t="str">
        <f>IFERROR(VLOOKUP(A292,Consolidado!$B$1:$L$1500,2,FALSE),"")</f>
        <v/>
      </c>
      <c r="C292" s="16">
        <f>IFERROR(SUMIF(Consolidado!$B$1:$B$1500,VLOOKUP(RegistroPago!A292,Consolidado!$B$1:$L$1500,1,FALSE),Consolidado!$G$1:$G$1500),"")</f>
        <v>0</v>
      </c>
      <c r="D292" s="3"/>
      <c r="E292" s="3"/>
      <c r="F292" s="5" t="str">
        <f t="shared" si="16"/>
        <v/>
      </c>
      <c r="G292" s="16" t="str">
        <f>IF(D292&lt;&gt;"",D292-VLOOKUP(A292,Consolidado!$B$1:$L$1500,8,FALSE),"")</f>
        <v/>
      </c>
      <c r="H292" s="31"/>
      <c r="I292" s="32">
        <f t="shared" si="17"/>
        <v>0</v>
      </c>
      <c r="J292" s="33" t="str">
        <f t="shared" si="18"/>
        <v/>
      </c>
      <c r="K292" s="2"/>
      <c r="L292" s="15"/>
      <c r="M292" s="34">
        <f t="shared" si="19"/>
        <v>0</v>
      </c>
    </row>
    <row r="293" spans="1:13" x14ac:dyDescent="0.25">
      <c r="A293" s="31"/>
      <c r="B293" s="16" t="str">
        <f>IFERROR(VLOOKUP(A293,Consolidado!$B$1:$L$1500,2,FALSE),"")</f>
        <v/>
      </c>
      <c r="C293" s="16">
        <f>IFERROR(SUMIF(Consolidado!$B$1:$B$1500,VLOOKUP(RegistroPago!A293,Consolidado!$B$1:$L$1500,1,FALSE),Consolidado!$G$1:$G$1500),"")</f>
        <v>0</v>
      </c>
      <c r="D293" s="3"/>
      <c r="E293" s="3"/>
      <c r="F293" s="5" t="str">
        <f t="shared" si="16"/>
        <v/>
      </c>
      <c r="G293" s="16" t="str">
        <f>IF(D293&lt;&gt;"",D293-VLOOKUP(A293,Consolidado!$B$1:$L$1500,8,FALSE),"")</f>
        <v/>
      </c>
      <c r="H293" s="31"/>
      <c r="I293" s="32">
        <f t="shared" si="17"/>
        <v>0</v>
      </c>
      <c r="J293" s="33" t="str">
        <f t="shared" si="18"/>
        <v/>
      </c>
      <c r="K293" s="2"/>
      <c r="L293" s="15"/>
      <c r="M293" s="34">
        <f t="shared" si="19"/>
        <v>0</v>
      </c>
    </row>
    <row r="294" spans="1:13" x14ac:dyDescent="0.25">
      <c r="A294" s="31"/>
      <c r="B294" s="16" t="str">
        <f>IFERROR(VLOOKUP(A294,Consolidado!$B$1:$L$1500,2,FALSE),"")</f>
        <v/>
      </c>
      <c r="C294" s="16">
        <f>IFERROR(SUMIF(Consolidado!$B$1:$B$1500,VLOOKUP(RegistroPago!A294,Consolidado!$B$1:$L$1500,1,FALSE),Consolidado!$G$1:$G$1500),"")</f>
        <v>0</v>
      </c>
      <c r="D294" s="3"/>
      <c r="E294" s="3"/>
      <c r="F294" s="5" t="str">
        <f t="shared" si="16"/>
        <v/>
      </c>
      <c r="G294" s="16" t="str">
        <f>IF(D294&lt;&gt;"",D294-VLOOKUP(A294,Consolidado!$B$1:$L$1500,8,FALSE),"")</f>
        <v/>
      </c>
      <c r="H294" s="31"/>
      <c r="I294" s="32">
        <f t="shared" si="17"/>
        <v>0</v>
      </c>
      <c r="J294" s="33" t="str">
        <f t="shared" si="18"/>
        <v/>
      </c>
      <c r="K294" s="2"/>
      <c r="L294" s="15"/>
      <c r="M294" s="34">
        <f t="shared" si="19"/>
        <v>0</v>
      </c>
    </row>
    <row r="295" spans="1:13" x14ac:dyDescent="0.25">
      <c r="A295" s="31"/>
      <c r="B295" s="16" t="str">
        <f>IFERROR(VLOOKUP(A295,Consolidado!$B$1:$L$1500,2,FALSE),"")</f>
        <v/>
      </c>
      <c r="C295" s="16">
        <f>IFERROR(SUMIF(Consolidado!$B$1:$B$1500,VLOOKUP(RegistroPago!A295,Consolidado!$B$1:$L$1500,1,FALSE),Consolidado!$G$1:$G$1500),"")</f>
        <v>0</v>
      </c>
      <c r="D295" s="3"/>
      <c r="E295" s="3"/>
      <c r="F295" s="5" t="str">
        <f t="shared" si="16"/>
        <v/>
      </c>
      <c r="G295" s="16" t="str">
        <f>IF(D295&lt;&gt;"",D295-VLOOKUP(A295,Consolidado!$B$1:$L$1500,8,FALSE),"")</f>
        <v/>
      </c>
      <c r="H295" s="31"/>
      <c r="I295" s="32">
        <f t="shared" si="17"/>
        <v>0</v>
      </c>
      <c r="J295" s="33" t="str">
        <f t="shared" si="18"/>
        <v/>
      </c>
      <c r="K295" s="2"/>
      <c r="L295" s="15"/>
      <c r="M295" s="34">
        <f t="shared" si="19"/>
        <v>0</v>
      </c>
    </row>
    <row r="296" spans="1:13" x14ac:dyDescent="0.25">
      <c r="A296" s="31"/>
      <c r="B296" s="16" t="str">
        <f>IFERROR(VLOOKUP(A296,Consolidado!$B$1:$L$1500,2,FALSE),"")</f>
        <v/>
      </c>
      <c r="C296" s="16">
        <f>IFERROR(SUMIF(Consolidado!$B$1:$B$1500,VLOOKUP(RegistroPago!A296,Consolidado!$B$1:$L$1500,1,FALSE),Consolidado!$G$1:$G$1500),"")</f>
        <v>0</v>
      </c>
      <c r="D296" s="3"/>
      <c r="E296" s="3"/>
      <c r="F296" s="5" t="str">
        <f t="shared" si="16"/>
        <v/>
      </c>
      <c r="G296" s="16" t="str">
        <f>IF(D296&lt;&gt;"",D296-VLOOKUP(A296,Consolidado!$B$1:$L$1500,8,FALSE),"")</f>
        <v/>
      </c>
      <c r="H296" s="31"/>
      <c r="I296" s="32">
        <f t="shared" si="17"/>
        <v>0</v>
      </c>
      <c r="J296" s="33" t="str">
        <f t="shared" si="18"/>
        <v/>
      </c>
      <c r="K296" s="2"/>
      <c r="L296" s="15"/>
      <c r="M296" s="34">
        <f t="shared" si="19"/>
        <v>0</v>
      </c>
    </row>
    <row r="297" spans="1:13" x14ac:dyDescent="0.25">
      <c r="A297" s="31"/>
      <c r="B297" s="16" t="str">
        <f>IFERROR(VLOOKUP(A297,Consolidado!$B$1:$L$1500,2,FALSE),"")</f>
        <v/>
      </c>
      <c r="C297" s="16">
        <f>IFERROR(SUMIF(Consolidado!$B$1:$B$1500,VLOOKUP(RegistroPago!A297,Consolidado!$B$1:$L$1500,1,FALSE),Consolidado!$G$1:$G$1500),"")</f>
        <v>0</v>
      </c>
      <c r="D297" s="3"/>
      <c r="E297" s="3"/>
      <c r="F297" s="5" t="str">
        <f t="shared" si="16"/>
        <v/>
      </c>
      <c r="G297" s="16" t="str">
        <f>IF(D297&lt;&gt;"",D297-VLOOKUP(A297,Consolidado!$B$1:$L$1500,8,FALSE),"")</f>
        <v/>
      </c>
      <c r="H297" s="31"/>
      <c r="I297" s="32">
        <f t="shared" si="17"/>
        <v>0</v>
      </c>
      <c r="J297" s="33" t="str">
        <f t="shared" si="18"/>
        <v/>
      </c>
      <c r="K297" s="2"/>
      <c r="L297" s="15"/>
      <c r="M297" s="34">
        <f t="shared" si="19"/>
        <v>0</v>
      </c>
    </row>
    <row r="298" spans="1:13" x14ac:dyDescent="0.25">
      <c r="A298" s="31"/>
      <c r="B298" s="16" t="str">
        <f>IFERROR(VLOOKUP(A298,Consolidado!$B$1:$L$1500,2,FALSE),"")</f>
        <v/>
      </c>
      <c r="C298" s="16">
        <f>IFERROR(SUMIF(Consolidado!$B$1:$B$1500,VLOOKUP(RegistroPago!A298,Consolidado!$B$1:$L$1500,1,FALSE),Consolidado!$G$1:$G$1500),"")</f>
        <v>0</v>
      </c>
      <c r="D298" s="3"/>
      <c r="E298" s="3"/>
      <c r="F298" s="5" t="str">
        <f t="shared" si="16"/>
        <v/>
      </c>
      <c r="G298" s="16" t="str">
        <f>IF(D298&lt;&gt;"",D298-VLOOKUP(A298,Consolidado!$B$1:$L$1500,8,FALSE),"")</f>
        <v/>
      </c>
      <c r="H298" s="31"/>
      <c r="I298" s="32">
        <f t="shared" si="17"/>
        <v>0</v>
      </c>
      <c r="J298" s="33" t="str">
        <f t="shared" si="18"/>
        <v/>
      </c>
      <c r="K298" s="2"/>
      <c r="L298" s="15"/>
      <c r="M298" s="34">
        <f t="shared" si="19"/>
        <v>0</v>
      </c>
    </row>
    <row r="299" spans="1:13" x14ac:dyDescent="0.25">
      <c r="A299" s="31"/>
      <c r="B299" s="16" t="str">
        <f>IFERROR(VLOOKUP(A299,Consolidado!$B$1:$L$1500,2,FALSE),"")</f>
        <v/>
      </c>
      <c r="C299" s="16">
        <f>IFERROR(SUMIF(Consolidado!$B$1:$B$1500,VLOOKUP(RegistroPago!A299,Consolidado!$B$1:$L$1500,1,FALSE),Consolidado!$G$1:$G$1500),"")</f>
        <v>0</v>
      </c>
      <c r="D299" s="3"/>
      <c r="E299" s="3"/>
      <c r="F299" s="5" t="str">
        <f t="shared" si="16"/>
        <v/>
      </c>
      <c r="G299" s="16" t="str">
        <f>IF(D299&lt;&gt;"",D299-VLOOKUP(A299,Consolidado!$B$1:$L$1500,8,FALSE),"")</f>
        <v/>
      </c>
      <c r="H299" s="31"/>
      <c r="I299" s="32">
        <f t="shared" si="17"/>
        <v>0</v>
      </c>
      <c r="J299" s="33" t="str">
        <f t="shared" si="18"/>
        <v/>
      </c>
      <c r="K299" s="2"/>
      <c r="L299" s="15"/>
      <c r="M299" s="34">
        <f t="shared" si="19"/>
        <v>0</v>
      </c>
    </row>
    <row r="300" spans="1:13" x14ac:dyDescent="0.25">
      <c r="A300" s="31"/>
      <c r="B300" s="16" t="str">
        <f>IFERROR(VLOOKUP(A300,Consolidado!$B$1:$L$1500,2,FALSE),"")</f>
        <v/>
      </c>
      <c r="C300" s="16">
        <f>IFERROR(SUMIF(Consolidado!$B$1:$B$1500,VLOOKUP(RegistroPago!A300,Consolidado!$B$1:$L$1500,1,FALSE),Consolidado!$G$1:$G$1500),"")</f>
        <v>0</v>
      </c>
      <c r="D300" s="3"/>
      <c r="E300" s="3"/>
      <c r="F300" s="5" t="str">
        <f t="shared" si="16"/>
        <v/>
      </c>
      <c r="G300" s="16" t="str">
        <f>IF(D300&lt;&gt;"",D300-VLOOKUP(A300,Consolidado!$B$1:$L$1500,8,FALSE),"")</f>
        <v/>
      </c>
      <c r="H300" s="31"/>
      <c r="I300" s="32">
        <f t="shared" si="17"/>
        <v>0</v>
      </c>
      <c r="J300" s="33" t="str">
        <f t="shared" si="18"/>
        <v/>
      </c>
      <c r="K300" s="2"/>
      <c r="L300" s="15"/>
      <c r="M300" s="34">
        <f t="shared" si="19"/>
        <v>0</v>
      </c>
    </row>
    <row r="301" spans="1:13" x14ac:dyDescent="0.25">
      <c r="A301" s="31"/>
      <c r="B301" s="16" t="str">
        <f>IFERROR(VLOOKUP(A301,Consolidado!$B$1:$L$1500,2,FALSE),"")</f>
        <v/>
      </c>
      <c r="C301" s="16">
        <f>IFERROR(SUMIF(Consolidado!$B$1:$B$1500,VLOOKUP(RegistroPago!A301,Consolidado!$B$1:$L$1500,1,FALSE),Consolidado!$G$1:$G$1500),"")</f>
        <v>0</v>
      </c>
      <c r="D301" s="3"/>
      <c r="E301" s="3"/>
      <c r="F301" s="5" t="str">
        <f t="shared" si="16"/>
        <v/>
      </c>
      <c r="G301" s="16" t="str">
        <f>IF(D301&lt;&gt;"",D301-VLOOKUP(A301,Consolidado!$B$1:$L$1500,8,FALSE),"")</f>
        <v/>
      </c>
      <c r="H301" s="31"/>
      <c r="I301" s="32">
        <f t="shared" si="17"/>
        <v>0</v>
      </c>
      <c r="J301" s="33" t="str">
        <f t="shared" si="18"/>
        <v/>
      </c>
      <c r="K301" s="2"/>
      <c r="L301" s="15"/>
      <c r="M301" s="34">
        <f t="shared" si="19"/>
        <v>0</v>
      </c>
    </row>
    <row r="302" spans="1:13" x14ac:dyDescent="0.25">
      <c r="A302" s="31"/>
      <c r="B302" s="16" t="str">
        <f>IFERROR(VLOOKUP(A302,Consolidado!$B$1:$L$1500,2,FALSE),"")</f>
        <v/>
      </c>
      <c r="C302" s="16">
        <f>IFERROR(SUMIF(Consolidado!$B$1:$B$1500,VLOOKUP(RegistroPago!A302,Consolidado!$B$1:$L$1500,1,FALSE),Consolidado!$G$1:$G$1500),"")</f>
        <v>0</v>
      </c>
      <c r="D302" s="3"/>
      <c r="E302" s="3"/>
      <c r="F302" s="5" t="str">
        <f t="shared" si="16"/>
        <v/>
      </c>
      <c r="G302" s="16" t="str">
        <f>IF(D302&lt;&gt;"",D302-VLOOKUP(A302,Consolidado!$B$1:$L$1500,8,FALSE),"")</f>
        <v/>
      </c>
      <c r="H302" s="31"/>
      <c r="I302" s="32">
        <f t="shared" si="17"/>
        <v>0</v>
      </c>
      <c r="J302" s="33" t="str">
        <f t="shared" si="18"/>
        <v/>
      </c>
      <c r="K302" s="2"/>
      <c r="L302" s="15"/>
      <c r="M302" s="34">
        <f t="shared" si="19"/>
        <v>0</v>
      </c>
    </row>
    <row r="303" spans="1:13" x14ac:dyDescent="0.25">
      <c r="A303" s="31"/>
      <c r="B303" s="16" t="str">
        <f>IFERROR(VLOOKUP(A303,Consolidado!$B$1:$L$1500,2,FALSE),"")</f>
        <v/>
      </c>
      <c r="C303" s="16">
        <f>IFERROR(SUMIF(Consolidado!$B$1:$B$1500,VLOOKUP(RegistroPago!A303,Consolidado!$B$1:$L$1500,1,FALSE),Consolidado!$G$1:$G$1500),"")</f>
        <v>0</v>
      </c>
      <c r="D303" s="3"/>
      <c r="E303" s="3"/>
      <c r="F303" s="5" t="str">
        <f t="shared" si="16"/>
        <v/>
      </c>
      <c r="G303" s="16" t="str">
        <f>IF(D303&lt;&gt;"",D303-VLOOKUP(A303,Consolidado!$B$1:$L$1500,8,FALSE),"")</f>
        <v/>
      </c>
      <c r="H303" s="31"/>
      <c r="I303" s="32">
        <f t="shared" si="17"/>
        <v>0</v>
      </c>
      <c r="J303" s="33" t="str">
        <f t="shared" si="18"/>
        <v/>
      </c>
      <c r="K303" s="2"/>
      <c r="L303" s="15"/>
      <c r="M303" s="34">
        <f t="shared" si="19"/>
        <v>0</v>
      </c>
    </row>
    <row r="304" spans="1:13" x14ac:dyDescent="0.25">
      <c r="A304" s="31"/>
      <c r="B304" s="16" t="str">
        <f>IFERROR(VLOOKUP(A304,Consolidado!$B$1:$L$1500,2,FALSE),"")</f>
        <v/>
      </c>
      <c r="C304" s="16">
        <f>IFERROR(SUMIF(Consolidado!$B$1:$B$1500,VLOOKUP(RegistroPago!A304,Consolidado!$B$1:$L$1500,1,FALSE),Consolidado!$G$1:$G$1500),"")</f>
        <v>0</v>
      </c>
      <c r="D304" s="3"/>
      <c r="E304" s="3"/>
      <c r="F304" s="5" t="str">
        <f t="shared" si="16"/>
        <v/>
      </c>
      <c r="G304" s="16" t="str">
        <f>IF(D304&lt;&gt;"",D304-VLOOKUP(A304,Consolidado!$B$1:$L$1500,8,FALSE),"")</f>
        <v/>
      </c>
      <c r="H304" s="31"/>
      <c r="I304" s="32">
        <f t="shared" si="17"/>
        <v>0</v>
      </c>
      <c r="J304" s="33" t="str">
        <f t="shared" si="18"/>
        <v/>
      </c>
      <c r="K304" s="2"/>
      <c r="L304" s="15"/>
      <c r="M304" s="34">
        <f t="shared" si="19"/>
        <v>0</v>
      </c>
    </row>
    <row r="305" spans="1:13" x14ac:dyDescent="0.25">
      <c r="A305" s="31"/>
      <c r="B305" s="16" t="str">
        <f>IFERROR(VLOOKUP(A305,Consolidado!$B$1:$L$1500,2,FALSE),"")</f>
        <v/>
      </c>
      <c r="C305" s="16">
        <f>IFERROR(SUMIF(Consolidado!$B$1:$B$1500,VLOOKUP(RegistroPago!A305,Consolidado!$B$1:$L$1500,1,FALSE),Consolidado!$G$1:$G$1500),"")</f>
        <v>0</v>
      </c>
      <c r="D305" s="3"/>
      <c r="E305" s="3"/>
      <c r="F305" s="5" t="str">
        <f t="shared" si="16"/>
        <v/>
      </c>
      <c r="G305" s="16" t="str">
        <f>IF(D305&lt;&gt;"",D305-VLOOKUP(A305,Consolidado!$B$1:$L$1500,8,FALSE),"")</f>
        <v/>
      </c>
      <c r="H305" s="31"/>
      <c r="I305" s="32">
        <f t="shared" si="17"/>
        <v>0</v>
      </c>
      <c r="J305" s="33" t="str">
        <f t="shared" si="18"/>
        <v/>
      </c>
      <c r="K305" s="2"/>
      <c r="L305" s="15"/>
      <c r="M305" s="34">
        <f t="shared" si="19"/>
        <v>0</v>
      </c>
    </row>
    <row r="306" spans="1:13" x14ac:dyDescent="0.25">
      <c r="A306" s="31"/>
      <c r="B306" s="16" t="str">
        <f>IFERROR(VLOOKUP(A306,Consolidado!$B$1:$L$1500,2,FALSE),"")</f>
        <v/>
      </c>
      <c r="C306" s="16">
        <f>IFERROR(SUMIF(Consolidado!$B$1:$B$1500,VLOOKUP(RegistroPago!A306,Consolidado!$B$1:$L$1500,1,FALSE),Consolidado!$G$1:$G$1500),"")</f>
        <v>0</v>
      </c>
      <c r="D306" s="3"/>
      <c r="E306" s="3"/>
      <c r="F306" s="5" t="str">
        <f t="shared" si="16"/>
        <v/>
      </c>
      <c r="G306" s="16" t="str">
        <f>IF(D306&lt;&gt;"",D306-VLOOKUP(A306,Consolidado!$B$1:$L$1500,8,FALSE),"")</f>
        <v/>
      </c>
      <c r="H306" s="31"/>
      <c r="I306" s="32">
        <f t="shared" si="17"/>
        <v>0</v>
      </c>
      <c r="J306" s="33" t="str">
        <f t="shared" si="18"/>
        <v/>
      </c>
      <c r="K306" s="2"/>
      <c r="L306" s="15"/>
      <c r="M306" s="34">
        <f t="shared" si="19"/>
        <v>0</v>
      </c>
    </row>
    <row r="307" spans="1:13" x14ac:dyDescent="0.25">
      <c r="A307" s="31"/>
      <c r="B307" s="16" t="str">
        <f>IFERROR(VLOOKUP(A307,Consolidado!$B$1:$L$1500,2,FALSE),"")</f>
        <v/>
      </c>
      <c r="C307" s="16">
        <f>IFERROR(SUMIF(Consolidado!$B$1:$B$1500,VLOOKUP(RegistroPago!A307,Consolidado!$B$1:$L$1500,1,FALSE),Consolidado!$G$1:$G$1500),"")</f>
        <v>0</v>
      </c>
      <c r="D307" s="3"/>
      <c r="E307" s="3"/>
      <c r="F307" s="5" t="str">
        <f t="shared" si="16"/>
        <v/>
      </c>
      <c r="G307" s="16" t="str">
        <f>IF(D307&lt;&gt;"",D307-VLOOKUP(A307,Consolidado!$B$1:$L$1500,8,FALSE),"")</f>
        <v/>
      </c>
      <c r="H307" s="31"/>
      <c r="I307" s="32">
        <f t="shared" si="17"/>
        <v>0</v>
      </c>
      <c r="J307" s="33" t="str">
        <f t="shared" si="18"/>
        <v/>
      </c>
      <c r="K307" s="2"/>
      <c r="L307" s="15"/>
      <c r="M307" s="34">
        <f t="shared" si="19"/>
        <v>0</v>
      </c>
    </row>
    <row r="308" spans="1:13" x14ac:dyDescent="0.25">
      <c r="A308" s="31"/>
      <c r="B308" s="16" t="str">
        <f>IFERROR(VLOOKUP(A308,Consolidado!$B$1:$L$1500,2,FALSE),"")</f>
        <v/>
      </c>
      <c r="C308" s="16">
        <f>IFERROR(SUMIF(Consolidado!$B$1:$B$1500,VLOOKUP(RegistroPago!A308,Consolidado!$B$1:$L$1500,1,FALSE),Consolidado!$G$1:$G$1500),"")</f>
        <v>0</v>
      </c>
      <c r="D308" s="3"/>
      <c r="E308" s="3"/>
      <c r="F308" s="5" t="str">
        <f t="shared" si="16"/>
        <v/>
      </c>
      <c r="G308" s="16" t="str">
        <f>IF(D308&lt;&gt;"",D308-VLOOKUP(A308,Consolidado!$B$1:$L$1500,8,FALSE),"")</f>
        <v/>
      </c>
      <c r="H308" s="31"/>
      <c r="I308" s="32">
        <f t="shared" si="17"/>
        <v>0</v>
      </c>
      <c r="J308" s="33" t="str">
        <f t="shared" si="18"/>
        <v/>
      </c>
      <c r="K308" s="2"/>
      <c r="L308" s="15"/>
      <c r="M308" s="34">
        <f t="shared" si="19"/>
        <v>0</v>
      </c>
    </row>
    <row r="309" spans="1:13" x14ac:dyDescent="0.25">
      <c r="A309" s="31"/>
      <c r="B309" s="16" t="str">
        <f>IFERROR(VLOOKUP(A309,Consolidado!$B$1:$L$1500,2,FALSE),"")</f>
        <v/>
      </c>
      <c r="C309" s="16">
        <f>IFERROR(SUMIF(Consolidado!$B$1:$B$1500,VLOOKUP(RegistroPago!A309,Consolidado!$B$1:$L$1500,1,FALSE),Consolidado!$G$1:$G$1500),"")</f>
        <v>0</v>
      </c>
      <c r="D309" s="3"/>
      <c r="E309" s="3"/>
      <c r="F309" s="5" t="str">
        <f t="shared" si="16"/>
        <v/>
      </c>
      <c r="G309" s="16" t="str">
        <f>IF(D309&lt;&gt;"",D309-VLOOKUP(A309,Consolidado!$B$1:$L$1500,8,FALSE),"")</f>
        <v/>
      </c>
      <c r="H309" s="31"/>
      <c r="I309" s="32">
        <f t="shared" si="17"/>
        <v>0</v>
      </c>
      <c r="J309" s="33" t="str">
        <f t="shared" si="18"/>
        <v/>
      </c>
      <c r="K309" s="2"/>
      <c r="L309" s="15"/>
      <c r="M309" s="34">
        <f t="shared" si="19"/>
        <v>0</v>
      </c>
    </row>
    <row r="310" spans="1:13" x14ac:dyDescent="0.25">
      <c r="A310" s="31"/>
      <c r="B310" s="16" t="str">
        <f>IFERROR(VLOOKUP(A310,Consolidado!$B$1:$L$1500,2,FALSE),"")</f>
        <v/>
      </c>
      <c r="C310" s="16">
        <f>IFERROR(SUMIF(Consolidado!$B$1:$B$1500,VLOOKUP(RegistroPago!A310,Consolidado!$B$1:$L$1500,1,FALSE),Consolidado!$G$1:$G$1500),"")</f>
        <v>0</v>
      </c>
      <c r="D310" s="3"/>
      <c r="E310" s="3"/>
      <c r="F310" s="5" t="str">
        <f t="shared" si="16"/>
        <v/>
      </c>
      <c r="G310" s="16" t="str">
        <f>IF(D310&lt;&gt;"",D310-VLOOKUP(A310,Consolidado!$B$1:$L$1500,8,FALSE),"")</f>
        <v/>
      </c>
      <c r="H310" s="31"/>
      <c r="I310" s="32">
        <f t="shared" si="17"/>
        <v>0</v>
      </c>
      <c r="J310" s="33" t="str">
        <f t="shared" si="18"/>
        <v/>
      </c>
      <c r="K310" s="2"/>
      <c r="L310" s="15"/>
      <c r="M310" s="34">
        <f t="shared" si="19"/>
        <v>0</v>
      </c>
    </row>
    <row r="311" spans="1:13" x14ac:dyDescent="0.25">
      <c r="A311" s="31"/>
      <c r="B311" s="16" t="str">
        <f>IFERROR(VLOOKUP(A311,Consolidado!$B$1:$L$1500,2,FALSE),"")</f>
        <v/>
      </c>
      <c r="C311" s="16">
        <f>IFERROR(SUMIF(Consolidado!$B$1:$B$1500,VLOOKUP(RegistroPago!A311,Consolidado!$B$1:$L$1500,1,FALSE),Consolidado!$G$1:$G$1500),"")</f>
        <v>0</v>
      </c>
      <c r="D311" s="3"/>
      <c r="E311" s="3"/>
      <c r="F311" s="5" t="str">
        <f t="shared" si="16"/>
        <v/>
      </c>
      <c r="G311" s="16" t="str">
        <f>IF(D311&lt;&gt;"",D311-VLOOKUP(A311,Consolidado!$B$1:$L$1500,8,FALSE),"")</f>
        <v/>
      </c>
      <c r="H311" s="31"/>
      <c r="I311" s="32">
        <f t="shared" si="17"/>
        <v>0</v>
      </c>
      <c r="J311" s="33" t="str">
        <f t="shared" si="18"/>
        <v/>
      </c>
      <c r="K311" s="2"/>
      <c r="L311" s="15"/>
      <c r="M311" s="34">
        <f t="shared" si="19"/>
        <v>0</v>
      </c>
    </row>
    <row r="312" spans="1:13" x14ac:dyDescent="0.25">
      <c r="A312" s="31"/>
      <c r="B312" s="16" t="str">
        <f>IFERROR(VLOOKUP(A312,Consolidado!$B$1:$L$1500,2,FALSE),"")</f>
        <v/>
      </c>
      <c r="C312" s="16">
        <f>IFERROR(SUMIF(Consolidado!$B$1:$B$1500,VLOOKUP(RegistroPago!A312,Consolidado!$B$1:$L$1500,1,FALSE),Consolidado!$G$1:$G$1500),"")</f>
        <v>0</v>
      </c>
      <c r="D312" s="3"/>
      <c r="E312" s="3"/>
      <c r="F312" s="5" t="str">
        <f t="shared" si="16"/>
        <v/>
      </c>
      <c r="G312" s="16" t="str">
        <f>IF(D312&lt;&gt;"",D312-VLOOKUP(A312,Consolidado!$B$1:$L$1500,8,FALSE),"")</f>
        <v/>
      </c>
      <c r="H312" s="31"/>
      <c r="I312" s="32">
        <f t="shared" si="17"/>
        <v>0</v>
      </c>
      <c r="J312" s="33" t="str">
        <f t="shared" si="18"/>
        <v/>
      </c>
      <c r="K312" s="2"/>
      <c r="L312" s="15"/>
      <c r="M312" s="34">
        <f t="shared" si="19"/>
        <v>0</v>
      </c>
    </row>
    <row r="313" spans="1:13" x14ac:dyDescent="0.25">
      <c r="A313" s="31"/>
      <c r="B313" s="16" t="str">
        <f>IFERROR(VLOOKUP(A313,Consolidado!$B$1:$L$1500,2,FALSE),"")</f>
        <v/>
      </c>
      <c r="C313" s="16">
        <f>IFERROR(SUMIF(Consolidado!$B$1:$B$1500,VLOOKUP(RegistroPago!A313,Consolidado!$B$1:$L$1500,1,FALSE),Consolidado!$G$1:$G$1500),"")</f>
        <v>0</v>
      </c>
      <c r="D313" s="3"/>
      <c r="E313" s="3"/>
      <c r="F313" s="5" t="str">
        <f t="shared" si="16"/>
        <v/>
      </c>
      <c r="G313" s="16" t="str">
        <f>IF(D313&lt;&gt;"",D313-VLOOKUP(A313,Consolidado!$B$1:$L$1500,8,FALSE),"")</f>
        <v/>
      </c>
      <c r="H313" s="31"/>
      <c r="I313" s="32">
        <f t="shared" si="17"/>
        <v>0</v>
      </c>
      <c r="J313" s="33" t="str">
        <f t="shared" si="18"/>
        <v/>
      </c>
      <c r="K313" s="2"/>
      <c r="L313" s="15"/>
      <c r="M313" s="34">
        <f t="shared" si="19"/>
        <v>0</v>
      </c>
    </row>
    <row r="314" spans="1:13" x14ac:dyDescent="0.25">
      <c r="A314" s="31"/>
      <c r="B314" s="16" t="str">
        <f>IFERROR(VLOOKUP(A314,Consolidado!$B$1:$L$1500,2,FALSE),"")</f>
        <v/>
      </c>
      <c r="C314" s="16">
        <f>IFERROR(SUMIF(Consolidado!$B$1:$B$1500,VLOOKUP(RegistroPago!A314,Consolidado!$B$1:$L$1500,1,FALSE),Consolidado!$G$1:$G$1500),"")</f>
        <v>0</v>
      </c>
      <c r="D314" s="3"/>
      <c r="E314" s="3"/>
      <c r="F314" s="5" t="str">
        <f t="shared" si="16"/>
        <v/>
      </c>
      <c r="G314" s="16" t="str">
        <f>IF(D314&lt;&gt;"",D314-VLOOKUP(A314,Consolidado!$B$1:$L$1500,8,FALSE),"")</f>
        <v/>
      </c>
      <c r="H314" s="31"/>
      <c r="I314" s="32">
        <f t="shared" si="17"/>
        <v>0</v>
      </c>
      <c r="J314" s="33" t="str">
        <f t="shared" si="18"/>
        <v/>
      </c>
      <c r="K314" s="2"/>
      <c r="L314" s="15"/>
      <c r="M314" s="34">
        <f t="shared" si="19"/>
        <v>0</v>
      </c>
    </row>
    <row r="315" spans="1:13" x14ac:dyDescent="0.25">
      <c r="A315" s="31"/>
      <c r="B315" s="16" t="str">
        <f>IFERROR(VLOOKUP(A315,Consolidado!$B$1:$L$1500,2,FALSE),"")</f>
        <v/>
      </c>
      <c r="C315" s="16">
        <f>IFERROR(SUMIF(Consolidado!$B$1:$B$1500,VLOOKUP(RegistroPago!A315,Consolidado!$B$1:$L$1500,1,FALSE),Consolidado!$G$1:$G$1500),"")</f>
        <v>0</v>
      </c>
      <c r="D315" s="3"/>
      <c r="E315" s="3"/>
      <c r="F315" s="5" t="str">
        <f t="shared" si="16"/>
        <v/>
      </c>
      <c r="G315" s="16" t="str">
        <f>IF(D315&lt;&gt;"",D315-VLOOKUP(A315,Consolidado!$B$1:$L$1500,8,FALSE),"")</f>
        <v/>
      </c>
      <c r="H315" s="31"/>
      <c r="I315" s="32">
        <f t="shared" si="17"/>
        <v>0</v>
      </c>
      <c r="J315" s="33" t="str">
        <f t="shared" si="18"/>
        <v/>
      </c>
      <c r="K315" s="2"/>
      <c r="L315" s="15"/>
      <c r="M315" s="34">
        <f t="shared" si="19"/>
        <v>0</v>
      </c>
    </row>
    <row r="316" spans="1:13" x14ac:dyDescent="0.25">
      <c r="A316" s="31"/>
      <c r="B316" s="16" t="str">
        <f>IFERROR(VLOOKUP(A316,Consolidado!$B$1:$L$1500,2,FALSE),"")</f>
        <v/>
      </c>
      <c r="C316" s="16">
        <f>IFERROR(SUMIF(Consolidado!$B$1:$B$1500,VLOOKUP(RegistroPago!A316,Consolidado!$B$1:$L$1500,1,FALSE),Consolidado!$G$1:$G$1500),"")</f>
        <v>0</v>
      </c>
      <c r="D316" s="3"/>
      <c r="E316" s="3"/>
      <c r="F316" s="5" t="str">
        <f t="shared" si="16"/>
        <v/>
      </c>
      <c r="G316" s="16" t="str">
        <f>IF(D316&lt;&gt;"",D316-VLOOKUP(A316,Consolidado!$B$1:$L$1500,8,FALSE),"")</f>
        <v/>
      </c>
      <c r="H316" s="31"/>
      <c r="I316" s="32">
        <f t="shared" si="17"/>
        <v>0</v>
      </c>
      <c r="J316" s="33" t="str">
        <f t="shared" si="18"/>
        <v/>
      </c>
      <c r="K316" s="2"/>
      <c r="L316" s="15"/>
      <c r="M316" s="34">
        <f t="shared" si="19"/>
        <v>0</v>
      </c>
    </row>
    <row r="317" spans="1:13" x14ac:dyDescent="0.25">
      <c r="A317" s="31"/>
      <c r="B317" s="16" t="str">
        <f>IFERROR(VLOOKUP(A317,Consolidado!$B$1:$L$1500,2,FALSE),"")</f>
        <v/>
      </c>
      <c r="C317" s="16">
        <f>IFERROR(SUMIF(Consolidado!$B$1:$B$1500,VLOOKUP(RegistroPago!A317,Consolidado!$B$1:$L$1500,1,FALSE),Consolidado!$G$1:$G$1500),"")</f>
        <v>0</v>
      </c>
      <c r="D317" s="3"/>
      <c r="E317" s="3"/>
      <c r="F317" s="5" t="str">
        <f t="shared" si="16"/>
        <v/>
      </c>
      <c r="G317" s="16" t="str">
        <f>IF(D317&lt;&gt;"",D317-VLOOKUP(A317,Consolidado!$B$1:$L$1500,8,FALSE),"")</f>
        <v/>
      </c>
      <c r="H317" s="31"/>
      <c r="I317" s="32">
        <f t="shared" si="17"/>
        <v>0</v>
      </c>
      <c r="J317" s="33" t="str">
        <f t="shared" si="18"/>
        <v/>
      </c>
      <c r="K317" s="2"/>
      <c r="L317" s="15"/>
      <c r="M317" s="34">
        <f t="shared" si="19"/>
        <v>0</v>
      </c>
    </row>
    <row r="318" spans="1:13" x14ac:dyDescent="0.25">
      <c r="A318" s="31"/>
      <c r="B318" s="16" t="str">
        <f>IFERROR(VLOOKUP(A318,Consolidado!$B$1:$L$1500,2,FALSE),"")</f>
        <v/>
      </c>
      <c r="C318" s="16">
        <f>IFERROR(SUMIF(Consolidado!$B$1:$B$1500,VLOOKUP(RegistroPago!A318,Consolidado!$B$1:$L$1500,1,FALSE),Consolidado!$G$1:$G$1500),"")</f>
        <v>0</v>
      </c>
      <c r="D318" s="3"/>
      <c r="E318" s="3"/>
      <c r="F318" s="5" t="str">
        <f t="shared" si="16"/>
        <v/>
      </c>
      <c r="G318" s="16" t="str">
        <f>IF(D318&lt;&gt;"",D318-VLOOKUP(A318,Consolidado!$B$1:$L$1500,8,FALSE),"")</f>
        <v/>
      </c>
      <c r="H318" s="31"/>
      <c r="I318" s="32">
        <f t="shared" si="17"/>
        <v>0</v>
      </c>
      <c r="J318" s="33" t="str">
        <f t="shared" si="18"/>
        <v/>
      </c>
      <c r="K318" s="2"/>
      <c r="L318" s="15"/>
      <c r="M318" s="34">
        <f t="shared" si="19"/>
        <v>0</v>
      </c>
    </row>
    <row r="319" spans="1:13" x14ac:dyDescent="0.25">
      <c r="A319" s="31"/>
      <c r="B319" s="16" t="str">
        <f>IFERROR(VLOOKUP(A319,Consolidado!$B$1:$L$1500,2,FALSE),"")</f>
        <v/>
      </c>
      <c r="C319" s="16">
        <f>IFERROR(SUMIF(Consolidado!$B$1:$B$1500,VLOOKUP(RegistroPago!A319,Consolidado!$B$1:$L$1500,1,FALSE),Consolidado!$G$1:$G$1500),"")</f>
        <v>0</v>
      </c>
      <c r="D319" s="3"/>
      <c r="E319" s="3"/>
      <c r="F319" s="5" t="str">
        <f t="shared" si="16"/>
        <v/>
      </c>
      <c r="G319" s="16" t="str">
        <f>IF(D319&lt;&gt;"",D319-VLOOKUP(A319,Consolidado!$B$1:$L$1500,8,FALSE),"")</f>
        <v/>
      </c>
      <c r="H319" s="31"/>
      <c r="I319" s="32">
        <f t="shared" si="17"/>
        <v>0</v>
      </c>
      <c r="J319" s="33" t="str">
        <f t="shared" si="18"/>
        <v/>
      </c>
      <c r="K319" s="2"/>
      <c r="L319" s="15"/>
      <c r="M319" s="34">
        <f t="shared" si="19"/>
        <v>0</v>
      </c>
    </row>
    <row r="320" spans="1:13" x14ac:dyDescent="0.25">
      <c r="A320" s="31"/>
      <c r="B320" s="16" t="str">
        <f>IFERROR(VLOOKUP(A320,Consolidado!$B$1:$L$1500,2,FALSE),"")</f>
        <v/>
      </c>
      <c r="C320" s="16">
        <f>IFERROR(SUMIF(Consolidado!$B$1:$B$1500,VLOOKUP(RegistroPago!A320,Consolidado!$B$1:$L$1500,1,FALSE),Consolidado!$G$1:$G$1500),"")</f>
        <v>0</v>
      </c>
      <c r="D320" s="3"/>
      <c r="E320" s="3"/>
      <c r="F320" s="5" t="str">
        <f t="shared" si="16"/>
        <v/>
      </c>
      <c r="G320" s="16" t="str">
        <f>IF(D320&lt;&gt;"",D320-VLOOKUP(A320,Consolidado!$B$1:$L$1500,8,FALSE),"")</f>
        <v/>
      </c>
      <c r="H320" s="31"/>
      <c r="I320" s="32">
        <f t="shared" si="17"/>
        <v>0</v>
      </c>
      <c r="J320" s="33" t="str">
        <f t="shared" si="18"/>
        <v/>
      </c>
      <c r="K320" s="2"/>
      <c r="L320" s="15"/>
      <c r="M320" s="34">
        <f t="shared" si="19"/>
        <v>0</v>
      </c>
    </row>
    <row r="321" spans="1:13" x14ac:dyDescent="0.25">
      <c r="A321" s="31"/>
      <c r="B321" s="16" t="str">
        <f>IFERROR(VLOOKUP(A321,Consolidado!$B$1:$L$1500,2,FALSE),"")</f>
        <v/>
      </c>
      <c r="C321" s="16">
        <f>IFERROR(SUMIF(Consolidado!$B$1:$B$1500,VLOOKUP(RegistroPago!A321,Consolidado!$B$1:$L$1500,1,FALSE),Consolidado!$G$1:$G$1500),"")</f>
        <v>0</v>
      </c>
      <c r="D321" s="3"/>
      <c r="E321" s="3"/>
      <c r="F321" s="5" t="str">
        <f t="shared" si="16"/>
        <v/>
      </c>
      <c r="G321" s="16" t="str">
        <f>IF(D321&lt;&gt;"",D321-VLOOKUP(A321,Consolidado!$B$1:$L$1500,8,FALSE),"")</f>
        <v/>
      </c>
      <c r="H321" s="31"/>
      <c r="I321" s="32">
        <f t="shared" si="17"/>
        <v>0</v>
      </c>
      <c r="J321" s="33" t="str">
        <f t="shared" si="18"/>
        <v/>
      </c>
      <c r="K321" s="2"/>
      <c r="L321" s="15"/>
      <c r="M321" s="34">
        <f t="shared" si="19"/>
        <v>0</v>
      </c>
    </row>
    <row r="322" spans="1:13" x14ac:dyDescent="0.25">
      <c r="A322" s="31"/>
      <c r="B322" s="16" t="str">
        <f>IFERROR(VLOOKUP(A322,Consolidado!$B$1:$L$1500,2,FALSE),"")</f>
        <v/>
      </c>
      <c r="C322" s="16">
        <f>IFERROR(SUMIF(Consolidado!$B$1:$B$1500,VLOOKUP(RegistroPago!A322,Consolidado!$B$1:$L$1500,1,FALSE),Consolidado!$G$1:$G$1500),"")</f>
        <v>0</v>
      </c>
      <c r="D322" s="3"/>
      <c r="E322" s="3"/>
      <c r="F322" s="5" t="str">
        <f t="shared" si="16"/>
        <v/>
      </c>
      <c r="G322" s="16" t="str">
        <f>IF(D322&lt;&gt;"",D322-VLOOKUP(A322,Consolidado!$B$1:$L$1500,8,FALSE),"")</f>
        <v/>
      </c>
      <c r="H322" s="31"/>
      <c r="I322" s="32">
        <f t="shared" si="17"/>
        <v>0</v>
      </c>
      <c r="J322" s="33" t="str">
        <f t="shared" si="18"/>
        <v/>
      </c>
      <c r="K322" s="2"/>
      <c r="L322" s="15"/>
      <c r="M322" s="34">
        <f t="shared" si="19"/>
        <v>0</v>
      </c>
    </row>
    <row r="323" spans="1:13" x14ac:dyDescent="0.25">
      <c r="A323" s="31"/>
      <c r="B323" s="16" t="str">
        <f>IFERROR(VLOOKUP(A323,Consolidado!$B$1:$L$1500,2,FALSE),"")</f>
        <v/>
      </c>
      <c r="C323" s="16">
        <f>IFERROR(SUMIF(Consolidado!$B$1:$B$1500,VLOOKUP(RegistroPago!A323,Consolidado!$B$1:$L$1500,1,FALSE),Consolidado!$G$1:$G$1500),"")</f>
        <v>0</v>
      </c>
      <c r="D323" s="3"/>
      <c r="E323" s="3"/>
      <c r="F323" s="5" t="str">
        <f t="shared" ref="F323:F386" si="20">IF(COUNTIF($E$2:$E$2000,E323)&gt;1,"Ya registrado","")</f>
        <v/>
      </c>
      <c r="G323" s="16" t="str">
        <f>IF(D323&lt;&gt;"",D323-VLOOKUP(A323,Consolidado!$B$1:$L$1500,8,FALSE),"")</f>
        <v/>
      </c>
      <c r="H323" s="31"/>
      <c r="I323" s="32">
        <f t="shared" ref="I323:I386" si="21">IFERROR(SUMIF($E$1:$E$2000,H323,$C$1:$C$2000)-SUMIF($E$1:$E$2000,H323,$F$1:$F$2000),"")</f>
        <v>0</v>
      </c>
      <c r="J323" s="33" t="str">
        <f t="shared" ref="J323:J386" si="22">IFERROR(I323/SUMIF($E$1:$E$2000,H323,$C$1:$C$2000),"")</f>
        <v/>
      </c>
      <c r="K323" s="2"/>
      <c r="L323" s="15"/>
      <c r="M323" s="34">
        <f t="shared" ref="M323:M386" si="23">IFERROR(L323*SUMIF($E$1:$E$2000,H323,$F$1:$F$2000),"")</f>
        <v>0</v>
      </c>
    </row>
    <row r="324" spans="1:13" x14ac:dyDescent="0.25">
      <c r="A324" s="31"/>
      <c r="B324" s="16" t="str">
        <f>IFERROR(VLOOKUP(A324,Consolidado!$B$1:$L$1500,2,FALSE),"")</f>
        <v/>
      </c>
      <c r="C324" s="16">
        <f>IFERROR(SUMIF(Consolidado!$B$1:$B$1500,VLOOKUP(RegistroPago!A324,Consolidado!$B$1:$L$1500,1,FALSE),Consolidado!$G$1:$G$1500),"")</f>
        <v>0</v>
      </c>
      <c r="D324" s="3"/>
      <c r="E324" s="3"/>
      <c r="F324" s="5" t="str">
        <f t="shared" si="20"/>
        <v/>
      </c>
      <c r="G324" s="16" t="str">
        <f>IF(D324&lt;&gt;"",D324-VLOOKUP(A324,Consolidado!$B$1:$L$1500,8,FALSE),"")</f>
        <v/>
      </c>
      <c r="H324" s="31"/>
      <c r="I324" s="32">
        <f t="shared" si="21"/>
        <v>0</v>
      </c>
      <c r="J324" s="33" t="str">
        <f t="shared" si="22"/>
        <v/>
      </c>
      <c r="K324" s="2"/>
      <c r="L324" s="15"/>
      <c r="M324" s="34">
        <f t="shared" si="23"/>
        <v>0</v>
      </c>
    </row>
    <row r="325" spans="1:13" x14ac:dyDescent="0.25">
      <c r="A325" s="31"/>
      <c r="B325" s="16" t="str">
        <f>IFERROR(VLOOKUP(A325,Consolidado!$B$1:$L$1500,2,FALSE),"")</f>
        <v/>
      </c>
      <c r="C325" s="16">
        <f>IFERROR(SUMIF(Consolidado!$B$1:$B$1500,VLOOKUP(RegistroPago!A325,Consolidado!$B$1:$L$1500,1,FALSE),Consolidado!$G$1:$G$1500),"")</f>
        <v>0</v>
      </c>
      <c r="D325" s="3"/>
      <c r="E325" s="3"/>
      <c r="F325" s="5" t="str">
        <f t="shared" si="20"/>
        <v/>
      </c>
      <c r="G325" s="16" t="str">
        <f>IF(D325&lt;&gt;"",D325-VLOOKUP(A325,Consolidado!$B$1:$L$1500,8,FALSE),"")</f>
        <v/>
      </c>
      <c r="H325" s="31"/>
      <c r="I325" s="32">
        <f t="shared" si="21"/>
        <v>0</v>
      </c>
      <c r="J325" s="33" t="str">
        <f t="shared" si="22"/>
        <v/>
      </c>
      <c r="K325" s="2"/>
      <c r="L325" s="15"/>
      <c r="M325" s="34">
        <f t="shared" si="23"/>
        <v>0</v>
      </c>
    </row>
    <row r="326" spans="1:13" x14ac:dyDescent="0.25">
      <c r="A326" s="31"/>
      <c r="B326" s="16" t="str">
        <f>IFERROR(VLOOKUP(A326,Consolidado!$B$1:$L$1500,2,FALSE),"")</f>
        <v/>
      </c>
      <c r="C326" s="16">
        <f>IFERROR(SUMIF(Consolidado!$B$1:$B$1500,VLOOKUP(RegistroPago!A326,Consolidado!$B$1:$L$1500,1,FALSE),Consolidado!$G$1:$G$1500),"")</f>
        <v>0</v>
      </c>
      <c r="D326" s="3"/>
      <c r="E326" s="3"/>
      <c r="F326" s="5" t="str">
        <f t="shared" si="20"/>
        <v/>
      </c>
      <c r="G326" s="16" t="str">
        <f>IF(D326&lt;&gt;"",D326-VLOOKUP(A326,Consolidado!$B$1:$L$1500,8,FALSE),"")</f>
        <v/>
      </c>
      <c r="H326" s="31"/>
      <c r="I326" s="32">
        <f t="shared" si="21"/>
        <v>0</v>
      </c>
      <c r="J326" s="33" t="str">
        <f t="shared" si="22"/>
        <v/>
      </c>
      <c r="K326" s="2"/>
      <c r="L326" s="15"/>
      <c r="M326" s="34">
        <f t="shared" si="23"/>
        <v>0</v>
      </c>
    </row>
    <row r="327" spans="1:13" x14ac:dyDescent="0.25">
      <c r="A327" s="31"/>
      <c r="B327" s="16" t="str">
        <f>IFERROR(VLOOKUP(A327,Consolidado!$B$1:$L$1500,2,FALSE),"")</f>
        <v/>
      </c>
      <c r="C327" s="16">
        <f>IFERROR(SUMIF(Consolidado!$B$1:$B$1500,VLOOKUP(RegistroPago!A327,Consolidado!$B$1:$L$1500,1,FALSE),Consolidado!$G$1:$G$1500),"")</f>
        <v>0</v>
      </c>
      <c r="D327" s="3"/>
      <c r="E327" s="3"/>
      <c r="F327" s="5" t="str">
        <f t="shared" si="20"/>
        <v/>
      </c>
      <c r="G327" s="16" t="str">
        <f>IF(D327&lt;&gt;"",D327-VLOOKUP(A327,Consolidado!$B$1:$L$1500,8,FALSE),"")</f>
        <v/>
      </c>
      <c r="H327" s="31"/>
      <c r="I327" s="32">
        <f t="shared" si="21"/>
        <v>0</v>
      </c>
      <c r="J327" s="33" t="str">
        <f t="shared" si="22"/>
        <v/>
      </c>
      <c r="K327" s="2"/>
      <c r="L327" s="15"/>
      <c r="M327" s="34">
        <f t="shared" si="23"/>
        <v>0</v>
      </c>
    </row>
    <row r="328" spans="1:13" x14ac:dyDescent="0.25">
      <c r="A328" s="31"/>
      <c r="B328" s="16" t="str">
        <f>IFERROR(VLOOKUP(A328,Consolidado!$B$1:$L$1500,2,FALSE),"")</f>
        <v/>
      </c>
      <c r="C328" s="16">
        <f>IFERROR(SUMIF(Consolidado!$B$1:$B$1500,VLOOKUP(RegistroPago!A328,Consolidado!$B$1:$L$1500,1,FALSE),Consolidado!$G$1:$G$1500),"")</f>
        <v>0</v>
      </c>
      <c r="D328" s="3"/>
      <c r="E328" s="3"/>
      <c r="F328" s="5" t="str">
        <f t="shared" si="20"/>
        <v/>
      </c>
      <c r="G328" s="16" t="str">
        <f>IF(D328&lt;&gt;"",D328-VLOOKUP(A328,Consolidado!$B$1:$L$1500,8,FALSE),"")</f>
        <v/>
      </c>
      <c r="H328" s="31"/>
      <c r="I328" s="32">
        <f t="shared" si="21"/>
        <v>0</v>
      </c>
      <c r="J328" s="33" t="str">
        <f t="shared" si="22"/>
        <v/>
      </c>
      <c r="K328" s="2"/>
      <c r="L328" s="15"/>
      <c r="M328" s="34">
        <f t="shared" si="23"/>
        <v>0</v>
      </c>
    </row>
    <row r="329" spans="1:13" x14ac:dyDescent="0.25">
      <c r="A329" s="31"/>
      <c r="B329" s="16" t="str">
        <f>IFERROR(VLOOKUP(A329,Consolidado!$B$1:$L$1500,2,FALSE),"")</f>
        <v/>
      </c>
      <c r="C329" s="16">
        <f>IFERROR(SUMIF(Consolidado!$B$1:$B$1500,VLOOKUP(RegistroPago!A329,Consolidado!$B$1:$L$1500,1,FALSE),Consolidado!$G$1:$G$1500),"")</f>
        <v>0</v>
      </c>
      <c r="D329" s="3"/>
      <c r="E329" s="3"/>
      <c r="F329" s="5" t="str">
        <f t="shared" si="20"/>
        <v/>
      </c>
      <c r="G329" s="16" t="str">
        <f>IF(D329&lt;&gt;"",D329-VLOOKUP(A329,Consolidado!$B$1:$L$1500,8,FALSE),"")</f>
        <v/>
      </c>
      <c r="H329" s="31"/>
      <c r="I329" s="32">
        <f t="shared" si="21"/>
        <v>0</v>
      </c>
      <c r="J329" s="33" t="str">
        <f t="shared" si="22"/>
        <v/>
      </c>
      <c r="K329" s="2"/>
      <c r="L329" s="15"/>
      <c r="M329" s="34">
        <f t="shared" si="23"/>
        <v>0</v>
      </c>
    </row>
    <row r="330" spans="1:13" x14ac:dyDescent="0.25">
      <c r="A330" s="31"/>
      <c r="B330" s="16" t="str">
        <f>IFERROR(VLOOKUP(A330,Consolidado!$B$1:$L$1500,2,FALSE),"")</f>
        <v/>
      </c>
      <c r="C330" s="16">
        <f>IFERROR(SUMIF(Consolidado!$B$1:$B$1500,VLOOKUP(RegistroPago!A330,Consolidado!$B$1:$L$1500,1,FALSE),Consolidado!$G$1:$G$1500),"")</f>
        <v>0</v>
      </c>
      <c r="D330" s="3"/>
      <c r="E330" s="3"/>
      <c r="F330" s="5" t="str">
        <f t="shared" si="20"/>
        <v/>
      </c>
      <c r="G330" s="16" t="str">
        <f>IF(D330&lt;&gt;"",D330-VLOOKUP(A330,Consolidado!$B$1:$L$1500,8,FALSE),"")</f>
        <v/>
      </c>
      <c r="H330" s="31"/>
      <c r="I330" s="32">
        <f t="shared" si="21"/>
        <v>0</v>
      </c>
      <c r="J330" s="33" t="str">
        <f t="shared" si="22"/>
        <v/>
      </c>
      <c r="K330" s="2"/>
      <c r="L330" s="15"/>
      <c r="M330" s="34">
        <f t="shared" si="23"/>
        <v>0</v>
      </c>
    </row>
    <row r="331" spans="1:13" x14ac:dyDescent="0.25">
      <c r="A331" s="31"/>
      <c r="B331" s="16" t="str">
        <f>IFERROR(VLOOKUP(A331,Consolidado!$B$1:$L$1500,2,FALSE),"")</f>
        <v/>
      </c>
      <c r="C331" s="16">
        <f>IFERROR(SUMIF(Consolidado!$B$1:$B$1500,VLOOKUP(RegistroPago!A331,Consolidado!$B$1:$L$1500,1,FALSE),Consolidado!$G$1:$G$1500),"")</f>
        <v>0</v>
      </c>
      <c r="D331" s="3"/>
      <c r="E331" s="3"/>
      <c r="F331" s="5" t="str">
        <f t="shared" si="20"/>
        <v/>
      </c>
      <c r="G331" s="16" t="str">
        <f>IF(D331&lt;&gt;"",D331-VLOOKUP(A331,Consolidado!$B$1:$L$1500,8,FALSE),"")</f>
        <v/>
      </c>
      <c r="H331" s="31"/>
      <c r="I331" s="32">
        <f t="shared" si="21"/>
        <v>0</v>
      </c>
      <c r="J331" s="33" t="str">
        <f t="shared" si="22"/>
        <v/>
      </c>
      <c r="K331" s="2"/>
      <c r="L331" s="15"/>
      <c r="M331" s="34">
        <f t="shared" si="23"/>
        <v>0</v>
      </c>
    </row>
    <row r="332" spans="1:13" x14ac:dyDescent="0.25">
      <c r="A332" s="31"/>
      <c r="B332" s="16" t="str">
        <f>IFERROR(VLOOKUP(A332,Consolidado!$B$1:$L$1500,2,FALSE),"")</f>
        <v/>
      </c>
      <c r="C332" s="16">
        <f>IFERROR(SUMIF(Consolidado!$B$1:$B$1500,VLOOKUP(RegistroPago!A332,Consolidado!$B$1:$L$1500,1,FALSE),Consolidado!$G$1:$G$1500),"")</f>
        <v>0</v>
      </c>
      <c r="D332" s="3"/>
      <c r="E332" s="3"/>
      <c r="F332" s="5" t="str">
        <f t="shared" si="20"/>
        <v/>
      </c>
      <c r="G332" s="16" t="str">
        <f>IF(D332&lt;&gt;"",D332-VLOOKUP(A332,Consolidado!$B$1:$L$1500,8,FALSE),"")</f>
        <v/>
      </c>
      <c r="H332" s="31"/>
      <c r="I332" s="32">
        <f t="shared" si="21"/>
        <v>0</v>
      </c>
      <c r="J332" s="33" t="str">
        <f t="shared" si="22"/>
        <v/>
      </c>
      <c r="K332" s="2"/>
      <c r="L332" s="15"/>
      <c r="M332" s="34">
        <f t="shared" si="23"/>
        <v>0</v>
      </c>
    </row>
    <row r="333" spans="1:13" x14ac:dyDescent="0.25">
      <c r="A333" s="31"/>
      <c r="B333" s="16" t="str">
        <f>IFERROR(VLOOKUP(A333,Consolidado!$B$1:$L$1500,2,FALSE),"")</f>
        <v/>
      </c>
      <c r="C333" s="16">
        <f>IFERROR(SUMIF(Consolidado!$B$1:$B$1500,VLOOKUP(RegistroPago!A333,Consolidado!$B$1:$L$1500,1,FALSE),Consolidado!$G$1:$G$1500),"")</f>
        <v>0</v>
      </c>
      <c r="D333" s="3"/>
      <c r="E333" s="3"/>
      <c r="F333" s="5" t="str">
        <f t="shared" si="20"/>
        <v/>
      </c>
      <c r="G333" s="16" t="str">
        <f>IF(D333&lt;&gt;"",D333-VLOOKUP(A333,Consolidado!$B$1:$L$1500,8,FALSE),"")</f>
        <v/>
      </c>
      <c r="H333" s="31"/>
      <c r="I333" s="32">
        <f t="shared" si="21"/>
        <v>0</v>
      </c>
      <c r="J333" s="33" t="str">
        <f t="shared" si="22"/>
        <v/>
      </c>
      <c r="K333" s="2"/>
      <c r="L333" s="15"/>
      <c r="M333" s="34">
        <f t="shared" si="23"/>
        <v>0</v>
      </c>
    </row>
    <row r="334" spans="1:13" x14ac:dyDescent="0.25">
      <c r="A334" s="31"/>
      <c r="B334" s="16" t="str">
        <f>IFERROR(VLOOKUP(A334,Consolidado!$B$1:$L$1500,2,FALSE),"")</f>
        <v/>
      </c>
      <c r="C334" s="16">
        <f>IFERROR(SUMIF(Consolidado!$B$1:$B$1500,VLOOKUP(RegistroPago!A334,Consolidado!$B$1:$L$1500,1,FALSE),Consolidado!$G$1:$G$1500),"")</f>
        <v>0</v>
      </c>
      <c r="D334" s="3"/>
      <c r="E334" s="3"/>
      <c r="F334" s="5" t="str">
        <f t="shared" si="20"/>
        <v/>
      </c>
      <c r="G334" s="16" t="str">
        <f>IF(D334&lt;&gt;"",D334-VLOOKUP(A334,Consolidado!$B$1:$L$1500,8,FALSE),"")</f>
        <v/>
      </c>
      <c r="H334" s="31"/>
      <c r="I334" s="32">
        <f t="shared" si="21"/>
        <v>0</v>
      </c>
      <c r="J334" s="33" t="str">
        <f t="shared" si="22"/>
        <v/>
      </c>
      <c r="K334" s="2"/>
      <c r="L334" s="15"/>
      <c r="M334" s="34">
        <f t="shared" si="23"/>
        <v>0</v>
      </c>
    </row>
    <row r="335" spans="1:13" x14ac:dyDescent="0.25">
      <c r="A335" s="31"/>
      <c r="B335" s="16" t="str">
        <f>IFERROR(VLOOKUP(A335,Consolidado!$B$1:$L$1500,2,FALSE),"")</f>
        <v/>
      </c>
      <c r="C335" s="16">
        <f>IFERROR(SUMIF(Consolidado!$B$1:$B$1500,VLOOKUP(RegistroPago!A335,Consolidado!$B$1:$L$1500,1,FALSE),Consolidado!$G$1:$G$1500),"")</f>
        <v>0</v>
      </c>
      <c r="D335" s="3"/>
      <c r="E335" s="3"/>
      <c r="F335" s="5" t="str">
        <f t="shared" si="20"/>
        <v/>
      </c>
      <c r="G335" s="16" t="str">
        <f>IF(D335&lt;&gt;"",D335-VLOOKUP(A335,Consolidado!$B$1:$L$1500,8,FALSE),"")</f>
        <v/>
      </c>
      <c r="H335" s="31"/>
      <c r="I335" s="32">
        <f t="shared" si="21"/>
        <v>0</v>
      </c>
      <c r="J335" s="33" t="str">
        <f t="shared" si="22"/>
        <v/>
      </c>
      <c r="K335" s="2"/>
      <c r="L335" s="15"/>
      <c r="M335" s="34">
        <f t="shared" si="23"/>
        <v>0</v>
      </c>
    </row>
    <row r="336" spans="1:13" x14ac:dyDescent="0.25">
      <c r="A336" s="31"/>
      <c r="B336" s="16" t="str">
        <f>IFERROR(VLOOKUP(A336,Consolidado!$B$1:$L$1500,2,FALSE),"")</f>
        <v/>
      </c>
      <c r="C336" s="16">
        <f>IFERROR(SUMIF(Consolidado!$B$1:$B$1500,VLOOKUP(RegistroPago!A336,Consolidado!$B$1:$L$1500,1,FALSE),Consolidado!$G$1:$G$1500),"")</f>
        <v>0</v>
      </c>
      <c r="D336" s="3"/>
      <c r="E336" s="3"/>
      <c r="F336" s="5" t="str">
        <f t="shared" si="20"/>
        <v/>
      </c>
      <c r="G336" s="16" t="str">
        <f>IF(D336&lt;&gt;"",D336-VLOOKUP(A336,Consolidado!$B$1:$L$1500,8,FALSE),"")</f>
        <v/>
      </c>
      <c r="H336" s="31"/>
      <c r="I336" s="32">
        <f t="shared" si="21"/>
        <v>0</v>
      </c>
      <c r="J336" s="33" t="str">
        <f t="shared" si="22"/>
        <v/>
      </c>
      <c r="K336" s="2"/>
      <c r="L336" s="15"/>
      <c r="M336" s="34">
        <f t="shared" si="23"/>
        <v>0</v>
      </c>
    </row>
    <row r="337" spans="1:13" x14ac:dyDescent="0.25">
      <c r="A337" s="31"/>
      <c r="B337" s="16" t="str">
        <f>IFERROR(VLOOKUP(A337,Consolidado!$B$1:$L$1500,2,FALSE),"")</f>
        <v/>
      </c>
      <c r="C337" s="16">
        <f>IFERROR(SUMIF(Consolidado!$B$1:$B$1500,VLOOKUP(RegistroPago!A337,Consolidado!$B$1:$L$1500,1,FALSE),Consolidado!$G$1:$G$1500),"")</f>
        <v>0</v>
      </c>
      <c r="D337" s="3"/>
      <c r="E337" s="3"/>
      <c r="F337" s="5" t="str">
        <f t="shared" si="20"/>
        <v/>
      </c>
      <c r="G337" s="16" t="str">
        <f>IF(D337&lt;&gt;"",D337-VLOOKUP(A337,Consolidado!$B$1:$L$1500,8,FALSE),"")</f>
        <v/>
      </c>
      <c r="H337" s="31"/>
      <c r="I337" s="32">
        <f t="shared" si="21"/>
        <v>0</v>
      </c>
      <c r="J337" s="33" t="str">
        <f t="shared" si="22"/>
        <v/>
      </c>
      <c r="K337" s="2"/>
      <c r="L337" s="15"/>
      <c r="M337" s="34">
        <f t="shared" si="23"/>
        <v>0</v>
      </c>
    </row>
    <row r="338" spans="1:13" x14ac:dyDescent="0.25">
      <c r="A338" s="31"/>
      <c r="B338" s="16" t="str">
        <f>IFERROR(VLOOKUP(A338,Consolidado!$B$1:$L$1500,2,FALSE),"")</f>
        <v/>
      </c>
      <c r="C338" s="16">
        <f>IFERROR(SUMIF(Consolidado!$B$1:$B$1500,VLOOKUP(RegistroPago!A338,Consolidado!$B$1:$L$1500,1,FALSE),Consolidado!$G$1:$G$1500),"")</f>
        <v>0</v>
      </c>
      <c r="D338" s="3"/>
      <c r="E338" s="3"/>
      <c r="F338" s="5" t="str">
        <f t="shared" si="20"/>
        <v/>
      </c>
      <c r="G338" s="16" t="str">
        <f>IF(D338&lt;&gt;"",D338-VLOOKUP(A338,Consolidado!$B$1:$L$1500,8,FALSE),"")</f>
        <v/>
      </c>
      <c r="H338" s="31"/>
      <c r="I338" s="32">
        <f t="shared" si="21"/>
        <v>0</v>
      </c>
      <c r="J338" s="33" t="str">
        <f t="shared" si="22"/>
        <v/>
      </c>
      <c r="K338" s="2"/>
      <c r="L338" s="15"/>
      <c r="M338" s="34">
        <f t="shared" si="23"/>
        <v>0</v>
      </c>
    </row>
    <row r="339" spans="1:13" x14ac:dyDescent="0.25">
      <c r="A339" s="31"/>
      <c r="B339" s="16" t="str">
        <f>IFERROR(VLOOKUP(A339,Consolidado!$B$1:$L$1500,2,FALSE),"")</f>
        <v/>
      </c>
      <c r="C339" s="16">
        <f>IFERROR(SUMIF(Consolidado!$B$1:$B$1500,VLOOKUP(RegistroPago!A339,Consolidado!$B$1:$L$1500,1,FALSE),Consolidado!$G$1:$G$1500),"")</f>
        <v>0</v>
      </c>
      <c r="D339" s="3"/>
      <c r="E339" s="3"/>
      <c r="F339" s="5" t="str">
        <f t="shared" si="20"/>
        <v/>
      </c>
      <c r="G339" s="16" t="str">
        <f>IF(D339&lt;&gt;"",D339-VLOOKUP(A339,Consolidado!$B$1:$L$1500,8,FALSE),"")</f>
        <v/>
      </c>
      <c r="H339" s="31"/>
      <c r="I339" s="32">
        <f t="shared" si="21"/>
        <v>0</v>
      </c>
      <c r="J339" s="33" t="str">
        <f t="shared" si="22"/>
        <v/>
      </c>
      <c r="K339" s="2"/>
      <c r="L339" s="15"/>
      <c r="M339" s="34">
        <f t="shared" si="23"/>
        <v>0</v>
      </c>
    </row>
    <row r="340" spans="1:13" x14ac:dyDescent="0.25">
      <c r="A340" s="31"/>
      <c r="B340" s="16" t="str">
        <f>IFERROR(VLOOKUP(A340,Consolidado!$B$1:$L$1500,2,FALSE),"")</f>
        <v/>
      </c>
      <c r="C340" s="16">
        <f>IFERROR(SUMIF(Consolidado!$B$1:$B$1500,VLOOKUP(RegistroPago!A340,Consolidado!$B$1:$L$1500,1,FALSE),Consolidado!$G$1:$G$1500),"")</f>
        <v>0</v>
      </c>
      <c r="D340" s="3"/>
      <c r="E340" s="3"/>
      <c r="F340" s="5" t="str">
        <f t="shared" si="20"/>
        <v/>
      </c>
      <c r="G340" s="16" t="str">
        <f>IF(D340&lt;&gt;"",D340-VLOOKUP(A340,Consolidado!$B$1:$L$1500,8,FALSE),"")</f>
        <v/>
      </c>
      <c r="H340" s="31"/>
      <c r="I340" s="32">
        <f t="shared" si="21"/>
        <v>0</v>
      </c>
      <c r="J340" s="33" t="str">
        <f t="shared" si="22"/>
        <v/>
      </c>
      <c r="K340" s="2"/>
      <c r="L340" s="15"/>
      <c r="M340" s="34">
        <f t="shared" si="23"/>
        <v>0</v>
      </c>
    </row>
    <row r="341" spans="1:13" x14ac:dyDescent="0.25">
      <c r="A341" s="31"/>
      <c r="B341" s="16" t="str">
        <f>IFERROR(VLOOKUP(A341,Consolidado!$B$1:$L$1500,2,FALSE),"")</f>
        <v/>
      </c>
      <c r="C341" s="16">
        <f>IFERROR(SUMIF(Consolidado!$B$1:$B$1500,VLOOKUP(RegistroPago!A341,Consolidado!$B$1:$L$1500,1,FALSE),Consolidado!$G$1:$G$1500),"")</f>
        <v>0</v>
      </c>
      <c r="D341" s="3"/>
      <c r="E341" s="3"/>
      <c r="F341" s="5" t="str">
        <f t="shared" si="20"/>
        <v/>
      </c>
      <c r="G341" s="16" t="str">
        <f>IF(D341&lt;&gt;"",D341-VLOOKUP(A341,Consolidado!$B$1:$L$1500,8,FALSE),"")</f>
        <v/>
      </c>
      <c r="H341" s="31"/>
      <c r="I341" s="32">
        <f t="shared" si="21"/>
        <v>0</v>
      </c>
      <c r="J341" s="33" t="str">
        <f t="shared" si="22"/>
        <v/>
      </c>
      <c r="K341" s="2"/>
      <c r="L341" s="15"/>
      <c r="M341" s="34">
        <f t="shared" si="23"/>
        <v>0</v>
      </c>
    </row>
    <row r="342" spans="1:13" x14ac:dyDescent="0.25">
      <c r="A342" s="31"/>
      <c r="B342" s="16" t="str">
        <f>IFERROR(VLOOKUP(A342,Consolidado!$B$1:$L$1500,2,FALSE),"")</f>
        <v/>
      </c>
      <c r="C342" s="16">
        <f>IFERROR(SUMIF(Consolidado!$B$1:$B$1500,VLOOKUP(RegistroPago!A342,Consolidado!$B$1:$L$1500,1,FALSE),Consolidado!$G$1:$G$1500),"")</f>
        <v>0</v>
      </c>
      <c r="D342" s="3"/>
      <c r="E342" s="3"/>
      <c r="F342" s="5" t="str">
        <f t="shared" si="20"/>
        <v/>
      </c>
      <c r="G342" s="16" t="str">
        <f>IF(D342&lt;&gt;"",D342-VLOOKUP(A342,Consolidado!$B$1:$L$1500,8,FALSE),"")</f>
        <v/>
      </c>
      <c r="H342" s="31"/>
      <c r="I342" s="32">
        <f t="shared" si="21"/>
        <v>0</v>
      </c>
      <c r="J342" s="33" t="str">
        <f t="shared" si="22"/>
        <v/>
      </c>
      <c r="K342" s="2"/>
      <c r="L342" s="15"/>
      <c r="M342" s="34">
        <f t="shared" si="23"/>
        <v>0</v>
      </c>
    </row>
    <row r="343" spans="1:13" x14ac:dyDescent="0.25">
      <c r="A343" s="31"/>
      <c r="B343" s="16" t="str">
        <f>IFERROR(VLOOKUP(A343,Consolidado!$B$1:$L$1500,2,FALSE),"")</f>
        <v/>
      </c>
      <c r="C343" s="16">
        <f>IFERROR(SUMIF(Consolidado!$B$1:$B$1500,VLOOKUP(RegistroPago!A343,Consolidado!$B$1:$L$1500,1,FALSE),Consolidado!$G$1:$G$1500),"")</f>
        <v>0</v>
      </c>
      <c r="D343" s="3"/>
      <c r="E343" s="3"/>
      <c r="F343" s="5" t="str">
        <f t="shared" si="20"/>
        <v/>
      </c>
      <c r="G343" s="16" t="str">
        <f>IF(D343&lt;&gt;"",D343-VLOOKUP(A343,Consolidado!$B$1:$L$1500,8,FALSE),"")</f>
        <v/>
      </c>
      <c r="H343" s="31"/>
      <c r="I343" s="32">
        <f t="shared" si="21"/>
        <v>0</v>
      </c>
      <c r="J343" s="33" t="str">
        <f t="shared" si="22"/>
        <v/>
      </c>
      <c r="K343" s="2"/>
      <c r="L343" s="15"/>
      <c r="M343" s="34">
        <f t="shared" si="23"/>
        <v>0</v>
      </c>
    </row>
    <row r="344" spans="1:13" x14ac:dyDescent="0.25">
      <c r="A344" s="31"/>
      <c r="B344" s="16" t="str">
        <f>IFERROR(VLOOKUP(A344,Consolidado!$B$1:$L$1500,2,FALSE),"")</f>
        <v/>
      </c>
      <c r="C344" s="16">
        <f>IFERROR(SUMIF(Consolidado!$B$1:$B$1500,VLOOKUP(RegistroPago!A344,Consolidado!$B$1:$L$1500,1,FALSE),Consolidado!$G$1:$G$1500),"")</f>
        <v>0</v>
      </c>
      <c r="D344" s="3"/>
      <c r="E344" s="3"/>
      <c r="F344" s="5" t="str">
        <f t="shared" si="20"/>
        <v/>
      </c>
      <c r="G344" s="16" t="str">
        <f>IF(D344&lt;&gt;"",D344-VLOOKUP(A344,Consolidado!$B$1:$L$1500,8,FALSE),"")</f>
        <v/>
      </c>
      <c r="H344" s="31"/>
      <c r="I344" s="32">
        <f t="shared" si="21"/>
        <v>0</v>
      </c>
      <c r="J344" s="33" t="str">
        <f t="shared" si="22"/>
        <v/>
      </c>
      <c r="K344" s="2"/>
      <c r="L344" s="15"/>
      <c r="M344" s="34">
        <f t="shared" si="23"/>
        <v>0</v>
      </c>
    </row>
    <row r="345" spans="1:13" x14ac:dyDescent="0.25">
      <c r="A345" s="31"/>
      <c r="B345" s="16" t="str">
        <f>IFERROR(VLOOKUP(A345,Consolidado!$B$1:$L$1500,2,FALSE),"")</f>
        <v/>
      </c>
      <c r="C345" s="16">
        <f>IFERROR(SUMIF(Consolidado!$B$1:$B$1500,VLOOKUP(RegistroPago!A345,Consolidado!$B$1:$L$1500,1,FALSE),Consolidado!$G$1:$G$1500),"")</f>
        <v>0</v>
      </c>
      <c r="D345" s="3"/>
      <c r="E345" s="3"/>
      <c r="F345" s="5" t="str">
        <f t="shared" si="20"/>
        <v/>
      </c>
      <c r="G345" s="16" t="str">
        <f>IF(D345&lt;&gt;"",D345-VLOOKUP(A345,Consolidado!$B$1:$L$1500,8,FALSE),"")</f>
        <v/>
      </c>
      <c r="H345" s="31"/>
      <c r="I345" s="32">
        <f t="shared" si="21"/>
        <v>0</v>
      </c>
      <c r="J345" s="33" t="str">
        <f t="shared" si="22"/>
        <v/>
      </c>
      <c r="K345" s="2"/>
      <c r="L345" s="15"/>
      <c r="M345" s="34">
        <f t="shared" si="23"/>
        <v>0</v>
      </c>
    </row>
    <row r="346" spans="1:13" x14ac:dyDescent="0.25">
      <c r="A346" s="31"/>
      <c r="B346" s="16" t="str">
        <f>IFERROR(VLOOKUP(A346,Consolidado!$B$1:$L$1500,2,FALSE),"")</f>
        <v/>
      </c>
      <c r="C346" s="16">
        <f>IFERROR(SUMIF(Consolidado!$B$1:$B$1500,VLOOKUP(RegistroPago!A346,Consolidado!$B$1:$L$1500,1,FALSE),Consolidado!$G$1:$G$1500),"")</f>
        <v>0</v>
      </c>
      <c r="D346" s="3"/>
      <c r="E346" s="3"/>
      <c r="F346" s="5" t="str">
        <f t="shared" si="20"/>
        <v/>
      </c>
      <c r="G346" s="16" t="str">
        <f>IF(D346&lt;&gt;"",D346-VLOOKUP(A346,Consolidado!$B$1:$L$1500,8,FALSE),"")</f>
        <v/>
      </c>
      <c r="H346" s="31"/>
      <c r="I346" s="32">
        <f t="shared" si="21"/>
        <v>0</v>
      </c>
      <c r="J346" s="33" t="str">
        <f t="shared" si="22"/>
        <v/>
      </c>
      <c r="K346" s="2"/>
      <c r="L346" s="15"/>
      <c r="M346" s="34">
        <f t="shared" si="23"/>
        <v>0</v>
      </c>
    </row>
    <row r="347" spans="1:13" x14ac:dyDescent="0.25">
      <c r="A347" s="31"/>
      <c r="B347" s="16" t="str">
        <f>IFERROR(VLOOKUP(A347,Consolidado!$B$1:$L$1500,2,FALSE),"")</f>
        <v/>
      </c>
      <c r="C347" s="16">
        <f>IFERROR(SUMIF(Consolidado!$B$1:$B$1500,VLOOKUP(RegistroPago!A347,Consolidado!$B$1:$L$1500,1,FALSE),Consolidado!$G$1:$G$1500),"")</f>
        <v>0</v>
      </c>
      <c r="D347" s="3"/>
      <c r="E347" s="3"/>
      <c r="F347" s="5" t="str">
        <f t="shared" si="20"/>
        <v/>
      </c>
      <c r="G347" s="16" t="str">
        <f>IF(D347&lt;&gt;"",D347-VLOOKUP(A347,Consolidado!$B$1:$L$1500,8,FALSE),"")</f>
        <v/>
      </c>
      <c r="H347" s="31"/>
      <c r="I347" s="32">
        <f t="shared" si="21"/>
        <v>0</v>
      </c>
      <c r="J347" s="33" t="str">
        <f t="shared" si="22"/>
        <v/>
      </c>
      <c r="K347" s="2"/>
      <c r="L347" s="15"/>
      <c r="M347" s="34">
        <f t="shared" si="23"/>
        <v>0</v>
      </c>
    </row>
    <row r="348" spans="1:13" x14ac:dyDescent="0.25">
      <c r="A348" s="31"/>
      <c r="B348" s="16" t="str">
        <f>IFERROR(VLOOKUP(A348,Consolidado!$B$1:$L$1500,2,FALSE),"")</f>
        <v/>
      </c>
      <c r="C348" s="16">
        <f>IFERROR(SUMIF(Consolidado!$B$1:$B$1500,VLOOKUP(RegistroPago!A348,Consolidado!$B$1:$L$1500,1,FALSE),Consolidado!$G$1:$G$1500),"")</f>
        <v>0</v>
      </c>
      <c r="D348" s="3"/>
      <c r="E348" s="3"/>
      <c r="F348" s="5" t="str">
        <f t="shared" si="20"/>
        <v/>
      </c>
      <c r="G348" s="16" t="str">
        <f>IF(D348&lt;&gt;"",D348-VLOOKUP(A348,Consolidado!$B$1:$L$1500,8,FALSE),"")</f>
        <v/>
      </c>
      <c r="H348" s="31"/>
      <c r="I348" s="32">
        <f t="shared" si="21"/>
        <v>0</v>
      </c>
      <c r="J348" s="33" t="str">
        <f t="shared" si="22"/>
        <v/>
      </c>
      <c r="K348" s="2"/>
      <c r="L348" s="15"/>
      <c r="M348" s="34">
        <f t="shared" si="23"/>
        <v>0</v>
      </c>
    </row>
    <row r="349" spans="1:13" x14ac:dyDescent="0.25">
      <c r="A349" s="31"/>
      <c r="B349" s="16" t="str">
        <f>IFERROR(VLOOKUP(A349,Consolidado!$B$1:$L$1500,2,FALSE),"")</f>
        <v/>
      </c>
      <c r="C349" s="16">
        <f>IFERROR(SUMIF(Consolidado!$B$1:$B$1500,VLOOKUP(RegistroPago!A349,Consolidado!$B$1:$L$1500,1,FALSE),Consolidado!$G$1:$G$1500),"")</f>
        <v>0</v>
      </c>
      <c r="D349" s="3"/>
      <c r="E349" s="3"/>
      <c r="F349" s="5" t="str">
        <f t="shared" si="20"/>
        <v/>
      </c>
      <c r="G349" s="16" t="str">
        <f>IF(D349&lt;&gt;"",D349-VLOOKUP(A349,Consolidado!$B$1:$L$1500,8,FALSE),"")</f>
        <v/>
      </c>
      <c r="H349" s="31"/>
      <c r="I349" s="32">
        <f t="shared" si="21"/>
        <v>0</v>
      </c>
      <c r="J349" s="33" t="str">
        <f t="shared" si="22"/>
        <v/>
      </c>
      <c r="K349" s="2"/>
      <c r="L349" s="15"/>
      <c r="M349" s="34">
        <f t="shared" si="23"/>
        <v>0</v>
      </c>
    </row>
    <row r="350" spans="1:13" x14ac:dyDescent="0.25">
      <c r="A350" s="31"/>
      <c r="B350" s="16" t="str">
        <f>IFERROR(VLOOKUP(A350,Consolidado!$B$1:$L$1500,2,FALSE),"")</f>
        <v/>
      </c>
      <c r="C350" s="16">
        <f>IFERROR(SUMIF(Consolidado!$B$1:$B$1500,VLOOKUP(RegistroPago!A350,Consolidado!$B$1:$L$1500,1,FALSE),Consolidado!$G$1:$G$1500),"")</f>
        <v>0</v>
      </c>
      <c r="D350" s="3"/>
      <c r="E350" s="3"/>
      <c r="F350" s="5" t="str">
        <f t="shared" si="20"/>
        <v/>
      </c>
      <c r="G350" s="16" t="str">
        <f>IF(D350&lt;&gt;"",D350-VLOOKUP(A350,Consolidado!$B$1:$L$1500,8,FALSE),"")</f>
        <v/>
      </c>
      <c r="H350" s="31"/>
      <c r="I350" s="32">
        <f t="shared" si="21"/>
        <v>0</v>
      </c>
      <c r="J350" s="33" t="str">
        <f t="shared" si="22"/>
        <v/>
      </c>
      <c r="K350" s="2"/>
      <c r="L350" s="15"/>
      <c r="M350" s="34">
        <f t="shared" si="23"/>
        <v>0</v>
      </c>
    </row>
    <row r="351" spans="1:13" x14ac:dyDescent="0.25">
      <c r="A351" s="31"/>
      <c r="B351" s="16" t="str">
        <f>IFERROR(VLOOKUP(A351,Consolidado!$B$1:$L$1500,2,FALSE),"")</f>
        <v/>
      </c>
      <c r="C351" s="16">
        <f>IFERROR(SUMIF(Consolidado!$B$1:$B$1500,VLOOKUP(RegistroPago!A351,Consolidado!$B$1:$L$1500,1,FALSE),Consolidado!$G$1:$G$1500),"")</f>
        <v>0</v>
      </c>
      <c r="D351" s="3"/>
      <c r="E351" s="3"/>
      <c r="F351" s="5" t="str">
        <f t="shared" si="20"/>
        <v/>
      </c>
      <c r="G351" s="16" t="str">
        <f>IF(D351&lt;&gt;"",D351-VLOOKUP(A351,Consolidado!$B$1:$L$1500,8,FALSE),"")</f>
        <v/>
      </c>
      <c r="H351" s="31"/>
      <c r="I351" s="32">
        <f t="shared" si="21"/>
        <v>0</v>
      </c>
      <c r="J351" s="33" t="str">
        <f t="shared" si="22"/>
        <v/>
      </c>
      <c r="K351" s="2"/>
      <c r="L351" s="15"/>
      <c r="M351" s="34">
        <f t="shared" si="23"/>
        <v>0</v>
      </c>
    </row>
    <row r="352" spans="1:13" x14ac:dyDescent="0.25">
      <c r="A352" s="31"/>
      <c r="B352" s="16" t="str">
        <f>IFERROR(VLOOKUP(A352,Consolidado!$B$1:$L$1500,2,FALSE),"")</f>
        <v/>
      </c>
      <c r="C352" s="16">
        <f>IFERROR(SUMIF(Consolidado!$B$1:$B$1500,VLOOKUP(RegistroPago!A352,Consolidado!$B$1:$L$1500,1,FALSE),Consolidado!$G$1:$G$1500),"")</f>
        <v>0</v>
      </c>
      <c r="D352" s="3"/>
      <c r="E352" s="3"/>
      <c r="F352" s="5" t="str">
        <f t="shared" si="20"/>
        <v/>
      </c>
      <c r="G352" s="16" t="str">
        <f>IF(D352&lt;&gt;"",D352-VLOOKUP(A352,Consolidado!$B$1:$L$1500,8,FALSE),"")</f>
        <v/>
      </c>
      <c r="H352" s="31"/>
      <c r="I352" s="32">
        <f t="shared" si="21"/>
        <v>0</v>
      </c>
      <c r="J352" s="33" t="str">
        <f t="shared" si="22"/>
        <v/>
      </c>
      <c r="K352" s="2"/>
      <c r="L352" s="15"/>
      <c r="M352" s="34">
        <f t="shared" si="23"/>
        <v>0</v>
      </c>
    </row>
    <row r="353" spans="1:13" x14ac:dyDescent="0.25">
      <c r="A353" s="31"/>
      <c r="B353" s="16" t="str">
        <f>IFERROR(VLOOKUP(A353,Consolidado!$B$1:$L$1500,2,FALSE),"")</f>
        <v/>
      </c>
      <c r="C353" s="16">
        <f>IFERROR(SUMIF(Consolidado!$B$1:$B$1500,VLOOKUP(RegistroPago!A353,Consolidado!$B$1:$L$1500,1,FALSE),Consolidado!$G$1:$G$1500),"")</f>
        <v>0</v>
      </c>
      <c r="D353" s="3"/>
      <c r="E353" s="3"/>
      <c r="F353" s="5" t="str">
        <f t="shared" si="20"/>
        <v/>
      </c>
      <c r="G353" s="16" t="str">
        <f>IF(D353&lt;&gt;"",D353-VLOOKUP(A353,Consolidado!$B$1:$L$1500,8,FALSE),"")</f>
        <v/>
      </c>
      <c r="H353" s="31"/>
      <c r="I353" s="32">
        <f t="shared" si="21"/>
        <v>0</v>
      </c>
      <c r="J353" s="33" t="str">
        <f t="shared" si="22"/>
        <v/>
      </c>
      <c r="K353" s="2"/>
      <c r="L353" s="15"/>
      <c r="M353" s="34">
        <f t="shared" si="23"/>
        <v>0</v>
      </c>
    </row>
    <row r="354" spans="1:13" x14ac:dyDescent="0.25">
      <c r="A354" s="31"/>
      <c r="B354" s="16" t="str">
        <f>IFERROR(VLOOKUP(A354,Consolidado!$B$1:$L$1500,2,FALSE),"")</f>
        <v/>
      </c>
      <c r="C354" s="16">
        <f>IFERROR(SUMIF(Consolidado!$B$1:$B$1500,VLOOKUP(RegistroPago!A354,Consolidado!$B$1:$L$1500,1,FALSE),Consolidado!$G$1:$G$1500),"")</f>
        <v>0</v>
      </c>
      <c r="D354" s="3"/>
      <c r="E354" s="3"/>
      <c r="F354" s="5" t="str">
        <f t="shared" si="20"/>
        <v/>
      </c>
      <c r="G354" s="16" t="str">
        <f>IF(D354&lt;&gt;"",D354-VLOOKUP(A354,Consolidado!$B$1:$L$1500,8,FALSE),"")</f>
        <v/>
      </c>
      <c r="H354" s="31"/>
      <c r="I354" s="32">
        <f t="shared" si="21"/>
        <v>0</v>
      </c>
      <c r="J354" s="33" t="str">
        <f t="shared" si="22"/>
        <v/>
      </c>
      <c r="K354" s="2"/>
      <c r="L354" s="15"/>
      <c r="M354" s="34">
        <f t="shared" si="23"/>
        <v>0</v>
      </c>
    </row>
    <row r="355" spans="1:13" x14ac:dyDescent="0.25">
      <c r="A355" s="31"/>
      <c r="B355" s="16" t="str">
        <f>IFERROR(VLOOKUP(A355,Consolidado!$B$1:$L$1500,2,FALSE),"")</f>
        <v/>
      </c>
      <c r="C355" s="16">
        <f>IFERROR(SUMIF(Consolidado!$B$1:$B$1500,VLOOKUP(RegistroPago!A355,Consolidado!$B$1:$L$1500,1,FALSE),Consolidado!$G$1:$G$1500),"")</f>
        <v>0</v>
      </c>
      <c r="D355" s="3"/>
      <c r="E355" s="3"/>
      <c r="F355" s="5" t="str">
        <f t="shared" si="20"/>
        <v/>
      </c>
      <c r="G355" s="16" t="str">
        <f>IF(D355&lt;&gt;"",D355-VLOOKUP(A355,Consolidado!$B$1:$L$1500,8,FALSE),"")</f>
        <v/>
      </c>
      <c r="H355" s="31"/>
      <c r="I355" s="32">
        <f t="shared" si="21"/>
        <v>0</v>
      </c>
      <c r="J355" s="33" t="str">
        <f t="shared" si="22"/>
        <v/>
      </c>
      <c r="K355" s="2"/>
      <c r="L355" s="15"/>
      <c r="M355" s="34">
        <f t="shared" si="23"/>
        <v>0</v>
      </c>
    </row>
    <row r="356" spans="1:13" x14ac:dyDescent="0.25">
      <c r="A356" s="31"/>
      <c r="B356" s="16" t="str">
        <f>IFERROR(VLOOKUP(A356,Consolidado!$B$1:$L$1500,2,FALSE),"")</f>
        <v/>
      </c>
      <c r="C356" s="16">
        <f>IFERROR(SUMIF(Consolidado!$B$1:$B$1500,VLOOKUP(RegistroPago!A356,Consolidado!$B$1:$L$1500,1,FALSE),Consolidado!$G$1:$G$1500),"")</f>
        <v>0</v>
      </c>
      <c r="D356" s="3"/>
      <c r="E356" s="3"/>
      <c r="F356" s="5" t="str">
        <f t="shared" si="20"/>
        <v/>
      </c>
      <c r="G356" s="16" t="str">
        <f>IF(D356&lt;&gt;"",D356-VLOOKUP(A356,Consolidado!$B$1:$L$1500,8,FALSE),"")</f>
        <v/>
      </c>
      <c r="H356" s="31"/>
      <c r="I356" s="32">
        <f t="shared" si="21"/>
        <v>0</v>
      </c>
      <c r="J356" s="33" t="str">
        <f t="shared" si="22"/>
        <v/>
      </c>
      <c r="K356" s="2"/>
      <c r="L356" s="15"/>
      <c r="M356" s="34">
        <f t="shared" si="23"/>
        <v>0</v>
      </c>
    </row>
    <row r="357" spans="1:13" x14ac:dyDescent="0.25">
      <c r="A357" s="31"/>
      <c r="B357" s="16" t="str">
        <f>IFERROR(VLOOKUP(A357,Consolidado!$B$1:$L$1500,2,FALSE),"")</f>
        <v/>
      </c>
      <c r="C357" s="16">
        <f>IFERROR(SUMIF(Consolidado!$B$1:$B$1500,VLOOKUP(RegistroPago!A357,Consolidado!$B$1:$L$1500,1,FALSE),Consolidado!$G$1:$G$1500),"")</f>
        <v>0</v>
      </c>
      <c r="D357" s="3"/>
      <c r="E357" s="3"/>
      <c r="F357" s="5" t="str">
        <f t="shared" si="20"/>
        <v/>
      </c>
      <c r="G357" s="16" t="str">
        <f>IF(D357&lt;&gt;"",D357-VLOOKUP(A357,Consolidado!$B$1:$L$1500,8,FALSE),"")</f>
        <v/>
      </c>
      <c r="H357" s="31"/>
      <c r="I357" s="32">
        <f t="shared" si="21"/>
        <v>0</v>
      </c>
      <c r="J357" s="33" t="str">
        <f t="shared" si="22"/>
        <v/>
      </c>
      <c r="K357" s="2"/>
      <c r="L357" s="15"/>
      <c r="M357" s="34">
        <f t="shared" si="23"/>
        <v>0</v>
      </c>
    </row>
    <row r="358" spans="1:13" x14ac:dyDescent="0.25">
      <c r="A358" s="31"/>
      <c r="B358" s="16" t="str">
        <f>IFERROR(VLOOKUP(A358,Consolidado!$B$1:$L$1500,2,FALSE),"")</f>
        <v/>
      </c>
      <c r="C358" s="16">
        <f>IFERROR(SUMIF(Consolidado!$B$1:$B$1500,VLOOKUP(RegistroPago!A358,Consolidado!$B$1:$L$1500,1,FALSE),Consolidado!$G$1:$G$1500),"")</f>
        <v>0</v>
      </c>
      <c r="D358" s="3"/>
      <c r="E358" s="3"/>
      <c r="F358" s="5" t="str">
        <f t="shared" si="20"/>
        <v/>
      </c>
      <c r="G358" s="16" t="str">
        <f>IF(D358&lt;&gt;"",D358-VLOOKUP(A358,Consolidado!$B$1:$L$1500,8,FALSE),"")</f>
        <v/>
      </c>
      <c r="H358" s="31"/>
      <c r="I358" s="32">
        <f t="shared" si="21"/>
        <v>0</v>
      </c>
      <c r="J358" s="33" t="str">
        <f t="shared" si="22"/>
        <v/>
      </c>
      <c r="K358" s="2"/>
      <c r="L358" s="15"/>
      <c r="M358" s="34">
        <f t="shared" si="23"/>
        <v>0</v>
      </c>
    </row>
    <row r="359" spans="1:13" x14ac:dyDescent="0.25">
      <c r="A359" s="31"/>
      <c r="B359" s="16" t="str">
        <f>IFERROR(VLOOKUP(A359,Consolidado!$B$1:$L$1500,2,FALSE),"")</f>
        <v/>
      </c>
      <c r="C359" s="16">
        <f>IFERROR(SUMIF(Consolidado!$B$1:$B$1500,VLOOKUP(RegistroPago!A359,Consolidado!$B$1:$L$1500,1,FALSE),Consolidado!$G$1:$G$1500),"")</f>
        <v>0</v>
      </c>
      <c r="D359" s="3"/>
      <c r="E359" s="3"/>
      <c r="F359" s="5" t="str">
        <f t="shared" si="20"/>
        <v/>
      </c>
      <c r="G359" s="16" t="str">
        <f>IF(D359&lt;&gt;"",D359-VLOOKUP(A359,Consolidado!$B$1:$L$1500,8,FALSE),"")</f>
        <v/>
      </c>
      <c r="H359" s="31"/>
      <c r="I359" s="32">
        <f t="shared" si="21"/>
        <v>0</v>
      </c>
      <c r="J359" s="33" t="str">
        <f t="shared" si="22"/>
        <v/>
      </c>
      <c r="K359" s="2"/>
      <c r="L359" s="15"/>
      <c r="M359" s="34">
        <f t="shared" si="23"/>
        <v>0</v>
      </c>
    </row>
    <row r="360" spans="1:13" x14ac:dyDescent="0.25">
      <c r="A360" s="31"/>
      <c r="B360" s="16" t="str">
        <f>IFERROR(VLOOKUP(A360,Consolidado!$B$1:$L$1500,2,FALSE),"")</f>
        <v/>
      </c>
      <c r="C360" s="16">
        <f>IFERROR(SUMIF(Consolidado!$B$1:$B$1500,VLOOKUP(RegistroPago!A360,Consolidado!$B$1:$L$1500,1,FALSE),Consolidado!$G$1:$G$1500),"")</f>
        <v>0</v>
      </c>
      <c r="D360" s="3"/>
      <c r="E360" s="3"/>
      <c r="F360" s="5" t="str">
        <f t="shared" si="20"/>
        <v/>
      </c>
      <c r="G360" s="16" t="str">
        <f>IF(D360&lt;&gt;"",D360-VLOOKUP(A360,Consolidado!$B$1:$L$1500,8,FALSE),"")</f>
        <v/>
      </c>
      <c r="H360" s="31"/>
      <c r="I360" s="32">
        <f t="shared" si="21"/>
        <v>0</v>
      </c>
      <c r="J360" s="33" t="str">
        <f t="shared" si="22"/>
        <v/>
      </c>
      <c r="K360" s="2"/>
      <c r="L360" s="15"/>
      <c r="M360" s="34">
        <f t="shared" si="23"/>
        <v>0</v>
      </c>
    </row>
    <row r="361" spans="1:13" x14ac:dyDescent="0.25">
      <c r="A361" s="31"/>
      <c r="B361" s="16" t="str">
        <f>IFERROR(VLOOKUP(A361,Consolidado!$B$1:$L$1500,2,FALSE),"")</f>
        <v/>
      </c>
      <c r="C361" s="16">
        <f>IFERROR(SUMIF(Consolidado!$B$1:$B$1500,VLOOKUP(RegistroPago!A361,Consolidado!$B$1:$L$1500,1,FALSE),Consolidado!$G$1:$G$1500),"")</f>
        <v>0</v>
      </c>
      <c r="D361" s="3"/>
      <c r="E361" s="3"/>
      <c r="F361" s="5" t="str">
        <f t="shared" si="20"/>
        <v/>
      </c>
      <c r="G361" s="16" t="str">
        <f>IF(D361&lt;&gt;"",D361-VLOOKUP(A361,Consolidado!$B$1:$L$1500,8,FALSE),"")</f>
        <v/>
      </c>
      <c r="H361" s="31"/>
      <c r="I361" s="32">
        <f t="shared" si="21"/>
        <v>0</v>
      </c>
      <c r="J361" s="33" t="str">
        <f t="shared" si="22"/>
        <v/>
      </c>
      <c r="K361" s="2"/>
      <c r="L361" s="15"/>
      <c r="M361" s="34">
        <f t="shared" si="23"/>
        <v>0</v>
      </c>
    </row>
    <row r="362" spans="1:13" x14ac:dyDescent="0.25">
      <c r="A362" s="31"/>
      <c r="B362" s="16" t="str">
        <f>IFERROR(VLOOKUP(A362,Consolidado!$B$1:$L$1500,2,FALSE),"")</f>
        <v/>
      </c>
      <c r="C362" s="16">
        <f>IFERROR(SUMIF(Consolidado!$B$1:$B$1500,VLOOKUP(RegistroPago!A362,Consolidado!$B$1:$L$1500,1,FALSE),Consolidado!$G$1:$G$1500),"")</f>
        <v>0</v>
      </c>
      <c r="D362" s="3"/>
      <c r="E362" s="3"/>
      <c r="F362" s="5" t="str">
        <f t="shared" si="20"/>
        <v/>
      </c>
      <c r="G362" s="16" t="str">
        <f>IF(D362&lt;&gt;"",D362-VLOOKUP(A362,Consolidado!$B$1:$L$1500,8,FALSE),"")</f>
        <v/>
      </c>
      <c r="H362" s="31"/>
      <c r="I362" s="32">
        <f t="shared" si="21"/>
        <v>0</v>
      </c>
      <c r="J362" s="33" t="str">
        <f t="shared" si="22"/>
        <v/>
      </c>
      <c r="K362" s="2"/>
      <c r="L362" s="15"/>
      <c r="M362" s="34">
        <f t="shared" si="23"/>
        <v>0</v>
      </c>
    </row>
    <row r="363" spans="1:13" x14ac:dyDescent="0.25">
      <c r="A363" s="31"/>
      <c r="B363" s="16" t="str">
        <f>IFERROR(VLOOKUP(A363,Consolidado!$B$1:$L$1500,2,FALSE),"")</f>
        <v/>
      </c>
      <c r="C363" s="16">
        <f>IFERROR(SUMIF(Consolidado!$B$1:$B$1500,VLOOKUP(RegistroPago!A363,Consolidado!$B$1:$L$1500,1,FALSE),Consolidado!$G$1:$G$1500),"")</f>
        <v>0</v>
      </c>
      <c r="D363" s="3"/>
      <c r="E363" s="3"/>
      <c r="F363" s="5" t="str">
        <f t="shared" si="20"/>
        <v/>
      </c>
      <c r="G363" s="16" t="str">
        <f>IF(D363&lt;&gt;"",D363-VLOOKUP(A363,Consolidado!$B$1:$L$1500,8,FALSE),"")</f>
        <v/>
      </c>
      <c r="H363" s="31"/>
      <c r="I363" s="32">
        <f t="shared" si="21"/>
        <v>0</v>
      </c>
      <c r="J363" s="33" t="str">
        <f t="shared" si="22"/>
        <v/>
      </c>
      <c r="K363" s="2"/>
      <c r="L363" s="15"/>
      <c r="M363" s="34">
        <f t="shared" si="23"/>
        <v>0</v>
      </c>
    </row>
    <row r="364" spans="1:13" x14ac:dyDescent="0.25">
      <c r="A364" s="31"/>
      <c r="B364" s="16" t="str">
        <f>IFERROR(VLOOKUP(A364,Consolidado!$B$1:$L$1500,2,FALSE),"")</f>
        <v/>
      </c>
      <c r="C364" s="16">
        <f>IFERROR(SUMIF(Consolidado!$B$1:$B$1500,VLOOKUP(RegistroPago!A364,Consolidado!$B$1:$L$1500,1,FALSE),Consolidado!$G$1:$G$1500),"")</f>
        <v>0</v>
      </c>
      <c r="D364" s="3"/>
      <c r="E364" s="3"/>
      <c r="F364" s="5" t="str">
        <f t="shared" si="20"/>
        <v/>
      </c>
      <c r="G364" s="16" t="str">
        <f>IF(D364&lt;&gt;"",D364-VLOOKUP(A364,Consolidado!$B$1:$L$1500,8,FALSE),"")</f>
        <v/>
      </c>
      <c r="H364" s="31"/>
      <c r="I364" s="32">
        <f t="shared" si="21"/>
        <v>0</v>
      </c>
      <c r="J364" s="33" t="str">
        <f t="shared" si="22"/>
        <v/>
      </c>
      <c r="K364" s="2"/>
      <c r="L364" s="15"/>
      <c r="M364" s="34">
        <f t="shared" si="23"/>
        <v>0</v>
      </c>
    </row>
    <row r="365" spans="1:13" x14ac:dyDescent="0.25">
      <c r="A365" s="31"/>
      <c r="B365" s="16" t="str">
        <f>IFERROR(VLOOKUP(A365,Consolidado!$B$1:$L$1500,2,FALSE),"")</f>
        <v/>
      </c>
      <c r="C365" s="16">
        <f>IFERROR(SUMIF(Consolidado!$B$1:$B$1500,VLOOKUP(RegistroPago!A365,Consolidado!$B$1:$L$1500,1,FALSE),Consolidado!$G$1:$G$1500),"")</f>
        <v>0</v>
      </c>
      <c r="D365" s="3"/>
      <c r="E365" s="3"/>
      <c r="F365" s="5" t="str">
        <f t="shared" si="20"/>
        <v/>
      </c>
      <c r="G365" s="16" t="str">
        <f>IF(D365&lt;&gt;"",D365-VLOOKUP(A365,Consolidado!$B$1:$L$1500,8,FALSE),"")</f>
        <v/>
      </c>
      <c r="H365" s="31"/>
      <c r="I365" s="32">
        <f t="shared" si="21"/>
        <v>0</v>
      </c>
      <c r="J365" s="33" t="str">
        <f t="shared" si="22"/>
        <v/>
      </c>
      <c r="K365" s="2"/>
      <c r="L365" s="15"/>
      <c r="M365" s="34">
        <f t="shared" si="23"/>
        <v>0</v>
      </c>
    </row>
    <row r="366" spans="1:13" x14ac:dyDescent="0.25">
      <c r="A366" s="31"/>
      <c r="B366" s="16" t="str">
        <f>IFERROR(VLOOKUP(A366,Consolidado!$B$1:$L$1500,2,FALSE),"")</f>
        <v/>
      </c>
      <c r="C366" s="16">
        <f>IFERROR(SUMIF(Consolidado!$B$1:$B$1500,VLOOKUP(RegistroPago!A366,Consolidado!$B$1:$L$1500,1,FALSE),Consolidado!$G$1:$G$1500),"")</f>
        <v>0</v>
      </c>
      <c r="D366" s="3"/>
      <c r="E366" s="3"/>
      <c r="F366" s="5" t="str">
        <f t="shared" si="20"/>
        <v/>
      </c>
      <c r="G366" s="16" t="str">
        <f>IF(D366&lt;&gt;"",D366-VLOOKUP(A366,Consolidado!$B$1:$L$1500,8,FALSE),"")</f>
        <v/>
      </c>
      <c r="H366" s="31"/>
      <c r="I366" s="32">
        <f t="shared" si="21"/>
        <v>0</v>
      </c>
      <c r="J366" s="33" t="str">
        <f t="shared" si="22"/>
        <v/>
      </c>
      <c r="K366" s="2"/>
      <c r="L366" s="15"/>
      <c r="M366" s="34">
        <f t="shared" si="23"/>
        <v>0</v>
      </c>
    </row>
    <row r="367" spans="1:13" x14ac:dyDescent="0.25">
      <c r="A367" s="31"/>
      <c r="B367" s="16" t="str">
        <f>IFERROR(VLOOKUP(A367,Consolidado!$B$1:$L$1500,2,FALSE),"")</f>
        <v/>
      </c>
      <c r="C367" s="16">
        <f>IFERROR(SUMIF(Consolidado!$B$1:$B$1500,VLOOKUP(RegistroPago!A367,Consolidado!$B$1:$L$1500,1,FALSE),Consolidado!$G$1:$G$1500),"")</f>
        <v>0</v>
      </c>
      <c r="D367" s="3"/>
      <c r="E367" s="3"/>
      <c r="F367" s="5" t="str">
        <f t="shared" si="20"/>
        <v/>
      </c>
      <c r="G367" s="16" t="str">
        <f>IF(D367&lt;&gt;"",D367-VLOOKUP(A367,Consolidado!$B$1:$L$1500,8,FALSE),"")</f>
        <v/>
      </c>
      <c r="H367" s="31"/>
      <c r="I367" s="32">
        <f t="shared" si="21"/>
        <v>0</v>
      </c>
      <c r="J367" s="33" t="str">
        <f t="shared" si="22"/>
        <v/>
      </c>
      <c r="K367" s="2"/>
      <c r="L367" s="15"/>
      <c r="M367" s="34">
        <f t="shared" si="23"/>
        <v>0</v>
      </c>
    </row>
    <row r="368" spans="1:13" x14ac:dyDescent="0.25">
      <c r="A368" s="31"/>
      <c r="B368" s="16" t="str">
        <f>IFERROR(VLOOKUP(A368,Consolidado!$B$1:$L$1500,2,FALSE),"")</f>
        <v/>
      </c>
      <c r="C368" s="16">
        <f>IFERROR(SUMIF(Consolidado!$B$1:$B$1500,VLOOKUP(RegistroPago!A368,Consolidado!$B$1:$L$1500,1,FALSE),Consolidado!$G$1:$G$1500),"")</f>
        <v>0</v>
      </c>
      <c r="D368" s="3"/>
      <c r="E368" s="3"/>
      <c r="F368" s="5" t="str">
        <f t="shared" si="20"/>
        <v/>
      </c>
      <c r="G368" s="16" t="str">
        <f>IF(D368&lt;&gt;"",D368-VLOOKUP(A368,Consolidado!$B$1:$L$1500,8,FALSE),"")</f>
        <v/>
      </c>
      <c r="H368" s="31"/>
      <c r="I368" s="32">
        <f t="shared" si="21"/>
        <v>0</v>
      </c>
      <c r="J368" s="33" t="str">
        <f t="shared" si="22"/>
        <v/>
      </c>
      <c r="K368" s="2"/>
      <c r="L368" s="15"/>
      <c r="M368" s="34">
        <f t="shared" si="23"/>
        <v>0</v>
      </c>
    </row>
    <row r="369" spans="1:13" x14ac:dyDescent="0.25">
      <c r="A369" s="31"/>
      <c r="B369" s="16" t="str">
        <f>IFERROR(VLOOKUP(A369,Consolidado!$B$1:$L$1500,2,FALSE),"")</f>
        <v/>
      </c>
      <c r="C369" s="16">
        <f>IFERROR(SUMIF(Consolidado!$B$1:$B$1500,VLOOKUP(RegistroPago!A369,Consolidado!$B$1:$L$1500,1,FALSE),Consolidado!$G$1:$G$1500),"")</f>
        <v>0</v>
      </c>
      <c r="D369" s="3"/>
      <c r="E369" s="3"/>
      <c r="F369" s="5" t="str">
        <f t="shared" si="20"/>
        <v/>
      </c>
      <c r="G369" s="16" t="str">
        <f>IF(D369&lt;&gt;"",D369-VLOOKUP(A369,Consolidado!$B$1:$L$1500,8,FALSE),"")</f>
        <v/>
      </c>
      <c r="H369" s="31"/>
      <c r="I369" s="32">
        <f t="shared" si="21"/>
        <v>0</v>
      </c>
      <c r="J369" s="33" t="str">
        <f t="shared" si="22"/>
        <v/>
      </c>
      <c r="K369" s="2"/>
      <c r="L369" s="15"/>
      <c r="M369" s="34">
        <f t="shared" si="23"/>
        <v>0</v>
      </c>
    </row>
    <row r="370" spans="1:13" x14ac:dyDescent="0.25">
      <c r="A370" s="31"/>
      <c r="B370" s="16" t="str">
        <f>IFERROR(VLOOKUP(A370,Consolidado!$B$1:$L$1500,2,FALSE),"")</f>
        <v/>
      </c>
      <c r="C370" s="16">
        <f>IFERROR(SUMIF(Consolidado!$B$1:$B$1500,VLOOKUP(RegistroPago!A370,Consolidado!$B$1:$L$1500,1,FALSE),Consolidado!$G$1:$G$1500),"")</f>
        <v>0</v>
      </c>
      <c r="D370" s="3"/>
      <c r="E370" s="3"/>
      <c r="F370" s="5" t="str">
        <f t="shared" si="20"/>
        <v/>
      </c>
      <c r="G370" s="16" t="str">
        <f>IF(D370&lt;&gt;"",D370-VLOOKUP(A370,Consolidado!$B$1:$L$1500,8,FALSE),"")</f>
        <v/>
      </c>
      <c r="H370" s="31"/>
      <c r="I370" s="32">
        <f t="shared" si="21"/>
        <v>0</v>
      </c>
      <c r="J370" s="33" t="str">
        <f t="shared" si="22"/>
        <v/>
      </c>
      <c r="K370" s="2"/>
      <c r="L370" s="15"/>
      <c r="M370" s="34">
        <f t="shared" si="23"/>
        <v>0</v>
      </c>
    </row>
    <row r="371" spans="1:13" x14ac:dyDescent="0.25">
      <c r="A371" s="31"/>
      <c r="B371" s="16" t="str">
        <f>IFERROR(VLOOKUP(A371,Consolidado!$B$1:$L$1500,2,FALSE),"")</f>
        <v/>
      </c>
      <c r="C371" s="16">
        <f>IFERROR(SUMIF(Consolidado!$B$1:$B$1500,VLOOKUP(RegistroPago!A371,Consolidado!$B$1:$L$1500,1,FALSE),Consolidado!$G$1:$G$1500),"")</f>
        <v>0</v>
      </c>
      <c r="D371" s="3"/>
      <c r="E371" s="3"/>
      <c r="F371" s="5" t="str">
        <f t="shared" si="20"/>
        <v/>
      </c>
      <c r="G371" s="16" t="str">
        <f>IF(D371&lt;&gt;"",D371-VLOOKUP(A371,Consolidado!$B$1:$L$1500,8,FALSE),"")</f>
        <v/>
      </c>
      <c r="H371" s="31"/>
      <c r="I371" s="32">
        <f t="shared" si="21"/>
        <v>0</v>
      </c>
      <c r="J371" s="33" t="str">
        <f t="shared" si="22"/>
        <v/>
      </c>
      <c r="K371" s="2"/>
      <c r="L371" s="15"/>
      <c r="M371" s="34">
        <f t="shared" si="23"/>
        <v>0</v>
      </c>
    </row>
    <row r="372" spans="1:13" x14ac:dyDescent="0.25">
      <c r="A372" s="31"/>
      <c r="B372" s="16" t="str">
        <f>IFERROR(VLOOKUP(A372,Consolidado!$B$1:$L$1500,2,FALSE),"")</f>
        <v/>
      </c>
      <c r="C372" s="16">
        <f>IFERROR(SUMIF(Consolidado!$B$1:$B$1500,VLOOKUP(RegistroPago!A372,Consolidado!$B$1:$L$1500,1,FALSE),Consolidado!$G$1:$G$1500),"")</f>
        <v>0</v>
      </c>
      <c r="D372" s="3"/>
      <c r="E372" s="3"/>
      <c r="F372" s="5" t="str">
        <f t="shared" si="20"/>
        <v/>
      </c>
      <c r="G372" s="16" t="str">
        <f>IF(D372&lt;&gt;"",D372-VLOOKUP(A372,Consolidado!$B$1:$L$1500,8,FALSE),"")</f>
        <v/>
      </c>
      <c r="H372" s="31"/>
      <c r="I372" s="32">
        <f t="shared" si="21"/>
        <v>0</v>
      </c>
      <c r="J372" s="33" t="str">
        <f t="shared" si="22"/>
        <v/>
      </c>
      <c r="K372" s="2"/>
      <c r="L372" s="15"/>
      <c r="M372" s="34">
        <f t="shared" si="23"/>
        <v>0</v>
      </c>
    </row>
    <row r="373" spans="1:13" x14ac:dyDescent="0.25">
      <c r="A373" s="31"/>
      <c r="B373" s="16" t="str">
        <f>IFERROR(VLOOKUP(A373,Consolidado!$B$1:$L$1500,2,FALSE),"")</f>
        <v/>
      </c>
      <c r="C373" s="16">
        <f>IFERROR(SUMIF(Consolidado!$B$1:$B$1500,VLOOKUP(RegistroPago!A373,Consolidado!$B$1:$L$1500,1,FALSE),Consolidado!$G$1:$G$1500),"")</f>
        <v>0</v>
      </c>
      <c r="D373" s="3"/>
      <c r="E373" s="3"/>
      <c r="F373" s="5" t="str">
        <f t="shared" si="20"/>
        <v/>
      </c>
      <c r="G373" s="16" t="str">
        <f>IF(D373&lt;&gt;"",D373-VLOOKUP(A373,Consolidado!$B$1:$L$1500,8,FALSE),"")</f>
        <v/>
      </c>
      <c r="H373" s="31"/>
      <c r="I373" s="32">
        <f t="shared" si="21"/>
        <v>0</v>
      </c>
      <c r="J373" s="33" t="str">
        <f t="shared" si="22"/>
        <v/>
      </c>
      <c r="K373" s="2"/>
      <c r="L373" s="15"/>
      <c r="M373" s="34">
        <f t="shared" si="23"/>
        <v>0</v>
      </c>
    </row>
    <row r="374" spans="1:13" x14ac:dyDescent="0.25">
      <c r="A374" s="31"/>
      <c r="B374" s="16" t="str">
        <f>IFERROR(VLOOKUP(A374,Consolidado!$B$1:$L$1500,2,FALSE),"")</f>
        <v/>
      </c>
      <c r="C374" s="16">
        <f>IFERROR(SUMIF(Consolidado!$B$1:$B$1500,VLOOKUP(RegistroPago!A374,Consolidado!$B$1:$L$1500,1,FALSE),Consolidado!$G$1:$G$1500),"")</f>
        <v>0</v>
      </c>
      <c r="D374" s="3"/>
      <c r="E374" s="3"/>
      <c r="F374" s="5" t="str">
        <f t="shared" si="20"/>
        <v/>
      </c>
      <c r="G374" s="16" t="str">
        <f>IF(D374&lt;&gt;"",D374-VLOOKUP(A374,Consolidado!$B$1:$L$1500,8,FALSE),"")</f>
        <v/>
      </c>
      <c r="H374" s="31"/>
      <c r="I374" s="32">
        <f t="shared" si="21"/>
        <v>0</v>
      </c>
      <c r="J374" s="33" t="str">
        <f t="shared" si="22"/>
        <v/>
      </c>
      <c r="K374" s="2"/>
      <c r="L374" s="15"/>
      <c r="M374" s="34">
        <f t="shared" si="23"/>
        <v>0</v>
      </c>
    </row>
    <row r="375" spans="1:13" x14ac:dyDescent="0.25">
      <c r="A375" s="31"/>
      <c r="B375" s="16" t="str">
        <f>IFERROR(VLOOKUP(A375,Consolidado!$B$1:$L$1500,2,FALSE),"")</f>
        <v/>
      </c>
      <c r="C375" s="16">
        <f>IFERROR(SUMIF(Consolidado!$B$1:$B$1500,VLOOKUP(RegistroPago!A375,Consolidado!$B$1:$L$1500,1,FALSE),Consolidado!$G$1:$G$1500),"")</f>
        <v>0</v>
      </c>
      <c r="D375" s="3"/>
      <c r="E375" s="3"/>
      <c r="F375" s="5" t="str">
        <f t="shared" si="20"/>
        <v/>
      </c>
      <c r="G375" s="16" t="str">
        <f>IF(D375&lt;&gt;"",D375-VLOOKUP(A375,Consolidado!$B$1:$L$1500,8,FALSE),"")</f>
        <v/>
      </c>
      <c r="H375" s="31"/>
      <c r="I375" s="32">
        <f t="shared" si="21"/>
        <v>0</v>
      </c>
      <c r="J375" s="33" t="str">
        <f t="shared" si="22"/>
        <v/>
      </c>
      <c r="K375" s="2"/>
      <c r="L375" s="15"/>
      <c r="M375" s="34">
        <f t="shared" si="23"/>
        <v>0</v>
      </c>
    </row>
    <row r="376" spans="1:13" x14ac:dyDescent="0.25">
      <c r="A376" s="31"/>
      <c r="B376" s="16" t="str">
        <f>IFERROR(VLOOKUP(A376,Consolidado!$B$1:$L$1500,2,FALSE),"")</f>
        <v/>
      </c>
      <c r="C376" s="16">
        <f>IFERROR(SUMIF(Consolidado!$B$1:$B$1500,VLOOKUP(RegistroPago!A376,Consolidado!$B$1:$L$1500,1,FALSE),Consolidado!$G$1:$G$1500),"")</f>
        <v>0</v>
      </c>
      <c r="D376" s="3"/>
      <c r="E376" s="3"/>
      <c r="F376" s="5" t="str">
        <f t="shared" si="20"/>
        <v/>
      </c>
      <c r="G376" s="16" t="str">
        <f>IF(D376&lt;&gt;"",D376-VLOOKUP(A376,Consolidado!$B$1:$L$1500,8,FALSE),"")</f>
        <v/>
      </c>
      <c r="H376" s="31"/>
      <c r="I376" s="32">
        <f t="shared" si="21"/>
        <v>0</v>
      </c>
      <c r="J376" s="33" t="str">
        <f t="shared" si="22"/>
        <v/>
      </c>
      <c r="K376" s="2"/>
      <c r="L376" s="15"/>
      <c r="M376" s="34">
        <f t="shared" si="23"/>
        <v>0</v>
      </c>
    </row>
    <row r="377" spans="1:13" x14ac:dyDescent="0.25">
      <c r="A377" s="31"/>
      <c r="B377" s="16" t="str">
        <f>IFERROR(VLOOKUP(A377,Consolidado!$B$1:$L$1500,2,FALSE),"")</f>
        <v/>
      </c>
      <c r="C377" s="16">
        <f>IFERROR(SUMIF(Consolidado!$B$1:$B$1500,VLOOKUP(RegistroPago!A377,Consolidado!$B$1:$L$1500,1,FALSE),Consolidado!$G$1:$G$1500),"")</f>
        <v>0</v>
      </c>
      <c r="D377" s="3"/>
      <c r="E377" s="3"/>
      <c r="F377" s="5" t="str">
        <f t="shared" si="20"/>
        <v/>
      </c>
      <c r="G377" s="16" t="str">
        <f>IF(D377&lt;&gt;"",D377-VLOOKUP(A377,Consolidado!$B$1:$L$1500,8,FALSE),"")</f>
        <v/>
      </c>
      <c r="H377" s="31"/>
      <c r="I377" s="32">
        <f t="shared" si="21"/>
        <v>0</v>
      </c>
      <c r="J377" s="33" t="str">
        <f t="shared" si="22"/>
        <v/>
      </c>
      <c r="K377" s="2"/>
      <c r="L377" s="15"/>
      <c r="M377" s="34">
        <f t="shared" si="23"/>
        <v>0</v>
      </c>
    </row>
    <row r="378" spans="1:13" x14ac:dyDescent="0.25">
      <c r="A378" s="31"/>
      <c r="B378" s="16" t="str">
        <f>IFERROR(VLOOKUP(A378,Consolidado!$B$1:$L$1500,2,FALSE),"")</f>
        <v/>
      </c>
      <c r="C378" s="16">
        <f>IFERROR(SUMIF(Consolidado!$B$1:$B$1500,VLOOKUP(RegistroPago!A378,Consolidado!$B$1:$L$1500,1,FALSE),Consolidado!$G$1:$G$1500),"")</f>
        <v>0</v>
      </c>
      <c r="D378" s="3"/>
      <c r="E378" s="3"/>
      <c r="F378" s="5" t="str">
        <f t="shared" si="20"/>
        <v/>
      </c>
      <c r="G378" s="16" t="str">
        <f>IF(D378&lt;&gt;"",D378-VLOOKUP(A378,Consolidado!$B$1:$L$1500,8,FALSE),"")</f>
        <v/>
      </c>
      <c r="H378" s="31"/>
      <c r="I378" s="32">
        <f t="shared" si="21"/>
        <v>0</v>
      </c>
      <c r="J378" s="33" t="str">
        <f t="shared" si="22"/>
        <v/>
      </c>
      <c r="K378" s="2"/>
      <c r="L378" s="15"/>
      <c r="M378" s="34">
        <f t="shared" si="23"/>
        <v>0</v>
      </c>
    </row>
    <row r="379" spans="1:13" x14ac:dyDescent="0.25">
      <c r="A379" s="31"/>
      <c r="B379" s="16" t="str">
        <f>IFERROR(VLOOKUP(A379,Consolidado!$B$1:$L$1500,2,FALSE),"")</f>
        <v/>
      </c>
      <c r="C379" s="16">
        <f>IFERROR(SUMIF(Consolidado!$B$1:$B$1500,VLOOKUP(RegistroPago!A379,Consolidado!$B$1:$L$1500,1,FALSE),Consolidado!$G$1:$G$1500),"")</f>
        <v>0</v>
      </c>
      <c r="D379" s="3"/>
      <c r="E379" s="3"/>
      <c r="F379" s="5" t="str">
        <f t="shared" si="20"/>
        <v/>
      </c>
      <c r="G379" s="16" t="str">
        <f>IF(D379&lt;&gt;"",D379-VLOOKUP(A379,Consolidado!$B$1:$L$1500,8,FALSE),"")</f>
        <v/>
      </c>
      <c r="H379" s="31"/>
      <c r="I379" s="32">
        <f t="shared" si="21"/>
        <v>0</v>
      </c>
      <c r="J379" s="33" t="str">
        <f t="shared" si="22"/>
        <v/>
      </c>
      <c r="K379" s="2"/>
      <c r="L379" s="15"/>
      <c r="M379" s="34">
        <f t="shared" si="23"/>
        <v>0</v>
      </c>
    </row>
    <row r="380" spans="1:13" x14ac:dyDescent="0.25">
      <c r="A380" s="31"/>
      <c r="B380" s="16" t="str">
        <f>IFERROR(VLOOKUP(A380,Consolidado!$B$1:$L$1500,2,FALSE),"")</f>
        <v/>
      </c>
      <c r="C380" s="16">
        <f>IFERROR(SUMIF(Consolidado!$B$1:$B$1500,VLOOKUP(RegistroPago!A380,Consolidado!$B$1:$L$1500,1,FALSE),Consolidado!$G$1:$G$1500),"")</f>
        <v>0</v>
      </c>
      <c r="D380" s="3"/>
      <c r="E380" s="3"/>
      <c r="F380" s="5" t="str">
        <f t="shared" si="20"/>
        <v/>
      </c>
      <c r="G380" s="16" t="str">
        <f>IF(D380&lt;&gt;"",D380-VLOOKUP(A380,Consolidado!$B$1:$L$1500,8,FALSE),"")</f>
        <v/>
      </c>
      <c r="H380" s="31"/>
      <c r="I380" s="32">
        <f t="shared" si="21"/>
        <v>0</v>
      </c>
      <c r="J380" s="33" t="str">
        <f t="shared" si="22"/>
        <v/>
      </c>
      <c r="K380" s="2"/>
      <c r="L380" s="15"/>
      <c r="M380" s="34">
        <f t="shared" si="23"/>
        <v>0</v>
      </c>
    </row>
    <row r="381" spans="1:13" x14ac:dyDescent="0.25">
      <c r="A381" s="31"/>
      <c r="B381" s="16" t="str">
        <f>IFERROR(VLOOKUP(A381,Consolidado!$B$1:$L$1500,2,FALSE),"")</f>
        <v/>
      </c>
      <c r="C381" s="16">
        <f>IFERROR(SUMIF(Consolidado!$B$1:$B$1500,VLOOKUP(RegistroPago!A381,Consolidado!$B$1:$L$1500,1,FALSE),Consolidado!$G$1:$G$1500),"")</f>
        <v>0</v>
      </c>
      <c r="D381" s="3"/>
      <c r="E381" s="3"/>
      <c r="F381" s="5" t="str">
        <f t="shared" si="20"/>
        <v/>
      </c>
      <c r="G381" s="16" t="str">
        <f>IF(D381&lt;&gt;"",D381-VLOOKUP(A381,Consolidado!$B$1:$L$1500,8,FALSE),"")</f>
        <v/>
      </c>
      <c r="H381" s="31"/>
      <c r="I381" s="32">
        <f t="shared" si="21"/>
        <v>0</v>
      </c>
      <c r="J381" s="33" t="str">
        <f t="shared" si="22"/>
        <v/>
      </c>
      <c r="K381" s="2"/>
      <c r="L381" s="15"/>
      <c r="M381" s="34">
        <f t="shared" si="23"/>
        <v>0</v>
      </c>
    </row>
    <row r="382" spans="1:13" x14ac:dyDescent="0.25">
      <c r="A382" s="31"/>
      <c r="B382" s="16" t="str">
        <f>IFERROR(VLOOKUP(A382,Consolidado!$B$1:$L$1500,2,FALSE),"")</f>
        <v/>
      </c>
      <c r="C382" s="16">
        <f>IFERROR(SUMIF(Consolidado!$B$1:$B$1500,VLOOKUP(RegistroPago!A382,Consolidado!$B$1:$L$1500,1,FALSE),Consolidado!$G$1:$G$1500),"")</f>
        <v>0</v>
      </c>
      <c r="D382" s="3"/>
      <c r="E382" s="3"/>
      <c r="F382" s="5" t="str">
        <f t="shared" si="20"/>
        <v/>
      </c>
      <c r="G382" s="16" t="str">
        <f>IF(D382&lt;&gt;"",D382-VLOOKUP(A382,Consolidado!$B$1:$L$1500,8,FALSE),"")</f>
        <v/>
      </c>
      <c r="H382" s="31"/>
      <c r="I382" s="32">
        <f t="shared" si="21"/>
        <v>0</v>
      </c>
      <c r="J382" s="33" t="str">
        <f t="shared" si="22"/>
        <v/>
      </c>
      <c r="K382" s="2"/>
      <c r="L382" s="15"/>
      <c r="M382" s="34">
        <f t="shared" si="23"/>
        <v>0</v>
      </c>
    </row>
    <row r="383" spans="1:13" x14ac:dyDescent="0.25">
      <c r="A383" s="31"/>
      <c r="B383" s="16" t="str">
        <f>IFERROR(VLOOKUP(A383,Consolidado!$B$1:$L$1500,2,FALSE),"")</f>
        <v/>
      </c>
      <c r="C383" s="16">
        <f>IFERROR(SUMIF(Consolidado!$B$1:$B$1500,VLOOKUP(RegistroPago!A383,Consolidado!$B$1:$L$1500,1,FALSE),Consolidado!$G$1:$G$1500),"")</f>
        <v>0</v>
      </c>
      <c r="D383" s="3"/>
      <c r="E383" s="3"/>
      <c r="F383" s="5" t="str">
        <f t="shared" si="20"/>
        <v/>
      </c>
      <c r="G383" s="16" t="str">
        <f>IF(D383&lt;&gt;"",D383-VLOOKUP(A383,Consolidado!$B$1:$L$1500,8,FALSE),"")</f>
        <v/>
      </c>
      <c r="H383" s="31"/>
      <c r="I383" s="32">
        <f t="shared" si="21"/>
        <v>0</v>
      </c>
      <c r="J383" s="33" t="str">
        <f t="shared" si="22"/>
        <v/>
      </c>
      <c r="K383" s="2"/>
      <c r="L383" s="15"/>
      <c r="M383" s="34">
        <f t="shared" si="23"/>
        <v>0</v>
      </c>
    </row>
    <row r="384" spans="1:13" x14ac:dyDescent="0.25">
      <c r="A384" s="31"/>
      <c r="B384" s="16" t="str">
        <f>IFERROR(VLOOKUP(A384,Consolidado!$B$1:$L$1500,2,FALSE),"")</f>
        <v/>
      </c>
      <c r="C384" s="16">
        <f>IFERROR(SUMIF(Consolidado!$B$1:$B$1500,VLOOKUP(RegistroPago!A384,Consolidado!$B$1:$L$1500,1,FALSE),Consolidado!$G$1:$G$1500),"")</f>
        <v>0</v>
      </c>
      <c r="D384" s="3"/>
      <c r="E384" s="3"/>
      <c r="F384" s="5" t="str">
        <f t="shared" si="20"/>
        <v/>
      </c>
      <c r="G384" s="16" t="str">
        <f>IF(D384&lt;&gt;"",D384-VLOOKUP(A384,Consolidado!$B$1:$L$1500,8,FALSE),"")</f>
        <v/>
      </c>
      <c r="H384" s="31"/>
      <c r="I384" s="32">
        <f t="shared" si="21"/>
        <v>0</v>
      </c>
      <c r="J384" s="33" t="str">
        <f t="shared" si="22"/>
        <v/>
      </c>
      <c r="K384" s="2"/>
      <c r="L384" s="15"/>
      <c r="M384" s="34">
        <f t="shared" si="23"/>
        <v>0</v>
      </c>
    </row>
    <row r="385" spans="1:13" x14ac:dyDescent="0.25">
      <c r="A385" s="31"/>
      <c r="B385" s="16" t="str">
        <f>IFERROR(VLOOKUP(A385,Consolidado!$B$1:$L$1500,2,FALSE),"")</f>
        <v/>
      </c>
      <c r="C385" s="16">
        <f>IFERROR(SUMIF(Consolidado!$B$1:$B$1500,VLOOKUP(RegistroPago!A385,Consolidado!$B$1:$L$1500,1,FALSE),Consolidado!$G$1:$G$1500),"")</f>
        <v>0</v>
      </c>
      <c r="D385" s="3"/>
      <c r="E385" s="3"/>
      <c r="F385" s="5" t="str">
        <f t="shared" si="20"/>
        <v/>
      </c>
      <c r="G385" s="16" t="str">
        <f>IF(D385&lt;&gt;"",D385-VLOOKUP(A385,Consolidado!$B$1:$L$1500,8,FALSE),"")</f>
        <v/>
      </c>
      <c r="H385" s="31"/>
      <c r="I385" s="32">
        <f t="shared" si="21"/>
        <v>0</v>
      </c>
      <c r="J385" s="33" t="str">
        <f t="shared" si="22"/>
        <v/>
      </c>
      <c r="K385" s="2"/>
      <c r="L385" s="15"/>
      <c r="M385" s="34">
        <f t="shared" si="23"/>
        <v>0</v>
      </c>
    </row>
    <row r="386" spans="1:13" x14ac:dyDescent="0.25">
      <c r="A386" s="31"/>
      <c r="B386" s="16" t="str">
        <f>IFERROR(VLOOKUP(A386,Consolidado!$B$1:$L$1500,2,FALSE),"")</f>
        <v/>
      </c>
      <c r="C386" s="16">
        <f>IFERROR(SUMIF(Consolidado!$B$1:$B$1500,VLOOKUP(RegistroPago!A386,Consolidado!$B$1:$L$1500,1,FALSE),Consolidado!$G$1:$G$1500),"")</f>
        <v>0</v>
      </c>
      <c r="D386" s="3"/>
      <c r="E386" s="3"/>
      <c r="F386" s="5" t="str">
        <f t="shared" si="20"/>
        <v/>
      </c>
      <c r="G386" s="16" t="str">
        <f>IF(D386&lt;&gt;"",D386-VLOOKUP(A386,Consolidado!$B$1:$L$1500,8,FALSE),"")</f>
        <v/>
      </c>
      <c r="H386" s="31"/>
      <c r="I386" s="32">
        <f t="shared" si="21"/>
        <v>0</v>
      </c>
      <c r="J386" s="33" t="str">
        <f t="shared" si="22"/>
        <v/>
      </c>
      <c r="K386" s="2"/>
      <c r="L386" s="15"/>
      <c r="M386" s="34">
        <f t="shared" si="23"/>
        <v>0</v>
      </c>
    </row>
    <row r="387" spans="1:13" x14ac:dyDescent="0.25">
      <c r="A387" s="31"/>
      <c r="B387" s="16" t="str">
        <f>IFERROR(VLOOKUP(A387,Consolidado!$B$1:$L$1500,2,FALSE),"")</f>
        <v/>
      </c>
      <c r="C387" s="16">
        <f>IFERROR(SUMIF(Consolidado!$B$1:$B$1500,VLOOKUP(RegistroPago!A387,Consolidado!$B$1:$L$1500,1,FALSE),Consolidado!$G$1:$G$1500),"")</f>
        <v>0</v>
      </c>
      <c r="D387" s="3"/>
      <c r="E387" s="3"/>
      <c r="F387" s="5" t="str">
        <f t="shared" ref="F387:F450" si="24">IF(COUNTIF($E$2:$E$2000,E387)&gt;1,"Ya registrado","")</f>
        <v/>
      </c>
      <c r="G387" s="16" t="str">
        <f>IF(D387&lt;&gt;"",D387-VLOOKUP(A387,Consolidado!$B$1:$L$1500,8,FALSE),"")</f>
        <v/>
      </c>
      <c r="H387" s="31"/>
      <c r="I387" s="32">
        <f t="shared" ref="I387:I450" si="25">IFERROR(SUMIF($E$1:$E$2000,H387,$C$1:$C$2000)-SUMIF($E$1:$E$2000,H387,$F$1:$F$2000),"")</f>
        <v>0</v>
      </c>
      <c r="J387" s="33" t="str">
        <f t="shared" ref="J387:J450" si="26">IFERROR(I387/SUMIF($E$1:$E$2000,H387,$C$1:$C$2000),"")</f>
        <v/>
      </c>
      <c r="K387" s="2"/>
      <c r="L387" s="15"/>
      <c r="M387" s="34">
        <f t="shared" ref="M387:M450" si="27">IFERROR(L387*SUMIF($E$1:$E$2000,H387,$F$1:$F$2000),"")</f>
        <v>0</v>
      </c>
    </row>
    <row r="388" spans="1:13" x14ac:dyDescent="0.25">
      <c r="A388" s="31"/>
      <c r="B388" s="16" t="str">
        <f>IFERROR(VLOOKUP(A388,Consolidado!$B$1:$L$1500,2,FALSE),"")</f>
        <v/>
      </c>
      <c r="C388" s="16">
        <f>IFERROR(SUMIF(Consolidado!$B$1:$B$1500,VLOOKUP(RegistroPago!A388,Consolidado!$B$1:$L$1500,1,FALSE),Consolidado!$G$1:$G$1500),"")</f>
        <v>0</v>
      </c>
      <c r="D388" s="3"/>
      <c r="E388" s="3"/>
      <c r="F388" s="5" t="str">
        <f t="shared" si="24"/>
        <v/>
      </c>
      <c r="G388" s="16" t="str">
        <f>IF(D388&lt;&gt;"",D388-VLOOKUP(A388,Consolidado!$B$1:$L$1500,8,FALSE),"")</f>
        <v/>
      </c>
      <c r="H388" s="31"/>
      <c r="I388" s="32">
        <f t="shared" si="25"/>
        <v>0</v>
      </c>
      <c r="J388" s="33" t="str">
        <f t="shared" si="26"/>
        <v/>
      </c>
      <c r="K388" s="2"/>
      <c r="L388" s="15"/>
      <c r="M388" s="34">
        <f t="shared" si="27"/>
        <v>0</v>
      </c>
    </row>
    <row r="389" spans="1:13" x14ac:dyDescent="0.25">
      <c r="A389" s="31"/>
      <c r="B389" s="16" t="str">
        <f>IFERROR(VLOOKUP(A389,Consolidado!$B$1:$L$1500,2,FALSE),"")</f>
        <v/>
      </c>
      <c r="C389" s="16">
        <f>IFERROR(SUMIF(Consolidado!$B$1:$B$1500,VLOOKUP(RegistroPago!A389,Consolidado!$B$1:$L$1500,1,FALSE),Consolidado!$G$1:$G$1500),"")</f>
        <v>0</v>
      </c>
      <c r="D389" s="3"/>
      <c r="E389" s="3"/>
      <c r="F389" s="5" t="str">
        <f t="shared" si="24"/>
        <v/>
      </c>
      <c r="G389" s="16" t="str">
        <f>IF(D389&lt;&gt;"",D389-VLOOKUP(A389,Consolidado!$B$1:$L$1500,8,FALSE),"")</f>
        <v/>
      </c>
      <c r="H389" s="31"/>
      <c r="I389" s="32">
        <f t="shared" si="25"/>
        <v>0</v>
      </c>
      <c r="J389" s="33" t="str">
        <f t="shared" si="26"/>
        <v/>
      </c>
      <c r="K389" s="2"/>
      <c r="L389" s="15"/>
      <c r="M389" s="34">
        <f t="shared" si="27"/>
        <v>0</v>
      </c>
    </row>
    <row r="390" spans="1:13" x14ac:dyDescent="0.25">
      <c r="A390" s="31"/>
      <c r="B390" s="16" t="str">
        <f>IFERROR(VLOOKUP(A390,Consolidado!$B$1:$L$1500,2,FALSE),"")</f>
        <v/>
      </c>
      <c r="C390" s="16">
        <f>IFERROR(SUMIF(Consolidado!$B$1:$B$1500,VLOOKUP(RegistroPago!A390,Consolidado!$B$1:$L$1500,1,FALSE),Consolidado!$G$1:$G$1500),"")</f>
        <v>0</v>
      </c>
      <c r="D390" s="3"/>
      <c r="E390" s="3"/>
      <c r="F390" s="5" t="str">
        <f t="shared" si="24"/>
        <v/>
      </c>
      <c r="G390" s="16" t="str">
        <f>IF(D390&lt;&gt;"",D390-VLOOKUP(A390,Consolidado!$B$1:$L$1500,8,FALSE),"")</f>
        <v/>
      </c>
      <c r="H390" s="31"/>
      <c r="I390" s="32">
        <f t="shared" si="25"/>
        <v>0</v>
      </c>
      <c r="J390" s="33" t="str">
        <f t="shared" si="26"/>
        <v/>
      </c>
      <c r="K390" s="2"/>
      <c r="L390" s="15"/>
      <c r="M390" s="34">
        <f t="shared" si="27"/>
        <v>0</v>
      </c>
    </row>
    <row r="391" spans="1:13" x14ac:dyDescent="0.25">
      <c r="A391" s="31"/>
      <c r="B391" s="16" t="str">
        <f>IFERROR(VLOOKUP(A391,Consolidado!$B$1:$L$1500,2,FALSE),"")</f>
        <v/>
      </c>
      <c r="C391" s="16">
        <f>IFERROR(SUMIF(Consolidado!$B$1:$B$1500,VLOOKUP(RegistroPago!A391,Consolidado!$B$1:$L$1500,1,FALSE),Consolidado!$G$1:$G$1500),"")</f>
        <v>0</v>
      </c>
      <c r="D391" s="3"/>
      <c r="E391" s="3"/>
      <c r="F391" s="5" t="str">
        <f t="shared" si="24"/>
        <v/>
      </c>
      <c r="G391" s="16" t="str">
        <f>IF(D391&lt;&gt;"",D391-VLOOKUP(A391,Consolidado!$B$1:$L$1500,8,FALSE),"")</f>
        <v/>
      </c>
      <c r="H391" s="31"/>
      <c r="I391" s="32">
        <f t="shared" si="25"/>
        <v>0</v>
      </c>
      <c r="J391" s="33" t="str">
        <f t="shared" si="26"/>
        <v/>
      </c>
      <c r="K391" s="2"/>
      <c r="L391" s="15"/>
      <c r="M391" s="34">
        <f t="shared" si="27"/>
        <v>0</v>
      </c>
    </row>
    <row r="392" spans="1:13" x14ac:dyDescent="0.25">
      <c r="A392" s="31"/>
      <c r="B392" s="16" t="str">
        <f>IFERROR(VLOOKUP(A392,Consolidado!$B$1:$L$1500,2,FALSE),"")</f>
        <v/>
      </c>
      <c r="C392" s="16">
        <f>IFERROR(SUMIF(Consolidado!$B$1:$B$1500,VLOOKUP(RegistroPago!A392,Consolidado!$B$1:$L$1500,1,FALSE),Consolidado!$G$1:$G$1500),"")</f>
        <v>0</v>
      </c>
      <c r="D392" s="3"/>
      <c r="E392" s="3"/>
      <c r="F392" s="5" t="str">
        <f t="shared" si="24"/>
        <v/>
      </c>
      <c r="G392" s="16" t="str">
        <f>IF(D392&lt;&gt;"",D392-VLOOKUP(A392,Consolidado!$B$1:$L$1500,8,FALSE),"")</f>
        <v/>
      </c>
      <c r="H392" s="31"/>
      <c r="I392" s="32">
        <f t="shared" si="25"/>
        <v>0</v>
      </c>
      <c r="J392" s="33" t="str">
        <f t="shared" si="26"/>
        <v/>
      </c>
      <c r="K392" s="2"/>
      <c r="L392" s="15"/>
      <c r="M392" s="34">
        <f t="shared" si="27"/>
        <v>0</v>
      </c>
    </row>
    <row r="393" spans="1:13" x14ac:dyDescent="0.25">
      <c r="A393" s="31"/>
      <c r="B393" s="16" t="str">
        <f>IFERROR(VLOOKUP(A393,Consolidado!$B$1:$L$1500,2,FALSE),"")</f>
        <v/>
      </c>
      <c r="C393" s="16">
        <f>IFERROR(SUMIF(Consolidado!$B$1:$B$1500,VLOOKUP(RegistroPago!A393,Consolidado!$B$1:$L$1500,1,FALSE),Consolidado!$G$1:$G$1500),"")</f>
        <v>0</v>
      </c>
      <c r="D393" s="3"/>
      <c r="E393" s="3"/>
      <c r="F393" s="5" t="str">
        <f t="shared" si="24"/>
        <v/>
      </c>
      <c r="G393" s="16" t="str">
        <f>IF(D393&lt;&gt;"",D393-VLOOKUP(A393,Consolidado!$B$1:$L$1500,8,FALSE),"")</f>
        <v/>
      </c>
      <c r="H393" s="31"/>
      <c r="I393" s="32">
        <f t="shared" si="25"/>
        <v>0</v>
      </c>
      <c r="J393" s="33" t="str">
        <f t="shared" si="26"/>
        <v/>
      </c>
      <c r="K393" s="2"/>
      <c r="L393" s="15"/>
      <c r="M393" s="34">
        <f t="shared" si="27"/>
        <v>0</v>
      </c>
    </row>
    <row r="394" spans="1:13" x14ac:dyDescent="0.25">
      <c r="A394" s="31"/>
      <c r="B394" s="16" t="str">
        <f>IFERROR(VLOOKUP(A394,Consolidado!$B$1:$L$1500,2,FALSE),"")</f>
        <v/>
      </c>
      <c r="C394" s="16">
        <f>IFERROR(SUMIF(Consolidado!$B$1:$B$1500,VLOOKUP(RegistroPago!A394,Consolidado!$B$1:$L$1500,1,FALSE),Consolidado!$G$1:$G$1500),"")</f>
        <v>0</v>
      </c>
      <c r="D394" s="3"/>
      <c r="E394" s="3"/>
      <c r="F394" s="5" t="str">
        <f t="shared" si="24"/>
        <v/>
      </c>
      <c r="G394" s="16" t="str">
        <f>IF(D394&lt;&gt;"",D394-VLOOKUP(A394,Consolidado!$B$1:$L$1500,8,FALSE),"")</f>
        <v/>
      </c>
      <c r="H394" s="31"/>
      <c r="I394" s="32">
        <f t="shared" si="25"/>
        <v>0</v>
      </c>
      <c r="J394" s="33" t="str">
        <f t="shared" si="26"/>
        <v/>
      </c>
      <c r="K394" s="2"/>
      <c r="L394" s="15"/>
      <c r="M394" s="34">
        <f t="shared" si="27"/>
        <v>0</v>
      </c>
    </row>
    <row r="395" spans="1:13" x14ac:dyDescent="0.25">
      <c r="A395" s="31"/>
      <c r="B395" s="16" t="str">
        <f>IFERROR(VLOOKUP(A395,Consolidado!$B$1:$L$1500,2,FALSE),"")</f>
        <v/>
      </c>
      <c r="C395" s="16">
        <f>IFERROR(SUMIF(Consolidado!$B$1:$B$1500,VLOOKUP(RegistroPago!A395,Consolidado!$B$1:$L$1500,1,FALSE),Consolidado!$G$1:$G$1500),"")</f>
        <v>0</v>
      </c>
      <c r="D395" s="3"/>
      <c r="E395" s="3"/>
      <c r="F395" s="5" t="str">
        <f t="shared" si="24"/>
        <v/>
      </c>
      <c r="G395" s="16" t="str">
        <f>IF(D395&lt;&gt;"",D395-VLOOKUP(A395,Consolidado!$B$1:$L$1500,8,FALSE),"")</f>
        <v/>
      </c>
      <c r="H395" s="31"/>
      <c r="I395" s="32">
        <f t="shared" si="25"/>
        <v>0</v>
      </c>
      <c r="J395" s="33" t="str">
        <f t="shared" si="26"/>
        <v/>
      </c>
      <c r="K395" s="2"/>
      <c r="L395" s="15"/>
      <c r="M395" s="34">
        <f t="shared" si="27"/>
        <v>0</v>
      </c>
    </row>
    <row r="396" spans="1:13" x14ac:dyDescent="0.25">
      <c r="A396" s="31"/>
      <c r="B396" s="16" t="str">
        <f>IFERROR(VLOOKUP(A396,Consolidado!$B$1:$L$1500,2,FALSE),"")</f>
        <v/>
      </c>
      <c r="C396" s="16">
        <f>IFERROR(SUMIF(Consolidado!$B$1:$B$1500,VLOOKUP(RegistroPago!A396,Consolidado!$B$1:$L$1500,1,FALSE),Consolidado!$G$1:$G$1500),"")</f>
        <v>0</v>
      </c>
      <c r="D396" s="3"/>
      <c r="E396" s="3"/>
      <c r="F396" s="5" t="str">
        <f t="shared" si="24"/>
        <v/>
      </c>
      <c r="G396" s="16" t="str">
        <f>IF(D396&lt;&gt;"",D396-VLOOKUP(A396,Consolidado!$B$1:$L$1500,8,FALSE),"")</f>
        <v/>
      </c>
      <c r="H396" s="31"/>
      <c r="I396" s="32">
        <f t="shared" si="25"/>
        <v>0</v>
      </c>
      <c r="J396" s="33" t="str">
        <f t="shared" si="26"/>
        <v/>
      </c>
      <c r="K396" s="2"/>
      <c r="L396" s="15"/>
      <c r="M396" s="34">
        <f t="shared" si="27"/>
        <v>0</v>
      </c>
    </row>
    <row r="397" spans="1:13" x14ac:dyDescent="0.25">
      <c r="A397" s="31"/>
      <c r="B397" s="16" t="str">
        <f>IFERROR(VLOOKUP(A397,Consolidado!$B$1:$L$1500,2,FALSE),"")</f>
        <v/>
      </c>
      <c r="C397" s="16">
        <f>IFERROR(SUMIF(Consolidado!$B$1:$B$1500,VLOOKUP(RegistroPago!A397,Consolidado!$B$1:$L$1500,1,FALSE),Consolidado!$G$1:$G$1500),"")</f>
        <v>0</v>
      </c>
      <c r="D397" s="3"/>
      <c r="E397" s="3"/>
      <c r="F397" s="5" t="str">
        <f t="shared" si="24"/>
        <v/>
      </c>
      <c r="G397" s="16" t="str">
        <f>IF(D397&lt;&gt;"",D397-VLOOKUP(A397,Consolidado!$B$1:$L$1500,8,FALSE),"")</f>
        <v/>
      </c>
      <c r="H397" s="31"/>
      <c r="I397" s="32">
        <f t="shared" si="25"/>
        <v>0</v>
      </c>
      <c r="J397" s="33" t="str">
        <f t="shared" si="26"/>
        <v/>
      </c>
      <c r="K397" s="2"/>
      <c r="L397" s="15"/>
      <c r="M397" s="34">
        <f t="shared" si="27"/>
        <v>0</v>
      </c>
    </row>
    <row r="398" spans="1:13" x14ac:dyDescent="0.25">
      <c r="A398" s="31"/>
      <c r="B398" s="16" t="str">
        <f>IFERROR(VLOOKUP(A398,Consolidado!$B$1:$L$1500,2,FALSE),"")</f>
        <v/>
      </c>
      <c r="C398" s="16">
        <f>IFERROR(SUMIF(Consolidado!$B$1:$B$1500,VLOOKUP(RegistroPago!A398,Consolidado!$B$1:$L$1500,1,FALSE),Consolidado!$G$1:$G$1500),"")</f>
        <v>0</v>
      </c>
      <c r="D398" s="3"/>
      <c r="E398" s="3"/>
      <c r="F398" s="5" t="str">
        <f t="shared" si="24"/>
        <v/>
      </c>
      <c r="G398" s="16" t="str">
        <f>IF(D398&lt;&gt;"",D398-VLOOKUP(A398,Consolidado!$B$1:$L$1500,8,FALSE),"")</f>
        <v/>
      </c>
      <c r="H398" s="31"/>
      <c r="I398" s="32">
        <f t="shared" si="25"/>
        <v>0</v>
      </c>
      <c r="J398" s="33" t="str">
        <f t="shared" si="26"/>
        <v/>
      </c>
      <c r="K398" s="2"/>
      <c r="L398" s="15"/>
      <c r="M398" s="34">
        <f t="shared" si="27"/>
        <v>0</v>
      </c>
    </row>
    <row r="399" spans="1:13" x14ac:dyDescent="0.25">
      <c r="A399" s="31"/>
      <c r="B399" s="16" t="str">
        <f>IFERROR(VLOOKUP(A399,Consolidado!$B$1:$L$1500,2,FALSE),"")</f>
        <v/>
      </c>
      <c r="C399" s="16">
        <f>IFERROR(SUMIF(Consolidado!$B$1:$B$1500,VLOOKUP(RegistroPago!A399,Consolidado!$B$1:$L$1500,1,FALSE),Consolidado!$G$1:$G$1500),"")</f>
        <v>0</v>
      </c>
      <c r="D399" s="3"/>
      <c r="E399" s="3"/>
      <c r="F399" s="5" t="str">
        <f t="shared" si="24"/>
        <v/>
      </c>
      <c r="G399" s="16" t="str">
        <f>IF(D399&lt;&gt;"",D399-VLOOKUP(A399,Consolidado!$B$1:$L$1500,8,FALSE),"")</f>
        <v/>
      </c>
      <c r="H399" s="31"/>
      <c r="I399" s="32">
        <f t="shared" si="25"/>
        <v>0</v>
      </c>
      <c r="J399" s="33" t="str">
        <f t="shared" si="26"/>
        <v/>
      </c>
      <c r="K399" s="2"/>
      <c r="L399" s="15"/>
      <c r="M399" s="34">
        <f t="shared" si="27"/>
        <v>0</v>
      </c>
    </row>
    <row r="400" spans="1:13" x14ac:dyDescent="0.25">
      <c r="A400" s="31"/>
      <c r="B400" s="16" t="str">
        <f>IFERROR(VLOOKUP(A400,Consolidado!$B$1:$L$1500,2,FALSE),"")</f>
        <v/>
      </c>
      <c r="C400" s="16">
        <f>IFERROR(SUMIF(Consolidado!$B$1:$B$1500,VLOOKUP(RegistroPago!A400,Consolidado!$B$1:$L$1500,1,FALSE),Consolidado!$G$1:$G$1500),"")</f>
        <v>0</v>
      </c>
      <c r="D400" s="3"/>
      <c r="E400" s="3"/>
      <c r="F400" s="5" t="str">
        <f t="shared" si="24"/>
        <v/>
      </c>
      <c r="G400" s="16" t="str">
        <f>IF(D400&lt;&gt;"",D400-VLOOKUP(A400,Consolidado!$B$1:$L$1500,8,FALSE),"")</f>
        <v/>
      </c>
      <c r="H400" s="31"/>
      <c r="I400" s="32">
        <f t="shared" si="25"/>
        <v>0</v>
      </c>
      <c r="J400" s="33" t="str">
        <f t="shared" si="26"/>
        <v/>
      </c>
      <c r="K400" s="2"/>
      <c r="L400" s="15"/>
      <c r="M400" s="34">
        <f t="shared" si="27"/>
        <v>0</v>
      </c>
    </row>
    <row r="401" spans="1:13" x14ac:dyDescent="0.25">
      <c r="A401" s="31"/>
      <c r="B401" s="16" t="str">
        <f>IFERROR(VLOOKUP(A401,Consolidado!$B$1:$L$1500,2,FALSE),"")</f>
        <v/>
      </c>
      <c r="C401" s="16">
        <f>IFERROR(SUMIF(Consolidado!$B$1:$B$1500,VLOOKUP(RegistroPago!A401,Consolidado!$B$1:$L$1500,1,FALSE),Consolidado!$G$1:$G$1500),"")</f>
        <v>0</v>
      </c>
      <c r="D401" s="3"/>
      <c r="E401" s="3"/>
      <c r="F401" s="5" t="str">
        <f t="shared" si="24"/>
        <v/>
      </c>
      <c r="G401" s="16" t="str">
        <f>IF(D401&lt;&gt;"",D401-VLOOKUP(A401,Consolidado!$B$1:$L$1500,8,FALSE),"")</f>
        <v/>
      </c>
      <c r="H401" s="31"/>
      <c r="I401" s="32">
        <f t="shared" si="25"/>
        <v>0</v>
      </c>
      <c r="J401" s="33" t="str">
        <f t="shared" si="26"/>
        <v/>
      </c>
      <c r="K401" s="2"/>
      <c r="L401" s="15"/>
      <c r="M401" s="34">
        <f t="shared" si="27"/>
        <v>0</v>
      </c>
    </row>
    <row r="402" spans="1:13" x14ac:dyDescent="0.25">
      <c r="A402" s="31"/>
      <c r="B402" s="16" t="str">
        <f>IFERROR(VLOOKUP(A402,Consolidado!$B$1:$L$1500,2,FALSE),"")</f>
        <v/>
      </c>
      <c r="C402" s="16">
        <f>IFERROR(SUMIF(Consolidado!$B$1:$B$1500,VLOOKUP(RegistroPago!A402,Consolidado!$B$1:$L$1500,1,FALSE),Consolidado!$G$1:$G$1500),"")</f>
        <v>0</v>
      </c>
      <c r="D402" s="3"/>
      <c r="E402" s="3"/>
      <c r="F402" s="5" t="str">
        <f t="shared" si="24"/>
        <v/>
      </c>
      <c r="G402" s="16" t="str">
        <f>IF(D402&lt;&gt;"",D402-VLOOKUP(A402,Consolidado!$B$1:$L$1500,8,FALSE),"")</f>
        <v/>
      </c>
      <c r="H402" s="31"/>
      <c r="I402" s="32">
        <f t="shared" si="25"/>
        <v>0</v>
      </c>
      <c r="J402" s="33" t="str">
        <f t="shared" si="26"/>
        <v/>
      </c>
      <c r="K402" s="2"/>
      <c r="L402" s="15"/>
      <c r="M402" s="34">
        <f t="shared" si="27"/>
        <v>0</v>
      </c>
    </row>
    <row r="403" spans="1:13" x14ac:dyDescent="0.25">
      <c r="A403" s="31"/>
      <c r="B403" s="16" t="str">
        <f>IFERROR(VLOOKUP(A403,Consolidado!$B$1:$L$1500,2,FALSE),"")</f>
        <v/>
      </c>
      <c r="C403" s="16">
        <f>IFERROR(SUMIF(Consolidado!$B$1:$B$1500,VLOOKUP(RegistroPago!A403,Consolidado!$B$1:$L$1500,1,FALSE),Consolidado!$G$1:$G$1500),"")</f>
        <v>0</v>
      </c>
      <c r="D403" s="3"/>
      <c r="E403" s="3"/>
      <c r="F403" s="5" t="str">
        <f t="shared" si="24"/>
        <v/>
      </c>
      <c r="G403" s="16" t="str">
        <f>IF(D403&lt;&gt;"",D403-VLOOKUP(A403,Consolidado!$B$1:$L$1500,8,FALSE),"")</f>
        <v/>
      </c>
      <c r="H403" s="31"/>
      <c r="I403" s="32">
        <f t="shared" si="25"/>
        <v>0</v>
      </c>
      <c r="J403" s="33" t="str">
        <f t="shared" si="26"/>
        <v/>
      </c>
      <c r="K403" s="2"/>
      <c r="L403" s="15"/>
      <c r="M403" s="34">
        <f t="shared" si="27"/>
        <v>0</v>
      </c>
    </row>
    <row r="404" spans="1:13" x14ac:dyDescent="0.25">
      <c r="A404" s="31"/>
      <c r="B404" s="16" t="str">
        <f>IFERROR(VLOOKUP(A404,Consolidado!$B$1:$L$1500,2,FALSE),"")</f>
        <v/>
      </c>
      <c r="C404" s="16">
        <f>IFERROR(SUMIF(Consolidado!$B$1:$B$1500,VLOOKUP(RegistroPago!A404,Consolidado!$B$1:$L$1500,1,FALSE),Consolidado!$G$1:$G$1500),"")</f>
        <v>0</v>
      </c>
      <c r="D404" s="3"/>
      <c r="E404" s="3"/>
      <c r="F404" s="5" t="str">
        <f t="shared" si="24"/>
        <v/>
      </c>
      <c r="G404" s="16" t="str">
        <f>IF(D404&lt;&gt;"",D404-VLOOKUP(A404,Consolidado!$B$1:$L$1500,8,FALSE),"")</f>
        <v/>
      </c>
      <c r="H404" s="31"/>
      <c r="I404" s="32">
        <f t="shared" si="25"/>
        <v>0</v>
      </c>
      <c r="J404" s="33" t="str">
        <f t="shared" si="26"/>
        <v/>
      </c>
      <c r="K404" s="2"/>
      <c r="L404" s="15"/>
      <c r="M404" s="34">
        <f t="shared" si="27"/>
        <v>0</v>
      </c>
    </row>
    <row r="405" spans="1:13" x14ac:dyDescent="0.25">
      <c r="A405" s="31"/>
      <c r="B405" s="16" t="str">
        <f>IFERROR(VLOOKUP(A405,Consolidado!$B$1:$L$1500,2,FALSE),"")</f>
        <v/>
      </c>
      <c r="C405" s="16">
        <f>IFERROR(SUMIF(Consolidado!$B$1:$B$1500,VLOOKUP(RegistroPago!A405,Consolidado!$B$1:$L$1500,1,FALSE),Consolidado!$G$1:$G$1500),"")</f>
        <v>0</v>
      </c>
      <c r="D405" s="3"/>
      <c r="E405" s="3"/>
      <c r="F405" s="5" t="str">
        <f t="shared" si="24"/>
        <v/>
      </c>
      <c r="G405" s="16" t="str">
        <f>IF(D405&lt;&gt;"",D405-VLOOKUP(A405,Consolidado!$B$1:$L$1500,8,FALSE),"")</f>
        <v/>
      </c>
      <c r="H405" s="31"/>
      <c r="I405" s="32">
        <f t="shared" si="25"/>
        <v>0</v>
      </c>
      <c r="J405" s="33" t="str">
        <f t="shared" si="26"/>
        <v/>
      </c>
      <c r="K405" s="2"/>
      <c r="L405" s="15"/>
      <c r="M405" s="34">
        <f t="shared" si="27"/>
        <v>0</v>
      </c>
    </row>
    <row r="406" spans="1:13" x14ac:dyDescent="0.25">
      <c r="A406" s="31"/>
      <c r="B406" s="16" t="str">
        <f>IFERROR(VLOOKUP(A406,Consolidado!$B$1:$L$1500,2,FALSE),"")</f>
        <v/>
      </c>
      <c r="C406" s="16">
        <f>IFERROR(SUMIF(Consolidado!$B$1:$B$1500,VLOOKUP(RegistroPago!A406,Consolidado!$B$1:$L$1500,1,FALSE),Consolidado!$G$1:$G$1500),"")</f>
        <v>0</v>
      </c>
      <c r="D406" s="3"/>
      <c r="E406" s="3"/>
      <c r="F406" s="5" t="str">
        <f t="shared" si="24"/>
        <v/>
      </c>
      <c r="G406" s="16" t="str">
        <f>IF(D406&lt;&gt;"",D406-VLOOKUP(A406,Consolidado!$B$1:$L$1500,8,FALSE),"")</f>
        <v/>
      </c>
      <c r="H406" s="31"/>
      <c r="I406" s="32">
        <f t="shared" si="25"/>
        <v>0</v>
      </c>
      <c r="J406" s="33" t="str">
        <f t="shared" si="26"/>
        <v/>
      </c>
      <c r="K406" s="2"/>
      <c r="L406" s="15"/>
      <c r="M406" s="34">
        <f t="shared" si="27"/>
        <v>0</v>
      </c>
    </row>
    <row r="407" spans="1:13" x14ac:dyDescent="0.25">
      <c r="A407" s="31"/>
      <c r="B407" s="16" t="str">
        <f>IFERROR(VLOOKUP(A407,Consolidado!$B$1:$L$1500,2,FALSE),"")</f>
        <v/>
      </c>
      <c r="C407" s="16">
        <f>IFERROR(SUMIF(Consolidado!$B$1:$B$1500,VLOOKUP(RegistroPago!A407,Consolidado!$B$1:$L$1500,1,FALSE),Consolidado!$G$1:$G$1500),"")</f>
        <v>0</v>
      </c>
      <c r="D407" s="3"/>
      <c r="E407" s="3"/>
      <c r="F407" s="5" t="str">
        <f t="shared" si="24"/>
        <v/>
      </c>
      <c r="G407" s="16" t="str">
        <f>IF(D407&lt;&gt;"",D407-VLOOKUP(A407,Consolidado!$B$1:$L$1500,8,FALSE),"")</f>
        <v/>
      </c>
      <c r="H407" s="31"/>
      <c r="I407" s="32">
        <f t="shared" si="25"/>
        <v>0</v>
      </c>
      <c r="J407" s="33" t="str">
        <f t="shared" si="26"/>
        <v/>
      </c>
      <c r="K407" s="2"/>
      <c r="L407" s="15"/>
      <c r="M407" s="34">
        <f t="shared" si="27"/>
        <v>0</v>
      </c>
    </row>
    <row r="408" spans="1:13" x14ac:dyDescent="0.25">
      <c r="A408" s="31"/>
      <c r="B408" s="16" t="str">
        <f>IFERROR(VLOOKUP(A408,Consolidado!$B$1:$L$1500,2,FALSE),"")</f>
        <v/>
      </c>
      <c r="C408" s="16">
        <f>IFERROR(SUMIF(Consolidado!$B$1:$B$1500,VLOOKUP(RegistroPago!A408,Consolidado!$B$1:$L$1500,1,FALSE),Consolidado!$G$1:$G$1500),"")</f>
        <v>0</v>
      </c>
      <c r="D408" s="3"/>
      <c r="E408" s="3"/>
      <c r="F408" s="5" t="str">
        <f t="shared" si="24"/>
        <v/>
      </c>
      <c r="G408" s="16" t="str">
        <f>IF(D408&lt;&gt;"",D408-VLOOKUP(A408,Consolidado!$B$1:$L$1500,8,FALSE),"")</f>
        <v/>
      </c>
      <c r="H408" s="31"/>
      <c r="I408" s="32">
        <f t="shared" si="25"/>
        <v>0</v>
      </c>
      <c r="J408" s="33" t="str">
        <f t="shared" si="26"/>
        <v/>
      </c>
      <c r="K408" s="2"/>
      <c r="L408" s="15"/>
      <c r="M408" s="34">
        <f t="shared" si="27"/>
        <v>0</v>
      </c>
    </row>
    <row r="409" spans="1:13" x14ac:dyDescent="0.25">
      <c r="A409" s="31"/>
      <c r="B409" s="16" t="str">
        <f>IFERROR(VLOOKUP(A409,Consolidado!$B$1:$L$1500,2,FALSE),"")</f>
        <v/>
      </c>
      <c r="C409" s="16">
        <f>IFERROR(SUMIF(Consolidado!$B$1:$B$1500,VLOOKUP(RegistroPago!A409,Consolidado!$B$1:$L$1500,1,FALSE),Consolidado!$G$1:$G$1500),"")</f>
        <v>0</v>
      </c>
      <c r="D409" s="3"/>
      <c r="E409" s="3"/>
      <c r="F409" s="5" t="str">
        <f t="shared" si="24"/>
        <v/>
      </c>
      <c r="G409" s="16" t="str">
        <f>IF(D409&lt;&gt;"",D409-VLOOKUP(A409,Consolidado!$B$1:$L$1500,8,FALSE),"")</f>
        <v/>
      </c>
      <c r="H409" s="31"/>
      <c r="I409" s="32">
        <f t="shared" si="25"/>
        <v>0</v>
      </c>
      <c r="J409" s="33" t="str">
        <f t="shared" si="26"/>
        <v/>
      </c>
      <c r="K409" s="2"/>
      <c r="L409" s="15"/>
      <c r="M409" s="34">
        <f t="shared" si="27"/>
        <v>0</v>
      </c>
    </row>
    <row r="410" spans="1:13" x14ac:dyDescent="0.25">
      <c r="A410" s="31"/>
      <c r="B410" s="16" t="str">
        <f>IFERROR(VLOOKUP(A410,Consolidado!$B$1:$L$1500,2,FALSE),"")</f>
        <v/>
      </c>
      <c r="C410" s="16">
        <f>IFERROR(SUMIF(Consolidado!$B$1:$B$1500,VLOOKUP(RegistroPago!A410,Consolidado!$B$1:$L$1500,1,FALSE),Consolidado!$G$1:$G$1500),"")</f>
        <v>0</v>
      </c>
      <c r="D410" s="3"/>
      <c r="E410" s="3"/>
      <c r="F410" s="5" t="str">
        <f t="shared" si="24"/>
        <v/>
      </c>
      <c r="G410" s="16" t="str">
        <f>IF(D410&lt;&gt;"",D410-VLOOKUP(A410,Consolidado!$B$1:$L$1500,8,FALSE),"")</f>
        <v/>
      </c>
      <c r="H410" s="31"/>
      <c r="I410" s="32">
        <f t="shared" si="25"/>
        <v>0</v>
      </c>
      <c r="J410" s="33" t="str">
        <f t="shared" si="26"/>
        <v/>
      </c>
      <c r="K410" s="2"/>
      <c r="L410" s="15"/>
      <c r="M410" s="34">
        <f t="shared" si="27"/>
        <v>0</v>
      </c>
    </row>
    <row r="411" spans="1:13" x14ac:dyDescent="0.25">
      <c r="A411" s="31"/>
      <c r="B411" s="16" t="str">
        <f>IFERROR(VLOOKUP(A411,Consolidado!$B$1:$L$1500,2,FALSE),"")</f>
        <v/>
      </c>
      <c r="C411" s="16">
        <f>IFERROR(SUMIF(Consolidado!$B$1:$B$1500,VLOOKUP(RegistroPago!A411,Consolidado!$B$1:$L$1500,1,FALSE),Consolidado!$G$1:$G$1500),"")</f>
        <v>0</v>
      </c>
      <c r="D411" s="3"/>
      <c r="E411" s="3"/>
      <c r="F411" s="5" t="str">
        <f t="shared" si="24"/>
        <v/>
      </c>
      <c r="G411" s="16" t="str">
        <f>IF(D411&lt;&gt;"",D411-VLOOKUP(A411,Consolidado!$B$1:$L$1500,8,FALSE),"")</f>
        <v/>
      </c>
      <c r="H411" s="31"/>
      <c r="I411" s="32">
        <f t="shared" si="25"/>
        <v>0</v>
      </c>
      <c r="J411" s="33" t="str">
        <f t="shared" si="26"/>
        <v/>
      </c>
      <c r="K411" s="2"/>
      <c r="L411" s="15"/>
      <c r="M411" s="34">
        <f t="shared" si="27"/>
        <v>0</v>
      </c>
    </row>
    <row r="412" spans="1:13" x14ac:dyDescent="0.25">
      <c r="A412" s="31"/>
      <c r="B412" s="16" t="str">
        <f>IFERROR(VLOOKUP(A412,Consolidado!$B$1:$L$1500,2,FALSE),"")</f>
        <v/>
      </c>
      <c r="C412" s="16">
        <f>IFERROR(SUMIF(Consolidado!$B$1:$B$1500,VLOOKUP(RegistroPago!A412,Consolidado!$B$1:$L$1500,1,FALSE),Consolidado!$G$1:$G$1500),"")</f>
        <v>0</v>
      </c>
      <c r="D412" s="3"/>
      <c r="E412" s="3"/>
      <c r="F412" s="5" t="str">
        <f t="shared" si="24"/>
        <v/>
      </c>
      <c r="G412" s="16" t="str">
        <f>IF(D412&lt;&gt;"",D412-VLOOKUP(A412,Consolidado!$B$1:$L$1500,8,FALSE),"")</f>
        <v/>
      </c>
      <c r="H412" s="31"/>
      <c r="I412" s="32">
        <f t="shared" si="25"/>
        <v>0</v>
      </c>
      <c r="J412" s="33" t="str">
        <f t="shared" si="26"/>
        <v/>
      </c>
      <c r="K412" s="2"/>
      <c r="L412" s="15"/>
      <c r="M412" s="34">
        <f t="shared" si="27"/>
        <v>0</v>
      </c>
    </row>
    <row r="413" spans="1:13" x14ac:dyDescent="0.25">
      <c r="A413" s="31"/>
      <c r="B413" s="16" t="str">
        <f>IFERROR(VLOOKUP(A413,Consolidado!$B$1:$L$1500,2,FALSE),"")</f>
        <v/>
      </c>
      <c r="C413" s="16">
        <f>IFERROR(SUMIF(Consolidado!$B$1:$B$1500,VLOOKUP(RegistroPago!A413,Consolidado!$B$1:$L$1500,1,FALSE),Consolidado!$G$1:$G$1500),"")</f>
        <v>0</v>
      </c>
      <c r="D413" s="3"/>
      <c r="E413" s="3"/>
      <c r="F413" s="5" t="str">
        <f t="shared" si="24"/>
        <v/>
      </c>
      <c r="G413" s="16" t="str">
        <f>IF(D413&lt;&gt;"",D413-VLOOKUP(A413,Consolidado!$B$1:$L$1500,8,FALSE),"")</f>
        <v/>
      </c>
      <c r="H413" s="31"/>
      <c r="I413" s="32">
        <f t="shared" si="25"/>
        <v>0</v>
      </c>
      <c r="J413" s="33" t="str">
        <f t="shared" si="26"/>
        <v/>
      </c>
      <c r="K413" s="2"/>
      <c r="L413" s="15"/>
      <c r="M413" s="34">
        <f t="shared" si="27"/>
        <v>0</v>
      </c>
    </row>
    <row r="414" spans="1:13" x14ac:dyDescent="0.25">
      <c r="A414" s="31"/>
      <c r="B414" s="16" t="str">
        <f>IFERROR(VLOOKUP(A414,Consolidado!$B$1:$L$1500,2,FALSE),"")</f>
        <v/>
      </c>
      <c r="C414" s="16">
        <f>IFERROR(SUMIF(Consolidado!$B$1:$B$1500,VLOOKUP(RegistroPago!A414,Consolidado!$B$1:$L$1500,1,FALSE),Consolidado!$G$1:$G$1500),"")</f>
        <v>0</v>
      </c>
      <c r="D414" s="3"/>
      <c r="E414" s="3"/>
      <c r="F414" s="5" t="str">
        <f t="shared" si="24"/>
        <v/>
      </c>
      <c r="G414" s="16" t="str">
        <f>IF(D414&lt;&gt;"",D414-VLOOKUP(A414,Consolidado!$B$1:$L$1500,8,FALSE),"")</f>
        <v/>
      </c>
      <c r="H414" s="31"/>
      <c r="I414" s="32">
        <f t="shared" si="25"/>
        <v>0</v>
      </c>
      <c r="J414" s="33" t="str">
        <f t="shared" si="26"/>
        <v/>
      </c>
      <c r="K414" s="2"/>
      <c r="L414" s="15"/>
      <c r="M414" s="34">
        <f t="shared" si="27"/>
        <v>0</v>
      </c>
    </row>
    <row r="415" spans="1:13" x14ac:dyDescent="0.25">
      <c r="A415" s="31"/>
      <c r="B415" s="16" t="str">
        <f>IFERROR(VLOOKUP(A415,Consolidado!$B$1:$L$1500,2,FALSE),"")</f>
        <v/>
      </c>
      <c r="C415" s="16">
        <f>IFERROR(SUMIF(Consolidado!$B$1:$B$1500,VLOOKUP(RegistroPago!A415,Consolidado!$B$1:$L$1500,1,FALSE),Consolidado!$G$1:$G$1500),"")</f>
        <v>0</v>
      </c>
      <c r="D415" s="3"/>
      <c r="E415" s="3"/>
      <c r="F415" s="5" t="str">
        <f t="shared" si="24"/>
        <v/>
      </c>
      <c r="G415" s="16" t="str">
        <f>IF(D415&lt;&gt;"",D415-VLOOKUP(A415,Consolidado!$B$1:$L$1500,8,FALSE),"")</f>
        <v/>
      </c>
      <c r="H415" s="31"/>
      <c r="I415" s="32">
        <f t="shared" si="25"/>
        <v>0</v>
      </c>
      <c r="J415" s="33" t="str">
        <f t="shared" si="26"/>
        <v/>
      </c>
      <c r="K415" s="2"/>
      <c r="L415" s="15"/>
      <c r="M415" s="34">
        <f t="shared" si="27"/>
        <v>0</v>
      </c>
    </row>
    <row r="416" spans="1:13" x14ac:dyDescent="0.25">
      <c r="A416" s="31"/>
      <c r="B416" s="16" t="str">
        <f>IFERROR(VLOOKUP(A416,Consolidado!$B$1:$L$1500,2,FALSE),"")</f>
        <v/>
      </c>
      <c r="C416" s="16">
        <f>IFERROR(SUMIF(Consolidado!$B$1:$B$1500,VLOOKUP(RegistroPago!A416,Consolidado!$B$1:$L$1500,1,FALSE),Consolidado!$G$1:$G$1500),"")</f>
        <v>0</v>
      </c>
      <c r="D416" s="3"/>
      <c r="E416" s="3"/>
      <c r="F416" s="5" t="str">
        <f t="shared" si="24"/>
        <v/>
      </c>
      <c r="G416" s="16" t="str">
        <f>IF(D416&lt;&gt;"",D416-VLOOKUP(A416,Consolidado!$B$1:$L$1500,8,FALSE),"")</f>
        <v/>
      </c>
      <c r="H416" s="31"/>
      <c r="I416" s="32">
        <f t="shared" si="25"/>
        <v>0</v>
      </c>
      <c r="J416" s="33" t="str">
        <f t="shared" si="26"/>
        <v/>
      </c>
      <c r="K416" s="2"/>
      <c r="L416" s="15"/>
      <c r="M416" s="34">
        <f t="shared" si="27"/>
        <v>0</v>
      </c>
    </row>
    <row r="417" spans="1:13" x14ac:dyDescent="0.25">
      <c r="A417" s="31"/>
      <c r="B417" s="16" t="str">
        <f>IFERROR(VLOOKUP(A417,Consolidado!$B$1:$L$1500,2,FALSE),"")</f>
        <v/>
      </c>
      <c r="C417" s="16">
        <f>IFERROR(SUMIF(Consolidado!$B$1:$B$1500,VLOOKUP(RegistroPago!A417,Consolidado!$B$1:$L$1500,1,FALSE),Consolidado!$G$1:$G$1500),"")</f>
        <v>0</v>
      </c>
      <c r="D417" s="3"/>
      <c r="E417" s="3"/>
      <c r="F417" s="5" t="str">
        <f t="shared" si="24"/>
        <v/>
      </c>
      <c r="G417" s="16" t="str">
        <f>IF(D417&lt;&gt;"",D417-VLOOKUP(A417,Consolidado!$B$1:$L$1500,8,FALSE),"")</f>
        <v/>
      </c>
      <c r="H417" s="31"/>
      <c r="I417" s="32">
        <f t="shared" si="25"/>
        <v>0</v>
      </c>
      <c r="J417" s="33" t="str">
        <f t="shared" si="26"/>
        <v/>
      </c>
      <c r="K417" s="2"/>
      <c r="L417" s="15"/>
      <c r="M417" s="34">
        <f t="shared" si="27"/>
        <v>0</v>
      </c>
    </row>
    <row r="418" spans="1:13" x14ac:dyDescent="0.25">
      <c r="A418" s="31"/>
      <c r="B418" s="16" t="str">
        <f>IFERROR(VLOOKUP(A418,Consolidado!$B$1:$L$1500,2,FALSE),"")</f>
        <v/>
      </c>
      <c r="C418" s="16">
        <f>IFERROR(SUMIF(Consolidado!$B$1:$B$1500,VLOOKUP(RegistroPago!A418,Consolidado!$B$1:$L$1500,1,FALSE),Consolidado!$G$1:$G$1500),"")</f>
        <v>0</v>
      </c>
      <c r="D418" s="3"/>
      <c r="E418" s="3"/>
      <c r="F418" s="5" t="str">
        <f t="shared" si="24"/>
        <v/>
      </c>
      <c r="G418" s="16" t="str">
        <f>IF(D418&lt;&gt;"",D418-VLOOKUP(A418,Consolidado!$B$1:$L$1500,8,FALSE),"")</f>
        <v/>
      </c>
      <c r="H418" s="31"/>
      <c r="I418" s="32">
        <f t="shared" si="25"/>
        <v>0</v>
      </c>
      <c r="J418" s="33" t="str">
        <f t="shared" si="26"/>
        <v/>
      </c>
      <c r="K418" s="2"/>
      <c r="L418" s="15"/>
      <c r="M418" s="34">
        <f t="shared" si="27"/>
        <v>0</v>
      </c>
    </row>
    <row r="419" spans="1:13" x14ac:dyDescent="0.25">
      <c r="A419" s="31"/>
      <c r="B419" s="16" t="str">
        <f>IFERROR(VLOOKUP(A419,Consolidado!$B$1:$L$1500,2,FALSE),"")</f>
        <v/>
      </c>
      <c r="C419" s="16">
        <f>IFERROR(SUMIF(Consolidado!$B$1:$B$1500,VLOOKUP(RegistroPago!A419,Consolidado!$B$1:$L$1500,1,FALSE),Consolidado!$G$1:$G$1500),"")</f>
        <v>0</v>
      </c>
      <c r="D419" s="3"/>
      <c r="E419" s="3"/>
      <c r="F419" s="5" t="str">
        <f t="shared" si="24"/>
        <v/>
      </c>
      <c r="G419" s="16" t="str">
        <f>IF(D419&lt;&gt;"",D419-VLOOKUP(A419,Consolidado!$B$1:$L$1500,8,FALSE),"")</f>
        <v/>
      </c>
      <c r="H419" s="31"/>
      <c r="I419" s="32">
        <f t="shared" si="25"/>
        <v>0</v>
      </c>
      <c r="J419" s="33" t="str">
        <f t="shared" si="26"/>
        <v/>
      </c>
      <c r="K419" s="2"/>
      <c r="L419" s="15"/>
      <c r="M419" s="34">
        <f t="shared" si="27"/>
        <v>0</v>
      </c>
    </row>
    <row r="420" spans="1:13" x14ac:dyDescent="0.25">
      <c r="A420" s="31"/>
      <c r="B420" s="16" t="str">
        <f>IFERROR(VLOOKUP(A420,Consolidado!$B$1:$L$1500,2,FALSE),"")</f>
        <v/>
      </c>
      <c r="C420" s="16">
        <f>IFERROR(SUMIF(Consolidado!$B$1:$B$1500,VLOOKUP(RegistroPago!A420,Consolidado!$B$1:$L$1500,1,FALSE),Consolidado!$G$1:$G$1500),"")</f>
        <v>0</v>
      </c>
      <c r="D420" s="3"/>
      <c r="E420" s="3"/>
      <c r="F420" s="5" t="str">
        <f t="shared" si="24"/>
        <v/>
      </c>
      <c r="G420" s="16" t="str">
        <f>IF(D420&lt;&gt;"",D420-VLOOKUP(A420,Consolidado!$B$1:$L$1500,8,FALSE),"")</f>
        <v/>
      </c>
      <c r="H420" s="31"/>
      <c r="I420" s="32">
        <f t="shared" si="25"/>
        <v>0</v>
      </c>
      <c r="J420" s="33" t="str">
        <f t="shared" si="26"/>
        <v/>
      </c>
      <c r="K420" s="2"/>
      <c r="L420" s="15"/>
      <c r="M420" s="34">
        <f t="shared" si="27"/>
        <v>0</v>
      </c>
    </row>
    <row r="421" spans="1:13" x14ac:dyDescent="0.25">
      <c r="A421" s="31"/>
      <c r="B421" s="16" t="str">
        <f>IFERROR(VLOOKUP(A421,Consolidado!$B$1:$L$1500,2,FALSE),"")</f>
        <v/>
      </c>
      <c r="C421" s="16">
        <f>IFERROR(SUMIF(Consolidado!$B$1:$B$1500,VLOOKUP(RegistroPago!A421,Consolidado!$B$1:$L$1500,1,FALSE),Consolidado!$G$1:$G$1500),"")</f>
        <v>0</v>
      </c>
      <c r="D421" s="3"/>
      <c r="E421" s="3"/>
      <c r="F421" s="5" t="str">
        <f t="shared" si="24"/>
        <v/>
      </c>
      <c r="G421" s="16" t="str">
        <f>IF(D421&lt;&gt;"",D421-VLOOKUP(A421,Consolidado!$B$1:$L$1500,8,FALSE),"")</f>
        <v/>
      </c>
      <c r="H421" s="31"/>
      <c r="I421" s="32">
        <f t="shared" si="25"/>
        <v>0</v>
      </c>
      <c r="J421" s="33" t="str">
        <f t="shared" si="26"/>
        <v/>
      </c>
      <c r="K421" s="2"/>
      <c r="L421" s="15"/>
      <c r="M421" s="34">
        <f t="shared" si="27"/>
        <v>0</v>
      </c>
    </row>
    <row r="422" spans="1:13" x14ac:dyDescent="0.25">
      <c r="A422" s="31"/>
      <c r="B422" s="16" t="str">
        <f>IFERROR(VLOOKUP(A422,Consolidado!$B$1:$L$1500,2,FALSE),"")</f>
        <v/>
      </c>
      <c r="C422" s="16">
        <f>IFERROR(SUMIF(Consolidado!$B$1:$B$1500,VLOOKUP(RegistroPago!A422,Consolidado!$B$1:$L$1500,1,FALSE),Consolidado!$G$1:$G$1500),"")</f>
        <v>0</v>
      </c>
      <c r="D422" s="3"/>
      <c r="E422" s="3"/>
      <c r="F422" s="5" t="str">
        <f t="shared" si="24"/>
        <v/>
      </c>
      <c r="G422" s="16" t="str">
        <f>IF(D422&lt;&gt;"",D422-VLOOKUP(A422,Consolidado!$B$1:$L$1500,8,FALSE),"")</f>
        <v/>
      </c>
      <c r="H422" s="31"/>
      <c r="I422" s="32">
        <f t="shared" si="25"/>
        <v>0</v>
      </c>
      <c r="J422" s="33" t="str">
        <f t="shared" si="26"/>
        <v/>
      </c>
      <c r="K422" s="2"/>
      <c r="L422" s="15"/>
      <c r="M422" s="34">
        <f t="shared" si="27"/>
        <v>0</v>
      </c>
    </row>
    <row r="423" spans="1:13" x14ac:dyDescent="0.25">
      <c r="A423" s="31"/>
      <c r="B423" s="16" t="str">
        <f>IFERROR(VLOOKUP(A423,Consolidado!$B$1:$L$1500,2,FALSE),"")</f>
        <v/>
      </c>
      <c r="C423" s="16">
        <f>IFERROR(SUMIF(Consolidado!$B$1:$B$1500,VLOOKUP(RegistroPago!A423,Consolidado!$B$1:$L$1500,1,FALSE),Consolidado!$G$1:$G$1500),"")</f>
        <v>0</v>
      </c>
      <c r="D423" s="3"/>
      <c r="E423" s="3"/>
      <c r="F423" s="5" t="str">
        <f t="shared" si="24"/>
        <v/>
      </c>
      <c r="G423" s="16" t="str">
        <f>IF(D423&lt;&gt;"",D423-VLOOKUP(A423,Consolidado!$B$1:$L$1500,8,FALSE),"")</f>
        <v/>
      </c>
      <c r="H423" s="31"/>
      <c r="I423" s="32">
        <f t="shared" si="25"/>
        <v>0</v>
      </c>
      <c r="J423" s="33" t="str">
        <f t="shared" si="26"/>
        <v/>
      </c>
      <c r="K423" s="2"/>
      <c r="L423" s="15"/>
      <c r="M423" s="34">
        <f t="shared" si="27"/>
        <v>0</v>
      </c>
    </row>
    <row r="424" spans="1:13" x14ac:dyDescent="0.25">
      <c r="A424" s="31"/>
      <c r="B424" s="16" t="str">
        <f>IFERROR(VLOOKUP(A424,Consolidado!$B$1:$L$1500,2,FALSE),"")</f>
        <v/>
      </c>
      <c r="C424" s="16">
        <f>IFERROR(SUMIF(Consolidado!$B$1:$B$1500,VLOOKUP(RegistroPago!A424,Consolidado!$B$1:$L$1500,1,FALSE),Consolidado!$G$1:$G$1500),"")</f>
        <v>0</v>
      </c>
      <c r="D424" s="3"/>
      <c r="E424" s="3"/>
      <c r="F424" s="5" t="str">
        <f t="shared" si="24"/>
        <v/>
      </c>
      <c r="G424" s="16" t="str">
        <f>IF(D424&lt;&gt;"",D424-VLOOKUP(A424,Consolidado!$B$1:$L$1500,8,FALSE),"")</f>
        <v/>
      </c>
      <c r="H424" s="31"/>
      <c r="I424" s="32">
        <f t="shared" si="25"/>
        <v>0</v>
      </c>
      <c r="J424" s="33" t="str">
        <f t="shared" si="26"/>
        <v/>
      </c>
      <c r="K424" s="2"/>
      <c r="L424" s="15"/>
      <c r="M424" s="34">
        <f t="shared" si="27"/>
        <v>0</v>
      </c>
    </row>
    <row r="425" spans="1:13" x14ac:dyDescent="0.25">
      <c r="A425" s="31"/>
      <c r="B425" s="16" t="str">
        <f>IFERROR(VLOOKUP(A425,Consolidado!$B$1:$L$1500,2,FALSE),"")</f>
        <v/>
      </c>
      <c r="C425" s="16">
        <f>IFERROR(SUMIF(Consolidado!$B$1:$B$1500,VLOOKUP(RegistroPago!A425,Consolidado!$B$1:$L$1500,1,FALSE),Consolidado!$G$1:$G$1500),"")</f>
        <v>0</v>
      </c>
      <c r="D425" s="3"/>
      <c r="E425" s="3"/>
      <c r="F425" s="5" t="str">
        <f t="shared" si="24"/>
        <v/>
      </c>
      <c r="G425" s="16" t="str">
        <f>IF(D425&lt;&gt;"",D425-VLOOKUP(A425,Consolidado!$B$1:$L$1500,8,FALSE),"")</f>
        <v/>
      </c>
      <c r="H425" s="31"/>
      <c r="I425" s="32">
        <f t="shared" si="25"/>
        <v>0</v>
      </c>
      <c r="J425" s="33" t="str">
        <f t="shared" si="26"/>
        <v/>
      </c>
      <c r="K425" s="2"/>
      <c r="L425" s="15"/>
      <c r="M425" s="34">
        <f t="shared" si="27"/>
        <v>0</v>
      </c>
    </row>
    <row r="426" spans="1:13" x14ac:dyDescent="0.25">
      <c r="A426" s="31"/>
      <c r="B426" s="16" t="str">
        <f>IFERROR(VLOOKUP(A426,Consolidado!$B$1:$L$1500,2,FALSE),"")</f>
        <v/>
      </c>
      <c r="C426" s="16">
        <f>IFERROR(SUMIF(Consolidado!$B$1:$B$1500,VLOOKUP(RegistroPago!A426,Consolidado!$B$1:$L$1500,1,FALSE),Consolidado!$G$1:$G$1500),"")</f>
        <v>0</v>
      </c>
      <c r="D426" s="3"/>
      <c r="E426" s="3"/>
      <c r="F426" s="5" t="str">
        <f t="shared" si="24"/>
        <v/>
      </c>
      <c r="G426" s="16" t="str">
        <f>IF(D426&lt;&gt;"",D426-VLOOKUP(A426,Consolidado!$B$1:$L$1500,8,FALSE),"")</f>
        <v/>
      </c>
      <c r="H426" s="31"/>
      <c r="I426" s="32">
        <f t="shared" si="25"/>
        <v>0</v>
      </c>
      <c r="J426" s="33" t="str">
        <f t="shared" si="26"/>
        <v/>
      </c>
      <c r="K426" s="2"/>
      <c r="L426" s="15"/>
      <c r="M426" s="34">
        <f t="shared" si="27"/>
        <v>0</v>
      </c>
    </row>
    <row r="427" spans="1:13" x14ac:dyDescent="0.25">
      <c r="A427" s="31"/>
      <c r="B427" s="16" t="str">
        <f>IFERROR(VLOOKUP(A427,Consolidado!$B$1:$L$1500,2,FALSE),"")</f>
        <v/>
      </c>
      <c r="C427" s="16">
        <f>IFERROR(SUMIF(Consolidado!$B$1:$B$1500,VLOOKUP(RegistroPago!A427,Consolidado!$B$1:$L$1500,1,FALSE),Consolidado!$G$1:$G$1500),"")</f>
        <v>0</v>
      </c>
      <c r="D427" s="3"/>
      <c r="E427" s="3"/>
      <c r="F427" s="5" t="str">
        <f t="shared" si="24"/>
        <v/>
      </c>
      <c r="G427" s="16" t="str">
        <f>IF(D427&lt;&gt;"",D427-VLOOKUP(A427,Consolidado!$B$1:$L$1500,8,FALSE),"")</f>
        <v/>
      </c>
      <c r="H427" s="31"/>
      <c r="I427" s="32">
        <f t="shared" si="25"/>
        <v>0</v>
      </c>
      <c r="J427" s="33" t="str">
        <f t="shared" si="26"/>
        <v/>
      </c>
      <c r="K427" s="2"/>
      <c r="L427" s="15"/>
      <c r="M427" s="34">
        <f t="shared" si="27"/>
        <v>0</v>
      </c>
    </row>
    <row r="428" spans="1:13" x14ac:dyDescent="0.25">
      <c r="A428" s="31"/>
      <c r="B428" s="16" t="str">
        <f>IFERROR(VLOOKUP(A428,Consolidado!$B$1:$L$1500,2,FALSE),"")</f>
        <v/>
      </c>
      <c r="C428" s="16">
        <f>IFERROR(SUMIF(Consolidado!$B$1:$B$1500,VLOOKUP(RegistroPago!A428,Consolidado!$B$1:$L$1500,1,FALSE),Consolidado!$G$1:$G$1500),"")</f>
        <v>0</v>
      </c>
      <c r="D428" s="3"/>
      <c r="E428" s="3"/>
      <c r="F428" s="5" t="str">
        <f t="shared" si="24"/>
        <v/>
      </c>
      <c r="G428" s="16" t="str">
        <f>IF(D428&lt;&gt;"",D428-VLOOKUP(A428,Consolidado!$B$1:$L$1500,8,FALSE),"")</f>
        <v/>
      </c>
      <c r="H428" s="31"/>
      <c r="I428" s="32">
        <f t="shared" si="25"/>
        <v>0</v>
      </c>
      <c r="J428" s="33" t="str">
        <f t="shared" si="26"/>
        <v/>
      </c>
      <c r="K428" s="2"/>
      <c r="L428" s="15"/>
      <c r="M428" s="34">
        <f t="shared" si="27"/>
        <v>0</v>
      </c>
    </row>
    <row r="429" spans="1:13" x14ac:dyDescent="0.25">
      <c r="A429" s="31"/>
      <c r="B429" s="16" t="str">
        <f>IFERROR(VLOOKUP(A429,Consolidado!$B$1:$L$1500,2,FALSE),"")</f>
        <v/>
      </c>
      <c r="C429" s="16">
        <f>IFERROR(SUMIF(Consolidado!$B$1:$B$1500,VLOOKUP(RegistroPago!A429,Consolidado!$B$1:$L$1500,1,FALSE),Consolidado!$G$1:$G$1500),"")</f>
        <v>0</v>
      </c>
      <c r="D429" s="3"/>
      <c r="E429" s="3"/>
      <c r="F429" s="5" t="str">
        <f t="shared" si="24"/>
        <v/>
      </c>
      <c r="G429" s="16" t="str">
        <f>IF(D429&lt;&gt;"",D429-VLOOKUP(A429,Consolidado!$B$1:$L$1500,8,FALSE),"")</f>
        <v/>
      </c>
      <c r="H429" s="31"/>
      <c r="I429" s="32">
        <f t="shared" si="25"/>
        <v>0</v>
      </c>
      <c r="J429" s="33" t="str">
        <f t="shared" si="26"/>
        <v/>
      </c>
      <c r="K429" s="2"/>
      <c r="L429" s="15"/>
      <c r="M429" s="34">
        <f t="shared" si="27"/>
        <v>0</v>
      </c>
    </row>
    <row r="430" spans="1:13" x14ac:dyDescent="0.25">
      <c r="A430" s="31"/>
      <c r="B430" s="16" t="str">
        <f>IFERROR(VLOOKUP(A430,Consolidado!$B$1:$L$1500,2,FALSE),"")</f>
        <v/>
      </c>
      <c r="C430" s="16">
        <f>IFERROR(SUMIF(Consolidado!$B$1:$B$1500,VLOOKUP(RegistroPago!A430,Consolidado!$B$1:$L$1500,1,FALSE),Consolidado!$G$1:$G$1500),"")</f>
        <v>0</v>
      </c>
      <c r="D430" s="3"/>
      <c r="E430" s="3"/>
      <c r="F430" s="5" t="str">
        <f t="shared" si="24"/>
        <v/>
      </c>
      <c r="G430" s="16" t="str">
        <f>IF(D430&lt;&gt;"",D430-VLOOKUP(A430,Consolidado!$B$1:$L$1500,8,FALSE),"")</f>
        <v/>
      </c>
      <c r="H430" s="31"/>
      <c r="I430" s="32">
        <f t="shared" si="25"/>
        <v>0</v>
      </c>
      <c r="J430" s="33" t="str">
        <f t="shared" si="26"/>
        <v/>
      </c>
      <c r="K430" s="2"/>
      <c r="L430" s="15"/>
      <c r="M430" s="34">
        <f t="shared" si="27"/>
        <v>0</v>
      </c>
    </row>
    <row r="431" spans="1:13" x14ac:dyDescent="0.25">
      <c r="A431" s="31"/>
      <c r="B431" s="16" t="str">
        <f>IFERROR(VLOOKUP(A431,Consolidado!$B$1:$L$1500,2,FALSE),"")</f>
        <v/>
      </c>
      <c r="C431" s="16">
        <f>IFERROR(SUMIF(Consolidado!$B$1:$B$1500,VLOOKUP(RegistroPago!A431,Consolidado!$B$1:$L$1500,1,FALSE),Consolidado!$G$1:$G$1500),"")</f>
        <v>0</v>
      </c>
      <c r="D431" s="3"/>
      <c r="E431" s="3"/>
      <c r="F431" s="5" t="str">
        <f t="shared" si="24"/>
        <v/>
      </c>
      <c r="G431" s="16" t="str">
        <f>IF(D431&lt;&gt;"",D431-VLOOKUP(A431,Consolidado!$B$1:$L$1500,8,FALSE),"")</f>
        <v/>
      </c>
      <c r="H431" s="31"/>
      <c r="I431" s="32">
        <f t="shared" si="25"/>
        <v>0</v>
      </c>
      <c r="J431" s="33" t="str">
        <f t="shared" si="26"/>
        <v/>
      </c>
      <c r="K431" s="2"/>
      <c r="L431" s="15"/>
      <c r="M431" s="34">
        <f t="shared" si="27"/>
        <v>0</v>
      </c>
    </row>
    <row r="432" spans="1:13" x14ac:dyDescent="0.25">
      <c r="A432" s="31"/>
      <c r="B432" s="16" t="str">
        <f>IFERROR(VLOOKUP(A432,Consolidado!$B$1:$L$1500,2,FALSE),"")</f>
        <v/>
      </c>
      <c r="C432" s="16">
        <f>IFERROR(SUMIF(Consolidado!$B$1:$B$1500,VLOOKUP(RegistroPago!A432,Consolidado!$B$1:$L$1500,1,FALSE),Consolidado!$G$1:$G$1500),"")</f>
        <v>0</v>
      </c>
      <c r="D432" s="3"/>
      <c r="E432" s="3"/>
      <c r="F432" s="5" t="str">
        <f t="shared" si="24"/>
        <v/>
      </c>
      <c r="G432" s="16" t="str">
        <f>IF(D432&lt;&gt;"",D432-VLOOKUP(A432,Consolidado!$B$1:$L$1500,8,FALSE),"")</f>
        <v/>
      </c>
      <c r="H432" s="31"/>
      <c r="I432" s="32">
        <f t="shared" si="25"/>
        <v>0</v>
      </c>
      <c r="J432" s="33" t="str">
        <f t="shared" si="26"/>
        <v/>
      </c>
      <c r="K432" s="2"/>
      <c r="L432" s="15"/>
      <c r="M432" s="34">
        <f t="shared" si="27"/>
        <v>0</v>
      </c>
    </row>
    <row r="433" spans="1:13" x14ac:dyDescent="0.25">
      <c r="A433" s="31"/>
      <c r="B433" s="16" t="str">
        <f>IFERROR(VLOOKUP(A433,Consolidado!$B$1:$L$1500,2,FALSE),"")</f>
        <v/>
      </c>
      <c r="C433" s="16">
        <f>IFERROR(SUMIF(Consolidado!$B$1:$B$1500,VLOOKUP(RegistroPago!A433,Consolidado!$B$1:$L$1500,1,FALSE),Consolidado!$G$1:$G$1500),"")</f>
        <v>0</v>
      </c>
      <c r="D433" s="3"/>
      <c r="E433" s="3"/>
      <c r="F433" s="5" t="str">
        <f t="shared" si="24"/>
        <v/>
      </c>
      <c r="G433" s="16" t="str">
        <f>IF(D433&lt;&gt;"",D433-VLOOKUP(A433,Consolidado!$B$1:$L$1500,8,FALSE),"")</f>
        <v/>
      </c>
      <c r="H433" s="31"/>
      <c r="I433" s="32">
        <f t="shared" si="25"/>
        <v>0</v>
      </c>
      <c r="J433" s="33" t="str">
        <f t="shared" si="26"/>
        <v/>
      </c>
      <c r="K433" s="2"/>
      <c r="L433" s="15"/>
      <c r="M433" s="34">
        <f t="shared" si="27"/>
        <v>0</v>
      </c>
    </row>
    <row r="434" spans="1:13" x14ac:dyDescent="0.25">
      <c r="A434" s="31"/>
      <c r="B434" s="16" t="str">
        <f>IFERROR(VLOOKUP(A434,Consolidado!$B$1:$L$1500,2,FALSE),"")</f>
        <v/>
      </c>
      <c r="C434" s="16">
        <f>IFERROR(SUMIF(Consolidado!$B$1:$B$1500,VLOOKUP(RegistroPago!A434,Consolidado!$B$1:$L$1500,1,FALSE),Consolidado!$G$1:$G$1500),"")</f>
        <v>0</v>
      </c>
      <c r="D434" s="3"/>
      <c r="E434" s="3"/>
      <c r="F434" s="5" t="str">
        <f t="shared" si="24"/>
        <v/>
      </c>
      <c r="G434" s="16" t="str">
        <f>IF(D434&lt;&gt;"",D434-VLOOKUP(A434,Consolidado!$B$1:$L$1500,8,FALSE),"")</f>
        <v/>
      </c>
      <c r="H434" s="31"/>
      <c r="I434" s="32">
        <f t="shared" si="25"/>
        <v>0</v>
      </c>
      <c r="J434" s="33" t="str">
        <f t="shared" si="26"/>
        <v/>
      </c>
      <c r="K434" s="2"/>
      <c r="L434" s="15"/>
      <c r="M434" s="34">
        <f t="shared" si="27"/>
        <v>0</v>
      </c>
    </row>
    <row r="435" spans="1:13" x14ac:dyDescent="0.25">
      <c r="A435" s="31"/>
      <c r="B435" s="16" t="str">
        <f>IFERROR(VLOOKUP(A435,Consolidado!$B$1:$L$1500,2,FALSE),"")</f>
        <v/>
      </c>
      <c r="C435" s="16">
        <f>IFERROR(SUMIF(Consolidado!$B$1:$B$1500,VLOOKUP(RegistroPago!A435,Consolidado!$B$1:$L$1500,1,FALSE),Consolidado!$G$1:$G$1500),"")</f>
        <v>0</v>
      </c>
      <c r="D435" s="3"/>
      <c r="E435" s="3"/>
      <c r="F435" s="5" t="str">
        <f t="shared" si="24"/>
        <v/>
      </c>
      <c r="G435" s="16" t="str">
        <f>IF(D435&lt;&gt;"",D435-VLOOKUP(A435,Consolidado!$B$1:$L$1500,8,FALSE),"")</f>
        <v/>
      </c>
      <c r="H435" s="31"/>
      <c r="I435" s="32">
        <f t="shared" si="25"/>
        <v>0</v>
      </c>
      <c r="J435" s="33" t="str">
        <f t="shared" si="26"/>
        <v/>
      </c>
      <c r="K435" s="2"/>
      <c r="L435" s="15"/>
      <c r="M435" s="34">
        <f t="shared" si="27"/>
        <v>0</v>
      </c>
    </row>
    <row r="436" spans="1:13" x14ac:dyDescent="0.25">
      <c r="A436" s="31"/>
      <c r="B436" s="16" t="str">
        <f>IFERROR(VLOOKUP(A436,Consolidado!$B$1:$L$1500,2,FALSE),"")</f>
        <v/>
      </c>
      <c r="C436" s="16">
        <f>IFERROR(SUMIF(Consolidado!$B$1:$B$1500,VLOOKUP(RegistroPago!A436,Consolidado!$B$1:$L$1500,1,FALSE),Consolidado!$G$1:$G$1500),"")</f>
        <v>0</v>
      </c>
      <c r="D436" s="3"/>
      <c r="E436" s="3"/>
      <c r="F436" s="5" t="str">
        <f t="shared" si="24"/>
        <v/>
      </c>
      <c r="G436" s="16" t="str">
        <f>IF(D436&lt;&gt;"",D436-VLOOKUP(A436,Consolidado!$B$1:$L$1500,8,FALSE),"")</f>
        <v/>
      </c>
      <c r="H436" s="31"/>
      <c r="I436" s="32">
        <f t="shared" si="25"/>
        <v>0</v>
      </c>
      <c r="J436" s="33" t="str">
        <f t="shared" si="26"/>
        <v/>
      </c>
      <c r="K436" s="2"/>
      <c r="L436" s="15"/>
      <c r="M436" s="34">
        <f t="shared" si="27"/>
        <v>0</v>
      </c>
    </row>
    <row r="437" spans="1:13" x14ac:dyDescent="0.25">
      <c r="A437" s="31"/>
      <c r="B437" s="16" t="str">
        <f>IFERROR(VLOOKUP(A437,Consolidado!$B$1:$L$1500,2,FALSE),"")</f>
        <v/>
      </c>
      <c r="C437" s="16">
        <f>IFERROR(SUMIF(Consolidado!$B$1:$B$1500,VLOOKUP(RegistroPago!A437,Consolidado!$B$1:$L$1500,1,FALSE),Consolidado!$G$1:$G$1500),"")</f>
        <v>0</v>
      </c>
      <c r="D437" s="3"/>
      <c r="E437" s="3"/>
      <c r="F437" s="5" t="str">
        <f t="shared" si="24"/>
        <v/>
      </c>
      <c r="G437" s="16" t="str">
        <f>IF(D437&lt;&gt;"",D437-VLOOKUP(A437,Consolidado!$B$1:$L$1500,8,FALSE),"")</f>
        <v/>
      </c>
      <c r="H437" s="31"/>
      <c r="I437" s="32">
        <f t="shared" si="25"/>
        <v>0</v>
      </c>
      <c r="J437" s="33" t="str">
        <f t="shared" si="26"/>
        <v/>
      </c>
      <c r="K437" s="2"/>
      <c r="L437" s="15"/>
      <c r="M437" s="34">
        <f t="shared" si="27"/>
        <v>0</v>
      </c>
    </row>
    <row r="438" spans="1:13" x14ac:dyDescent="0.25">
      <c r="A438" s="31"/>
      <c r="B438" s="16" t="str">
        <f>IFERROR(VLOOKUP(A438,Consolidado!$B$1:$L$1500,2,FALSE),"")</f>
        <v/>
      </c>
      <c r="C438" s="16">
        <f>IFERROR(SUMIF(Consolidado!$B$1:$B$1500,VLOOKUP(RegistroPago!A438,Consolidado!$B$1:$L$1500,1,FALSE),Consolidado!$G$1:$G$1500),"")</f>
        <v>0</v>
      </c>
      <c r="D438" s="3"/>
      <c r="E438" s="3"/>
      <c r="F438" s="5" t="str">
        <f t="shared" si="24"/>
        <v/>
      </c>
      <c r="G438" s="16" t="str">
        <f>IF(D438&lt;&gt;"",D438-VLOOKUP(A438,Consolidado!$B$1:$L$1500,8,FALSE),"")</f>
        <v/>
      </c>
      <c r="H438" s="31"/>
      <c r="I438" s="32">
        <f t="shared" si="25"/>
        <v>0</v>
      </c>
      <c r="J438" s="33" t="str">
        <f t="shared" si="26"/>
        <v/>
      </c>
      <c r="K438" s="2"/>
      <c r="L438" s="15"/>
      <c r="M438" s="34">
        <f t="shared" si="27"/>
        <v>0</v>
      </c>
    </row>
    <row r="439" spans="1:13" x14ac:dyDescent="0.25">
      <c r="A439" s="31"/>
      <c r="B439" s="16" t="str">
        <f>IFERROR(VLOOKUP(A439,Consolidado!$B$1:$L$1500,2,FALSE),"")</f>
        <v/>
      </c>
      <c r="C439" s="16">
        <f>IFERROR(SUMIF(Consolidado!$B$1:$B$1500,VLOOKUP(RegistroPago!A439,Consolidado!$B$1:$L$1500,1,FALSE),Consolidado!$G$1:$G$1500),"")</f>
        <v>0</v>
      </c>
      <c r="D439" s="3"/>
      <c r="E439" s="3"/>
      <c r="F439" s="5" t="str">
        <f t="shared" si="24"/>
        <v/>
      </c>
      <c r="G439" s="16" t="str">
        <f>IF(D439&lt;&gt;"",D439-VLOOKUP(A439,Consolidado!$B$1:$L$1500,8,FALSE),"")</f>
        <v/>
      </c>
      <c r="H439" s="31"/>
      <c r="I439" s="32">
        <f t="shared" si="25"/>
        <v>0</v>
      </c>
      <c r="J439" s="33" t="str">
        <f t="shared" si="26"/>
        <v/>
      </c>
      <c r="K439" s="2"/>
      <c r="L439" s="15"/>
      <c r="M439" s="34">
        <f t="shared" si="27"/>
        <v>0</v>
      </c>
    </row>
    <row r="440" spans="1:13" x14ac:dyDescent="0.25">
      <c r="A440" s="31"/>
      <c r="B440" s="16" t="str">
        <f>IFERROR(VLOOKUP(A440,Consolidado!$B$1:$L$1500,2,FALSE),"")</f>
        <v/>
      </c>
      <c r="C440" s="16">
        <f>IFERROR(SUMIF(Consolidado!$B$1:$B$1500,VLOOKUP(RegistroPago!A440,Consolidado!$B$1:$L$1500,1,FALSE),Consolidado!$G$1:$G$1500),"")</f>
        <v>0</v>
      </c>
      <c r="D440" s="3"/>
      <c r="E440" s="3"/>
      <c r="F440" s="5" t="str">
        <f t="shared" si="24"/>
        <v/>
      </c>
      <c r="G440" s="16" t="str">
        <f>IF(D440&lt;&gt;"",D440-VLOOKUP(A440,Consolidado!$B$1:$L$1500,8,FALSE),"")</f>
        <v/>
      </c>
      <c r="H440" s="31"/>
      <c r="I440" s="32">
        <f t="shared" si="25"/>
        <v>0</v>
      </c>
      <c r="J440" s="33" t="str">
        <f t="shared" si="26"/>
        <v/>
      </c>
      <c r="K440" s="2"/>
      <c r="L440" s="15"/>
      <c r="M440" s="34">
        <f t="shared" si="27"/>
        <v>0</v>
      </c>
    </row>
    <row r="441" spans="1:13" x14ac:dyDescent="0.25">
      <c r="A441" s="31"/>
      <c r="B441" s="16" t="str">
        <f>IFERROR(VLOOKUP(A441,Consolidado!$B$1:$L$1500,2,FALSE),"")</f>
        <v/>
      </c>
      <c r="C441" s="16">
        <f>IFERROR(SUMIF(Consolidado!$B$1:$B$1500,VLOOKUP(RegistroPago!A441,Consolidado!$B$1:$L$1500,1,FALSE),Consolidado!$G$1:$G$1500),"")</f>
        <v>0</v>
      </c>
      <c r="D441" s="3"/>
      <c r="E441" s="3"/>
      <c r="F441" s="5" t="str">
        <f t="shared" si="24"/>
        <v/>
      </c>
      <c r="G441" s="16" t="str">
        <f>IF(D441&lt;&gt;"",D441-VLOOKUP(A441,Consolidado!$B$1:$L$1500,8,FALSE),"")</f>
        <v/>
      </c>
      <c r="H441" s="31"/>
      <c r="I441" s="32">
        <f t="shared" si="25"/>
        <v>0</v>
      </c>
      <c r="J441" s="33" t="str">
        <f t="shared" si="26"/>
        <v/>
      </c>
      <c r="K441" s="2"/>
      <c r="L441" s="15"/>
      <c r="M441" s="34">
        <f t="shared" si="27"/>
        <v>0</v>
      </c>
    </row>
    <row r="442" spans="1:13" x14ac:dyDescent="0.25">
      <c r="A442" s="31"/>
      <c r="B442" s="16" t="str">
        <f>IFERROR(VLOOKUP(A442,Consolidado!$B$1:$L$1500,2,FALSE),"")</f>
        <v/>
      </c>
      <c r="C442" s="16">
        <f>IFERROR(SUMIF(Consolidado!$B$1:$B$1500,VLOOKUP(RegistroPago!A442,Consolidado!$B$1:$L$1500,1,FALSE),Consolidado!$G$1:$G$1500),"")</f>
        <v>0</v>
      </c>
      <c r="D442" s="3"/>
      <c r="E442" s="3"/>
      <c r="F442" s="5" t="str">
        <f t="shared" si="24"/>
        <v/>
      </c>
      <c r="G442" s="16" t="str">
        <f>IF(D442&lt;&gt;"",D442-VLOOKUP(A442,Consolidado!$B$1:$L$1500,8,FALSE),"")</f>
        <v/>
      </c>
      <c r="H442" s="31"/>
      <c r="I442" s="32">
        <f t="shared" si="25"/>
        <v>0</v>
      </c>
      <c r="J442" s="33" t="str">
        <f t="shared" si="26"/>
        <v/>
      </c>
      <c r="K442" s="2"/>
      <c r="L442" s="15"/>
      <c r="M442" s="34">
        <f t="shared" si="27"/>
        <v>0</v>
      </c>
    </row>
    <row r="443" spans="1:13" x14ac:dyDescent="0.25">
      <c r="A443" s="31"/>
      <c r="B443" s="16" t="str">
        <f>IFERROR(VLOOKUP(A443,Consolidado!$B$1:$L$1500,2,FALSE),"")</f>
        <v/>
      </c>
      <c r="C443" s="16">
        <f>IFERROR(SUMIF(Consolidado!$B$1:$B$1500,VLOOKUP(RegistroPago!A443,Consolidado!$B$1:$L$1500,1,FALSE),Consolidado!$G$1:$G$1500),"")</f>
        <v>0</v>
      </c>
      <c r="D443" s="3"/>
      <c r="E443" s="3"/>
      <c r="F443" s="5" t="str">
        <f t="shared" si="24"/>
        <v/>
      </c>
      <c r="G443" s="16" t="str">
        <f>IF(D443&lt;&gt;"",D443-VLOOKUP(A443,Consolidado!$B$1:$L$1500,8,FALSE),"")</f>
        <v/>
      </c>
      <c r="H443" s="31"/>
      <c r="I443" s="32">
        <f t="shared" si="25"/>
        <v>0</v>
      </c>
      <c r="J443" s="33" t="str">
        <f t="shared" si="26"/>
        <v/>
      </c>
      <c r="K443" s="2"/>
      <c r="L443" s="15"/>
      <c r="M443" s="34">
        <f t="shared" si="27"/>
        <v>0</v>
      </c>
    </row>
    <row r="444" spans="1:13" x14ac:dyDescent="0.25">
      <c r="A444" s="31"/>
      <c r="B444" s="16" t="str">
        <f>IFERROR(VLOOKUP(A444,Consolidado!$B$1:$L$1500,2,FALSE),"")</f>
        <v/>
      </c>
      <c r="C444" s="16">
        <f>IFERROR(SUMIF(Consolidado!$B$1:$B$1500,VLOOKUP(RegistroPago!A444,Consolidado!$B$1:$L$1500,1,FALSE),Consolidado!$G$1:$G$1500),"")</f>
        <v>0</v>
      </c>
      <c r="D444" s="3"/>
      <c r="E444" s="3"/>
      <c r="F444" s="5" t="str">
        <f t="shared" si="24"/>
        <v/>
      </c>
      <c r="G444" s="16" t="str">
        <f>IF(D444&lt;&gt;"",D444-VLOOKUP(A444,Consolidado!$B$1:$L$1500,8,FALSE),"")</f>
        <v/>
      </c>
      <c r="H444" s="31"/>
      <c r="I444" s="32">
        <f t="shared" si="25"/>
        <v>0</v>
      </c>
      <c r="J444" s="33" t="str">
        <f t="shared" si="26"/>
        <v/>
      </c>
      <c r="K444" s="2"/>
      <c r="L444" s="15"/>
      <c r="M444" s="34">
        <f t="shared" si="27"/>
        <v>0</v>
      </c>
    </row>
    <row r="445" spans="1:13" x14ac:dyDescent="0.25">
      <c r="A445" s="31"/>
      <c r="B445" s="16" t="str">
        <f>IFERROR(VLOOKUP(A445,Consolidado!$B$1:$L$1500,2,FALSE),"")</f>
        <v/>
      </c>
      <c r="C445" s="16">
        <f>IFERROR(SUMIF(Consolidado!$B$1:$B$1500,VLOOKUP(RegistroPago!A445,Consolidado!$B$1:$L$1500,1,FALSE),Consolidado!$G$1:$G$1500),"")</f>
        <v>0</v>
      </c>
      <c r="D445" s="3"/>
      <c r="E445" s="3"/>
      <c r="F445" s="5" t="str">
        <f t="shared" si="24"/>
        <v/>
      </c>
      <c r="G445" s="16" t="str">
        <f>IF(D445&lt;&gt;"",D445-VLOOKUP(A445,Consolidado!$B$1:$L$1500,8,FALSE),"")</f>
        <v/>
      </c>
      <c r="H445" s="31"/>
      <c r="I445" s="32">
        <f t="shared" si="25"/>
        <v>0</v>
      </c>
      <c r="J445" s="33" t="str">
        <f t="shared" si="26"/>
        <v/>
      </c>
      <c r="K445" s="2"/>
      <c r="L445" s="15"/>
      <c r="M445" s="34">
        <f t="shared" si="27"/>
        <v>0</v>
      </c>
    </row>
    <row r="446" spans="1:13" x14ac:dyDescent="0.25">
      <c r="A446" s="31"/>
      <c r="B446" s="16" t="str">
        <f>IFERROR(VLOOKUP(A446,Consolidado!$B$1:$L$1500,2,FALSE),"")</f>
        <v/>
      </c>
      <c r="C446" s="16">
        <f>IFERROR(SUMIF(Consolidado!$B$1:$B$1500,VLOOKUP(RegistroPago!A446,Consolidado!$B$1:$L$1500,1,FALSE),Consolidado!$G$1:$G$1500),"")</f>
        <v>0</v>
      </c>
      <c r="D446" s="3"/>
      <c r="E446" s="3"/>
      <c r="F446" s="5" t="str">
        <f t="shared" si="24"/>
        <v/>
      </c>
      <c r="G446" s="16" t="str">
        <f>IF(D446&lt;&gt;"",D446-VLOOKUP(A446,Consolidado!$B$1:$L$1500,8,FALSE),"")</f>
        <v/>
      </c>
      <c r="H446" s="31"/>
      <c r="I446" s="32">
        <f t="shared" si="25"/>
        <v>0</v>
      </c>
      <c r="J446" s="33" t="str">
        <f t="shared" si="26"/>
        <v/>
      </c>
      <c r="K446" s="2"/>
      <c r="L446" s="15"/>
      <c r="M446" s="34">
        <f t="shared" si="27"/>
        <v>0</v>
      </c>
    </row>
    <row r="447" spans="1:13" x14ac:dyDescent="0.25">
      <c r="A447" s="31"/>
      <c r="B447" s="16" t="str">
        <f>IFERROR(VLOOKUP(A447,Consolidado!$B$1:$L$1500,2,FALSE),"")</f>
        <v/>
      </c>
      <c r="C447" s="16">
        <f>IFERROR(SUMIF(Consolidado!$B$1:$B$1500,VLOOKUP(RegistroPago!A447,Consolidado!$B$1:$L$1500,1,FALSE),Consolidado!$G$1:$G$1500),"")</f>
        <v>0</v>
      </c>
      <c r="D447" s="3"/>
      <c r="E447" s="3"/>
      <c r="F447" s="5" t="str">
        <f t="shared" si="24"/>
        <v/>
      </c>
      <c r="G447" s="16" t="str">
        <f>IF(D447&lt;&gt;"",D447-VLOOKUP(A447,Consolidado!$B$1:$L$1500,8,FALSE),"")</f>
        <v/>
      </c>
      <c r="H447" s="31"/>
      <c r="I447" s="32">
        <f t="shared" si="25"/>
        <v>0</v>
      </c>
      <c r="J447" s="33" t="str">
        <f t="shared" si="26"/>
        <v/>
      </c>
      <c r="K447" s="2"/>
      <c r="L447" s="15"/>
      <c r="M447" s="34">
        <f t="shared" si="27"/>
        <v>0</v>
      </c>
    </row>
    <row r="448" spans="1:13" x14ac:dyDescent="0.25">
      <c r="A448" s="31"/>
      <c r="B448" s="16" t="str">
        <f>IFERROR(VLOOKUP(A448,Consolidado!$B$1:$L$1500,2,FALSE),"")</f>
        <v/>
      </c>
      <c r="C448" s="16">
        <f>IFERROR(SUMIF(Consolidado!$B$1:$B$1500,VLOOKUP(RegistroPago!A448,Consolidado!$B$1:$L$1500,1,FALSE),Consolidado!$G$1:$G$1500),"")</f>
        <v>0</v>
      </c>
      <c r="D448" s="3"/>
      <c r="E448" s="3"/>
      <c r="F448" s="5" t="str">
        <f t="shared" si="24"/>
        <v/>
      </c>
      <c r="G448" s="16" t="str">
        <f>IF(D448&lt;&gt;"",D448-VLOOKUP(A448,Consolidado!$B$1:$L$1500,8,FALSE),"")</f>
        <v/>
      </c>
      <c r="H448" s="31"/>
      <c r="I448" s="32">
        <f t="shared" si="25"/>
        <v>0</v>
      </c>
      <c r="J448" s="33" t="str">
        <f t="shared" si="26"/>
        <v/>
      </c>
      <c r="K448" s="2"/>
      <c r="L448" s="15"/>
      <c r="M448" s="34">
        <f t="shared" si="27"/>
        <v>0</v>
      </c>
    </row>
    <row r="449" spans="1:13" x14ac:dyDescent="0.25">
      <c r="A449" s="31"/>
      <c r="B449" s="16" t="str">
        <f>IFERROR(VLOOKUP(A449,Consolidado!$B$1:$L$1500,2,FALSE),"")</f>
        <v/>
      </c>
      <c r="C449" s="16">
        <f>IFERROR(SUMIF(Consolidado!$B$1:$B$1500,VLOOKUP(RegistroPago!A449,Consolidado!$B$1:$L$1500,1,FALSE),Consolidado!$G$1:$G$1500),"")</f>
        <v>0</v>
      </c>
      <c r="D449" s="3"/>
      <c r="E449" s="3"/>
      <c r="F449" s="5" t="str">
        <f t="shared" si="24"/>
        <v/>
      </c>
      <c r="G449" s="16" t="str">
        <f>IF(D449&lt;&gt;"",D449-VLOOKUP(A449,Consolidado!$B$1:$L$1500,8,FALSE),"")</f>
        <v/>
      </c>
      <c r="H449" s="31"/>
      <c r="I449" s="32">
        <f t="shared" si="25"/>
        <v>0</v>
      </c>
      <c r="J449" s="33" t="str">
        <f t="shared" si="26"/>
        <v/>
      </c>
      <c r="K449" s="2"/>
      <c r="L449" s="15"/>
      <c r="M449" s="34">
        <f t="shared" si="27"/>
        <v>0</v>
      </c>
    </row>
    <row r="450" spans="1:13" x14ac:dyDescent="0.25">
      <c r="A450" s="31"/>
      <c r="B450" s="16" t="str">
        <f>IFERROR(VLOOKUP(A450,Consolidado!$B$1:$L$1500,2,FALSE),"")</f>
        <v/>
      </c>
      <c r="C450" s="16">
        <f>IFERROR(SUMIF(Consolidado!$B$1:$B$1500,VLOOKUP(RegistroPago!A450,Consolidado!$B$1:$L$1500,1,FALSE),Consolidado!$G$1:$G$1500),"")</f>
        <v>0</v>
      </c>
      <c r="D450" s="3"/>
      <c r="E450" s="3"/>
      <c r="F450" s="5" t="str">
        <f t="shared" si="24"/>
        <v/>
      </c>
      <c r="G450" s="16" t="str">
        <f>IF(D450&lt;&gt;"",D450-VLOOKUP(A450,Consolidado!$B$1:$L$1500,8,FALSE),"")</f>
        <v/>
      </c>
      <c r="H450" s="31"/>
      <c r="I450" s="32">
        <f t="shared" si="25"/>
        <v>0</v>
      </c>
      <c r="J450" s="33" t="str">
        <f t="shared" si="26"/>
        <v/>
      </c>
      <c r="K450" s="2"/>
      <c r="L450" s="15"/>
      <c r="M450" s="34">
        <f t="shared" si="27"/>
        <v>0</v>
      </c>
    </row>
    <row r="451" spans="1:13" x14ac:dyDescent="0.25">
      <c r="A451" s="31"/>
      <c r="B451" s="16" t="str">
        <f>IFERROR(VLOOKUP(A451,Consolidado!$B$1:$L$1500,2,FALSE),"")</f>
        <v/>
      </c>
      <c r="C451" s="16">
        <f>IFERROR(SUMIF(Consolidado!$B$1:$B$1500,VLOOKUP(RegistroPago!A451,Consolidado!$B$1:$L$1500,1,FALSE),Consolidado!$G$1:$G$1500),"")</f>
        <v>0</v>
      </c>
      <c r="D451" s="3"/>
      <c r="E451" s="3"/>
      <c r="F451" s="5" t="str">
        <f t="shared" ref="F451:F514" si="28">IF(COUNTIF($E$2:$E$2000,E451)&gt;1,"Ya registrado","")</f>
        <v/>
      </c>
      <c r="G451" s="16" t="str">
        <f>IF(D451&lt;&gt;"",D451-VLOOKUP(A451,Consolidado!$B$1:$L$1500,8,FALSE),"")</f>
        <v/>
      </c>
      <c r="H451" s="31"/>
      <c r="I451" s="32">
        <f t="shared" ref="I451:I514" si="29">IFERROR(SUMIF($E$1:$E$2000,H451,$C$1:$C$2000)-SUMIF($E$1:$E$2000,H451,$F$1:$F$2000),"")</f>
        <v>0</v>
      </c>
      <c r="J451" s="33" t="str">
        <f t="shared" ref="J451:J514" si="30">IFERROR(I451/SUMIF($E$1:$E$2000,H451,$C$1:$C$2000),"")</f>
        <v/>
      </c>
      <c r="K451" s="2"/>
      <c r="L451" s="15"/>
      <c r="M451" s="34">
        <f t="shared" ref="M451:M514" si="31">IFERROR(L451*SUMIF($E$1:$E$2000,H451,$F$1:$F$2000),"")</f>
        <v>0</v>
      </c>
    </row>
    <row r="452" spans="1:13" x14ac:dyDescent="0.25">
      <c r="A452" s="31"/>
      <c r="B452" s="16" t="str">
        <f>IFERROR(VLOOKUP(A452,Consolidado!$B$1:$L$1500,2,FALSE),"")</f>
        <v/>
      </c>
      <c r="C452" s="16">
        <f>IFERROR(SUMIF(Consolidado!$B$1:$B$1500,VLOOKUP(RegistroPago!A452,Consolidado!$B$1:$L$1500,1,FALSE),Consolidado!$G$1:$G$1500),"")</f>
        <v>0</v>
      </c>
      <c r="D452" s="3"/>
      <c r="E452" s="3"/>
      <c r="F452" s="5" t="str">
        <f t="shared" si="28"/>
        <v/>
      </c>
      <c r="G452" s="16" t="str">
        <f>IF(D452&lt;&gt;"",D452-VLOOKUP(A452,Consolidado!$B$1:$L$1500,8,FALSE),"")</f>
        <v/>
      </c>
      <c r="H452" s="31"/>
      <c r="I452" s="32">
        <f t="shared" si="29"/>
        <v>0</v>
      </c>
      <c r="J452" s="33" t="str">
        <f t="shared" si="30"/>
        <v/>
      </c>
      <c r="K452" s="2"/>
      <c r="L452" s="15"/>
      <c r="M452" s="34">
        <f t="shared" si="31"/>
        <v>0</v>
      </c>
    </row>
    <row r="453" spans="1:13" x14ac:dyDescent="0.25">
      <c r="A453" s="31"/>
      <c r="B453" s="16" t="str">
        <f>IFERROR(VLOOKUP(A453,Consolidado!$B$1:$L$1500,2,FALSE),"")</f>
        <v/>
      </c>
      <c r="C453" s="16">
        <f>IFERROR(SUMIF(Consolidado!$B$1:$B$1500,VLOOKUP(RegistroPago!A453,Consolidado!$B$1:$L$1500,1,FALSE),Consolidado!$G$1:$G$1500),"")</f>
        <v>0</v>
      </c>
      <c r="D453" s="3"/>
      <c r="E453" s="3"/>
      <c r="F453" s="5" t="str">
        <f t="shared" si="28"/>
        <v/>
      </c>
      <c r="G453" s="16" t="str">
        <f>IF(D453&lt;&gt;"",D453-VLOOKUP(A453,Consolidado!$B$1:$L$1500,8,FALSE),"")</f>
        <v/>
      </c>
      <c r="H453" s="31"/>
      <c r="I453" s="32">
        <f t="shared" si="29"/>
        <v>0</v>
      </c>
      <c r="J453" s="33" t="str">
        <f t="shared" si="30"/>
        <v/>
      </c>
      <c r="K453" s="2"/>
      <c r="L453" s="15"/>
      <c r="M453" s="34">
        <f t="shared" si="31"/>
        <v>0</v>
      </c>
    </row>
    <row r="454" spans="1:13" x14ac:dyDescent="0.25">
      <c r="A454" s="31"/>
      <c r="B454" s="16" t="str">
        <f>IFERROR(VLOOKUP(A454,Consolidado!$B$1:$L$1500,2,FALSE),"")</f>
        <v/>
      </c>
      <c r="C454" s="16">
        <f>IFERROR(SUMIF(Consolidado!$B$1:$B$1500,VLOOKUP(RegistroPago!A454,Consolidado!$B$1:$L$1500,1,FALSE),Consolidado!$G$1:$G$1500),"")</f>
        <v>0</v>
      </c>
      <c r="D454" s="3"/>
      <c r="E454" s="3"/>
      <c r="F454" s="5" t="str">
        <f t="shared" si="28"/>
        <v/>
      </c>
      <c r="G454" s="16" t="str">
        <f>IF(D454&lt;&gt;"",D454-VLOOKUP(A454,Consolidado!$B$1:$L$1500,8,FALSE),"")</f>
        <v/>
      </c>
      <c r="H454" s="31"/>
      <c r="I454" s="32">
        <f t="shared" si="29"/>
        <v>0</v>
      </c>
      <c r="J454" s="33" t="str">
        <f t="shared" si="30"/>
        <v/>
      </c>
      <c r="K454" s="2"/>
      <c r="L454" s="15"/>
      <c r="M454" s="34">
        <f t="shared" si="31"/>
        <v>0</v>
      </c>
    </row>
    <row r="455" spans="1:13" x14ac:dyDescent="0.25">
      <c r="A455" s="31"/>
      <c r="B455" s="16" t="str">
        <f>IFERROR(VLOOKUP(A455,Consolidado!$B$1:$L$1500,2,FALSE),"")</f>
        <v/>
      </c>
      <c r="C455" s="16">
        <f>IFERROR(SUMIF(Consolidado!$B$1:$B$1500,VLOOKUP(RegistroPago!A455,Consolidado!$B$1:$L$1500,1,FALSE),Consolidado!$G$1:$G$1500),"")</f>
        <v>0</v>
      </c>
      <c r="D455" s="3"/>
      <c r="E455" s="3"/>
      <c r="F455" s="5" t="str">
        <f t="shared" si="28"/>
        <v/>
      </c>
      <c r="G455" s="16" t="str">
        <f>IF(D455&lt;&gt;"",D455-VLOOKUP(A455,Consolidado!$B$1:$L$1500,8,FALSE),"")</f>
        <v/>
      </c>
      <c r="H455" s="31"/>
      <c r="I455" s="32">
        <f t="shared" si="29"/>
        <v>0</v>
      </c>
      <c r="J455" s="33" t="str">
        <f t="shared" si="30"/>
        <v/>
      </c>
      <c r="K455" s="2"/>
      <c r="L455" s="15"/>
      <c r="M455" s="34">
        <f t="shared" si="31"/>
        <v>0</v>
      </c>
    </row>
    <row r="456" spans="1:13" x14ac:dyDescent="0.25">
      <c r="A456" s="31"/>
      <c r="B456" s="16" t="str">
        <f>IFERROR(VLOOKUP(A456,Consolidado!$B$1:$L$1500,2,FALSE),"")</f>
        <v/>
      </c>
      <c r="C456" s="16">
        <f>IFERROR(SUMIF(Consolidado!$B$1:$B$1500,VLOOKUP(RegistroPago!A456,Consolidado!$B$1:$L$1500,1,FALSE),Consolidado!$G$1:$G$1500),"")</f>
        <v>0</v>
      </c>
      <c r="D456" s="3"/>
      <c r="E456" s="3"/>
      <c r="F456" s="5" t="str">
        <f t="shared" si="28"/>
        <v/>
      </c>
      <c r="G456" s="16" t="str">
        <f>IF(D456&lt;&gt;"",D456-VLOOKUP(A456,Consolidado!$B$1:$L$1500,8,FALSE),"")</f>
        <v/>
      </c>
      <c r="H456" s="31"/>
      <c r="I456" s="32">
        <f t="shared" si="29"/>
        <v>0</v>
      </c>
      <c r="J456" s="33" t="str">
        <f t="shared" si="30"/>
        <v/>
      </c>
      <c r="K456" s="2"/>
      <c r="L456" s="15"/>
      <c r="M456" s="34">
        <f t="shared" si="31"/>
        <v>0</v>
      </c>
    </row>
    <row r="457" spans="1:13" x14ac:dyDescent="0.25">
      <c r="A457" s="31"/>
      <c r="B457" s="16" t="str">
        <f>IFERROR(VLOOKUP(A457,Consolidado!$B$1:$L$1500,2,FALSE),"")</f>
        <v/>
      </c>
      <c r="C457" s="16">
        <f>IFERROR(SUMIF(Consolidado!$B$1:$B$1500,VLOOKUP(RegistroPago!A457,Consolidado!$B$1:$L$1500,1,FALSE),Consolidado!$G$1:$G$1500),"")</f>
        <v>0</v>
      </c>
      <c r="D457" s="3"/>
      <c r="E457" s="3"/>
      <c r="F457" s="5" t="str">
        <f t="shared" si="28"/>
        <v/>
      </c>
      <c r="G457" s="16" t="str">
        <f>IF(D457&lt;&gt;"",D457-VLOOKUP(A457,Consolidado!$B$1:$L$1500,8,FALSE),"")</f>
        <v/>
      </c>
      <c r="H457" s="31"/>
      <c r="I457" s="32">
        <f t="shared" si="29"/>
        <v>0</v>
      </c>
      <c r="J457" s="33" t="str">
        <f t="shared" si="30"/>
        <v/>
      </c>
      <c r="K457" s="2"/>
      <c r="L457" s="15"/>
      <c r="M457" s="34">
        <f t="shared" si="31"/>
        <v>0</v>
      </c>
    </row>
    <row r="458" spans="1:13" x14ac:dyDescent="0.25">
      <c r="A458" s="31"/>
      <c r="B458" s="16" t="str">
        <f>IFERROR(VLOOKUP(A458,Consolidado!$B$1:$L$1500,2,FALSE),"")</f>
        <v/>
      </c>
      <c r="C458" s="16">
        <f>IFERROR(SUMIF(Consolidado!$B$1:$B$1500,VLOOKUP(RegistroPago!A458,Consolidado!$B$1:$L$1500,1,FALSE),Consolidado!$G$1:$G$1500),"")</f>
        <v>0</v>
      </c>
      <c r="D458" s="3"/>
      <c r="E458" s="3"/>
      <c r="F458" s="5" t="str">
        <f t="shared" si="28"/>
        <v/>
      </c>
      <c r="G458" s="16" t="str">
        <f>IF(D458&lt;&gt;"",D458-VLOOKUP(A458,Consolidado!$B$1:$L$1500,8,FALSE),"")</f>
        <v/>
      </c>
      <c r="H458" s="31"/>
      <c r="I458" s="32">
        <f t="shared" si="29"/>
        <v>0</v>
      </c>
      <c r="J458" s="33" t="str">
        <f t="shared" si="30"/>
        <v/>
      </c>
      <c r="K458" s="2"/>
      <c r="L458" s="15"/>
      <c r="M458" s="34">
        <f t="shared" si="31"/>
        <v>0</v>
      </c>
    </row>
    <row r="459" spans="1:13" x14ac:dyDescent="0.25">
      <c r="A459" s="31"/>
      <c r="B459" s="16" t="str">
        <f>IFERROR(VLOOKUP(A459,Consolidado!$B$1:$L$1500,2,FALSE),"")</f>
        <v/>
      </c>
      <c r="C459" s="16">
        <f>IFERROR(SUMIF(Consolidado!$B$1:$B$1500,VLOOKUP(RegistroPago!A459,Consolidado!$B$1:$L$1500,1,FALSE),Consolidado!$G$1:$G$1500),"")</f>
        <v>0</v>
      </c>
      <c r="D459" s="3"/>
      <c r="E459" s="3"/>
      <c r="F459" s="5" t="str">
        <f t="shared" si="28"/>
        <v/>
      </c>
      <c r="G459" s="16" t="str">
        <f>IF(D459&lt;&gt;"",D459-VLOOKUP(A459,Consolidado!$B$1:$L$1500,8,FALSE),"")</f>
        <v/>
      </c>
      <c r="H459" s="31"/>
      <c r="I459" s="32">
        <f t="shared" si="29"/>
        <v>0</v>
      </c>
      <c r="J459" s="33" t="str">
        <f t="shared" si="30"/>
        <v/>
      </c>
      <c r="K459" s="2"/>
      <c r="L459" s="15"/>
      <c r="M459" s="34">
        <f t="shared" si="31"/>
        <v>0</v>
      </c>
    </row>
    <row r="460" spans="1:13" x14ac:dyDescent="0.25">
      <c r="A460" s="31"/>
      <c r="B460" s="16" t="str">
        <f>IFERROR(VLOOKUP(A460,Consolidado!$B$1:$L$1500,2,FALSE),"")</f>
        <v/>
      </c>
      <c r="C460" s="16">
        <f>IFERROR(SUMIF(Consolidado!$B$1:$B$1500,VLOOKUP(RegistroPago!A460,Consolidado!$B$1:$L$1500,1,FALSE),Consolidado!$G$1:$G$1500),"")</f>
        <v>0</v>
      </c>
      <c r="D460" s="3"/>
      <c r="E460" s="3"/>
      <c r="F460" s="5" t="str">
        <f t="shared" si="28"/>
        <v/>
      </c>
      <c r="G460" s="16" t="str">
        <f>IF(D460&lt;&gt;"",D460-VLOOKUP(A460,Consolidado!$B$1:$L$1500,8,FALSE),"")</f>
        <v/>
      </c>
      <c r="H460" s="31"/>
      <c r="I460" s="32">
        <f t="shared" si="29"/>
        <v>0</v>
      </c>
      <c r="J460" s="33" t="str">
        <f t="shared" si="30"/>
        <v/>
      </c>
      <c r="K460" s="2"/>
      <c r="L460" s="15"/>
      <c r="M460" s="34">
        <f t="shared" si="31"/>
        <v>0</v>
      </c>
    </row>
    <row r="461" spans="1:13" x14ac:dyDescent="0.25">
      <c r="A461" s="31"/>
      <c r="B461" s="16" t="str">
        <f>IFERROR(VLOOKUP(A461,Consolidado!$B$1:$L$1500,2,FALSE),"")</f>
        <v/>
      </c>
      <c r="C461" s="16">
        <f>IFERROR(SUMIF(Consolidado!$B$1:$B$1500,VLOOKUP(RegistroPago!A461,Consolidado!$B$1:$L$1500,1,FALSE),Consolidado!$G$1:$G$1500),"")</f>
        <v>0</v>
      </c>
      <c r="D461" s="3"/>
      <c r="E461" s="3"/>
      <c r="F461" s="5" t="str">
        <f t="shared" si="28"/>
        <v/>
      </c>
      <c r="G461" s="16" t="str">
        <f>IF(D461&lt;&gt;"",D461-VLOOKUP(A461,Consolidado!$B$1:$L$1500,8,FALSE),"")</f>
        <v/>
      </c>
      <c r="H461" s="31"/>
      <c r="I461" s="32">
        <f t="shared" si="29"/>
        <v>0</v>
      </c>
      <c r="J461" s="33" t="str">
        <f t="shared" si="30"/>
        <v/>
      </c>
      <c r="K461" s="2"/>
      <c r="L461" s="15"/>
      <c r="M461" s="34">
        <f t="shared" si="31"/>
        <v>0</v>
      </c>
    </row>
    <row r="462" spans="1:13" x14ac:dyDescent="0.25">
      <c r="A462" s="31"/>
      <c r="B462" s="16" t="str">
        <f>IFERROR(VLOOKUP(A462,Consolidado!$B$1:$L$1500,2,FALSE),"")</f>
        <v/>
      </c>
      <c r="C462" s="16">
        <f>IFERROR(SUMIF(Consolidado!$B$1:$B$1500,VLOOKUP(RegistroPago!A462,Consolidado!$B$1:$L$1500,1,FALSE),Consolidado!$G$1:$G$1500),"")</f>
        <v>0</v>
      </c>
      <c r="D462" s="3"/>
      <c r="E462" s="3"/>
      <c r="F462" s="5" t="str">
        <f t="shared" si="28"/>
        <v/>
      </c>
      <c r="G462" s="16" t="str">
        <f>IF(D462&lt;&gt;"",D462-VLOOKUP(A462,Consolidado!$B$1:$L$1500,8,FALSE),"")</f>
        <v/>
      </c>
      <c r="H462" s="31"/>
      <c r="I462" s="32">
        <f t="shared" si="29"/>
        <v>0</v>
      </c>
      <c r="J462" s="33" t="str">
        <f t="shared" si="30"/>
        <v/>
      </c>
      <c r="K462" s="2"/>
      <c r="L462" s="15"/>
      <c r="M462" s="34">
        <f t="shared" si="31"/>
        <v>0</v>
      </c>
    </row>
    <row r="463" spans="1:13" x14ac:dyDescent="0.25">
      <c r="A463" s="31"/>
      <c r="B463" s="16" t="str">
        <f>IFERROR(VLOOKUP(A463,Consolidado!$B$1:$L$1500,2,FALSE),"")</f>
        <v/>
      </c>
      <c r="C463" s="16">
        <f>IFERROR(SUMIF(Consolidado!$B$1:$B$1500,VLOOKUP(RegistroPago!A463,Consolidado!$B$1:$L$1500,1,FALSE),Consolidado!$G$1:$G$1500),"")</f>
        <v>0</v>
      </c>
      <c r="D463" s="3"/>
      <c r="E463" s="3"/>
      <c r="F463" s="5" t="str">
        <f t="shared" si="28"/>
        <v/>
      </c>
      <c r="G463" s="16" t="str">
        <f>IF(D463&lt;&gt;"",D463-VLOOKUP(A463,Consolidado!$B$1:$L$1500,8,FALSE),"")</f>
        <v/>
      </c>
      <c r="H463" s="31"/>
      <c r="I463" s="32">
        <f t="shared" si="29"/>
        <v>0</v>
      </c>
      <c r="J463" s="33" t="str">
        <f t="shared" si="30"/>
        <v/>
      </c>
      <c r="K463" s="2"/>
      <c r="L463" s="15"/>
      <c r="M463" s="34">
        <f t="shared" si="31"/>
        <v>0</v>
      </c>
    </row>
    <row r="464" spans="1:13" x14ac:dyDescent="0.25">
      <c r="A464" s="31"/>
      <c r="B464" s="16" t="str">
        <f>IFERROR(VLOOKUP(A464,Consolidado!$B$1:$L$1500,2,FALSE),"")</f>
        <v/>
      </c>
      <c r="C464" s="16">
        <f>IFERROR(SUMIF(Consolidado!$B$1:$B$1500,VLOOKUP(RegistroPago!A464,Consolidado!$B$1:$L$1500,1,FALSE),Consolidado!$G$1:$G$1500),"")</f>
        <v>0</v>
      </c>
      <c r="D464" s="3"/>
      <c r="E464" s="3"/>
      <c r="F464" s="5" t="str">
        <f t="shared" si="28"/>
        <v/>
      </c>
      <c r="G464" s="16" t="str">
        <f>IF(D464&lt;&gt;"",D464-VLOOKUP(A464,Consolidado!$B$1:$L$1500,8,FALSE),"")</f>
        <v/>
      </c>
      <c r="H464" s="31"/>
      <c r="I464" s="32">
        <f t="shared" si="29"/>
        <v>0</v>
      </c>
      <c r="J464" s="33" t="str">
        <f t="shared" si="30"/>
        <v/>
      </c>
      <c r="K464" s="2"/>
      <c r="L464" s="15"/>
      <c r="M464" s="34">
        <f t="shared" si="31"/>
        <v>0</v>
      </c>
    </row>
    <row r="465" spans="1:13" x14ac:dyDescent="0.25">
      <c r="A465" s="31"/>
      <c r="B465" s="16" t="str">
        <f>IFERROR(VLOOKUP(A465,Consolidado!$B$1:$L$1500,2,FALSE),"")</f>
        <v/>
      </c>
      <c r="C465" s="16">
        <f>IFERROR(SUMIF(Consolidado!$B$1:$B$1500,VLOOKUP(RegistroPago!A465,Consolidado!$B$1:$L$1500,1,FALSE),Consolidado!$G$1:$G$1500),"")</f>
        <v>0</v>
      </c>
      <c r="D465" s="3"/>
      <c r="E465" s="3"/>
      <c r="F465" s="5" t="str">
        <f t="shared" si="28"/>
        <v/>
      </c>
      <c r="G465" s="16" t="str">
        <f>IF(D465&lt;&gt;"",D465-VLOOKUP(A465,Consolidado!$B$1:$L$1500,8,FALSE),"")</f>
        <v/>
      </c>
      <c r="H465" s="31"/>
      <c r="I465" s="32">
        <f t="shared" si="29"/>
        <v>0</v>
      </c>
      <c r="J465" s="33" t="str">
        <f t="shared" si="30"/>
        <v/>
      </c>
      <c r="K465" s="2"/>
      <c r="L465" s="15"/>
      <c r="M465" s="34">
        <f t="shared" si="31"/>
        <v>0</v>
      </c>
    </row>
    <row r="466" spans="1:13" x14ac:dyDescent="0.25">
      <c r="A466" s="31"/>
      <c r="B466" s="16" t="str">
        <f>IFERROR(VLOOKUP(A466,Consolidado!$B$1:$L$1500,2,FALSE),"")</f>
        <v/>
      </c>
      <c r="C466" s="16">
        <f>IFERROR(SUMIF(Consolidado!$B$1:$B$1500,VLOOKUP(RegistroPago!A466,Consolidado!$B$1:$L$1500,1,FALSE),Consolidado!$G$1:$G$1500),"")</f>
        <v>0</v>
      </c>
      <c r="D466" s="3"/>
      <c r="E466" s="3"/>
      <c r="F466" s="5" t="str">
        <f t="shared" si="28"/>
        <v/>
      </c>
      <c r="G466" s="16" t="str">
        <f>IF(D466&lt;&gt;"",D466-VLOOKUP(A466,Consolidado!$B$1:$L$1500,8,FALSE),"")</f>
        <v/>
      </c>
      <c r="H466" s="31"/>
      <c r="I466" s="32">
        <f t="shared" si="29"/>
        <v>0</v>
      </c>
      <c r="J466" s="33" t="str">
        <f t="shared" si="30"/>
        <v/>
      </c>
      <c r="K466" s="2"/>
      <c r="L466" s="15"/>
      <c r="M466" s="34">
        <f t="shared" si="31"/>
        <v>0</v>
      </c>
    </row>
    <row r="467" spans="1:13" x14ac:dyDescent="0.25">
      <c r="A467" s="31"/>
      <c r="B467" s="16" t="str">
        <f>IFERROR(VLOOKUP(A467,Consolidado!$B$1:$L$1500,2,FALSE),"")</f>
        <v/>
      </c>
      <c r="C467" s="16">
        <f>IFERROR(SUMIF(Consolidado!$B$1:$B$1500,VLOOKUP(RegistroPago!A467,Consolidado!$B$1:$L$1500,1,FALSE),Consolidado!$G$1:$G$1500),"")</f>
        <v>0</v>
      </c>
      <c r="D467" s="3"/>
      <c r="E467" s="3"/>
      <c r="F467" s="5" t="str">
        <f t="shared" si="28"/>
        <v/>
      </c>
      <c r="G467" s="16" t="str">
        <f>IF(D467&lt;&gt;"",D467-VLOOKUP(A467,Consolidado!$B$1:$L$1500,8,FALSE),"")</f>
        <v/>
      </c>
      <c r="H467" s="31"/>
      <c r="I467" s="32">
        <f t="shared" si="29"/>
        <v>0</v>
      </c>
      <c r="J467" s="33" t="str">
        <f t="shared" si="30"/>
        <v/>
      </c>
      <c r="K467" s="2"/>
      <c r="L467" s="15"/>
      <c r="M467" s="34">
        <f t="shared" si="31"/>
        <v>0</v>
      </c>
    </row>
    <row r="468" spans="1:13" x14ac:dyDescent="0.25">
      <c r="A468" s="31"/>
      <c r="B468" s="16" t="str">
        <f>IFERROR(VLOOKUP(A468,Consolidado!$B$1:$L$1500,2,FALSE),"")</f>
        <v/>
      </c>
      <c r="C468" s="16">
        <f>IFERROR(SUMIF(Consolidado!$B$1:$B$1500,VLOOKUP(RegistroPago!A468,Consolidado!$B$1:$L$1500,1,FALSE),Consolidado!$G$1:$G$1500),"")</f>
        <v>0</v>
      </c>
      <c r="D468" s="3"/>
      <c r="E468" s="3"/>
      <c r="F468" s="5" t="str">
        <f t="shared" si="28"/>
        <v/>
      </c>
      <c r="G468" s="16" t="str">
        <f>IF(D468&lt;&gt;"",D468-VLOOKUP(A468,Consolidado!$B$1:$L$1500,8,FALSE),"")</f>
        <v/>
      </c>
      <c r="H468" s="31"/>
      <c r="I468" s="32">
        <f t="shared" si="29"/>
        <v>0</v>
      </c>
      <c r="J468" s="33" t="str">
        <f t="shared" si="30"/>
        <v/>
      </c>
      <c r="K468" s="2"/>
      <c r="L468" s="15"/>
      <c r="M468" s="34">
        <f t="shared" si="31"/>
        <v>0</v>
      </c>
    </row>
    <row r="469" spans="1:13" x14ac:dyDescent="0.25">
      <c r="A469" s="31"/>
      <c r="B469" s="16" t="str">
        <f>IFERROR(VLOOKUP(A469,Consolidado!$B$1:$L$1500,2,FALSE),"")</f>
        <v/>
      </c>
      <c r="C469" s="16">
        <f>IFERROR(SUMIF(Consolidado!$B$1:$B$1500,VLOOKUP(RegistroPago!A469,Consolidado!$B$1:$L$1500,1,FALSE),Consolidado!$G$1:$G$1500),"")</f>
        <v>0</v>
      </c>
      <c r="D469" s="3"/>
      <c r="E469" s="3"/>
      <c r="F469" s="5" t="str">
        <f t="shared" si="28"/>
        <v/>
      </c>
      <c r="G469" s="16" t="str">
        <f>IF(D469&lt;&gt;"",D469-VLOOKUP(A469,Consolidado!$B$1:$L$1500,8,FALSE),"")</f>
        <v/>
      </c>
      <c r="H469" s="31"/>
      <c r="I469" s="32">
        <f t="shared" si="29"/>
        <v>0</v>
      </c>
      <c r="J469" s="33" t="str">
        <f t="shared" si="30"/>
        <v/>
      </c>
      <c r="K469" s="2"/>
      <c r="L469" s="15"/>
      <c r="M469" s="34">
        <f t="shared" si="31"/>
        <v>0</v>
      </c>
    </row>
    <row r="470" spans="1:13" x14ac:dyDescent="0.25">
      <c r="A470" s="31"/>
      <c r="B470" s="16" t="str">
        <f>IFERROR(VLOOKUP(A470,Consolidado!$B$1:$L$1500,2,FALSE),"")</f>
        <v/>
      </c>
      <c r="C470" s="16">
        <f>IFERROR(SUMIF(Consolidado!$B$1:$B$1500,VLOOKUP(RegistroPago!A470,Consolidado!$B$1:$L$1500,1,FALSE),Consolidado!$G$1:$G$1500),"")</f>
        <v>0</v>
      </c>
      <c r="D470" s="3"/>
      <c r="E470" s="3"/>
      <c r="F470" s="5" t="str">
        <f t="shared" si="28"/>
        <v/>
      </c>
      <c r="G470" s="16" t="str">
        <f>IF(D470&lt;&gt;"",D470-VLOOKUP(A470,Consolidado!$B$1:$L$1500,8,FALSE),"")</f>
        <v/>
      </c>
      <c r="H470" s="31"/>
      <c r="I470" s="32">
        <f t="shared" si="29"/>
        <v>0</v>
      </c>
      <c r="J470" s="33" t="str">
        <f t="shared" si="30"/>
        <v/>
      </c>
      <c r="K470" s="2"/>
      <c r="L470" s="15"/>
      <c r="M470" s="34">
        <f t="shared" si="31"/>
        <v>0</v>
      </c>
    </row>
    <row r="471" spans="1:13" x14ac:dyDescent="0.25">
      <c r="A471" s="31"/>
      <c r="B471" s="16" t="str">
        <f>IFERROR(VLOOKUP(A471,Consolidado!$B$1:$L$1500,2,FALSE),"")</f>
        <v/>
      </c>
      <c r="C471" s="16">
        <f>IFERROR(SUMIF(Consolidado!$B$1:$B$1500,VLOOKUP(RegistroPago!A471,Consolidado!$B$1:$L$1500,1,FALSE),Consolidado!$G$1:$G$1500),"")</f>
        <v>0</v>
      </c>
      <c r="D471" s="3"/>
      <c r="E471" s="3"/>
      <c r="F471" s="5" t="str">
        <f t="shared" si="28"/>
        <v/>
      </c>
      <c r="G471" s="16" t="str">
        <f>IF(D471&lt;&gt;"",D471-VLOOKUP(A471,Consolidado!$B$1:$L$1500,8,FALSE),"")</f>
        <v/>
      </c>
      <c r="H471" s="31"/>
      <c r="I471" s="32">
        <f t="shared" si="29"/>
        <v>0</v>
      </c>
      <c r="J471" s="33" t="str">
        <f t="shared" si="30"/>
        <v/>
      </c>
      <c r="K471" s="2"/>
      <c r="L471" s="15"/>
      <c r="M471" s="34">
        <f t="shared" si="31"/>
        <v>0</v>
      </c>
    </row>
    <row r="472" spans="1:13" x14ac:dyDescent="0.25">
      <c r="A472" s="31"/>
      <c r="B472" s="16" t="str">
        <f>IFERROR(VLOOKUP(A472,Consolidado!$B$1:$L$1500,2,FALSE),"")</f>
        <v/>
      </c>
      <c r="C472" s="16">
        <f>IFERROR(SUMIF(Consolidado!$B$1:$B$1500,VLOOKUP(RegistroPago!A472,Consolidado!$B$1:$L$1500,1,FALSE),Consolidado!$G$1:$G$1500),"")</f>
        <v>0</v>
      </c>
      <c r="D472" s="3"/>
      <c r="E472" s="3"/>
      <c r="F472" s="5" t="str">
        <f t="shared" si="28"/>
        <v/>
      </c>
      <c r="G472" s="16" t="str">
        <f>IF(D472&lt;&gt;"",D472-VLOOKUP(A472,Consolidado!$B$1:$L$1500,8,FALSE),"")</f>
        <v/>
      </c>
      <c r="H472" s="31"/>
      <c r="I472" s="32">
        <f t="shared" si="29"/>
        <v>0</v>
      </c>
      <c r="J472" s="33" t="str">
        <f t="shared" si="30"/>
        <v/>
      </c>
      <c r="K472" s="2"/>
      <c r="L472" s="15"/>
      <c r="M472" s="34">
        <f t="shared" si="31"/>
        <v>0</v>
      </c>
    </row>
    <row r="473" spans="1:13" x14ac:dyDescent="0.25">
      <c r="A473" s="31"/>
      <c r="B473" s="16" t="str">
        <f>IFERROR(VLOOKUP(A473,Consolidado!$B$1:$L$1500,2,FALSE),"")</f>
        <v/>
      </c>
      <c r="C473" s="16">
        <f>IFERROR(SUMIF(Consolidado!$B$1:$B$1500,VLOOKUP(RegistroPago!A473,Consolidado!$B$1:$L$1500,1,FALSE),Consolidado!$G$1:$G$1500),"")</f>
        <v>0</v>
      </c>
      <c r="D473" s="3"/>
      <c r="E473" s="3"/>
      <c r="F473" s="5" t="str">
        <f t="shared" si="28"/>
        <v/>
      </c>
      <c r="G473" s="16" t="str">
        <f>IF(D473&lt;&gt;"",D473-VLOOKUP(A473,Consolidado!$B$1:$L$1500,8,FALSE),"")</f>
        <v/>
      </c>
      <c r="H473" s="31"/>
      <c r="I473" s="32">
        <f t="shared" si="29"/>
        <v>0</v>
      </c>
      <c r="J473" s="33" t="str">
        <f t="shared" si="30"/>
        <v/>
      </c>
      <c r="K473" s="2"/>
      <c r="L473" s="15"/>
      <c r="M473" s="34">
        <f t="shared" si="31"/>
        <v>0</v>
      </c>
    </row>
    <row r="474" spans="1:13" x14ac:dyDescent="0.25">
      <c r="A474" s="31"/>
      <c r="B474" s="16" t="str">
        <f>IFERROR(VLOOKUP(A474,Consolidado!$B$1:$L$1500,2,FALSE),"")</f>
        <v/>
      </c>
      <c r="C474" s="16">
        <f>IFERROR(SUMIF(Consolidado!$B$1:$B$1500,VLOOKUP(RegistroPago!A474,Consolidado!$B$1:$L$1500,1,FALSE),Consolidado!$G$1:$G$1500),"")</f>
        <v>0</v>
      </c>
      <c r="D474" s="3"/>
      <c r="E474" s="3"/>
      <c r="F474" s="5" t="str">
        <f t="shared" si="28"/>
        <v/>
      </c>
      <c r="G474" s="16" t="str">
        <f>IF(D474&lt;&gt;"",D474-VLOOKUP(A474,Consolidado!$B$1:$L$1500,8,FALSE),"")</f>
        <v/>
      </c>
      <c r="H474" s="31"/>
      <c r="I474" s="32">
        <f t="shared" si="29"/>
        <v>0</v>
      </c>
      <c r="J474" s="33" t="str">
        <f t="shared" si="30"/>
        <v/>
      </c>
      <c r="K474" s="2"/>
      <c r="L474" s="15"/>
      <c r="M474" s="34">
        <f t="shared" si="31"/>
        <v>0</v>
      </c>
    </row>
    <row r="475" spans="1:13" x14ac:dyDescent="0.25">
      <c r="A475" s="31"/>
      <c r="B475" s="16" t="str">
        <f>IFERROR(VLOOKUP(A475,Consolidado!$B$1:$L$1500,2,FALSE),"")</f>
        <v/>
      </c>
      <c r="C475" s="16">
        <f>IFERROR(SUMIF(Consolidado!$B$1:$B$1500,VLOOKUP(RegistroPago!A475,Consolidado!$B$1:$L$1500,1,FALSE),Consolidado!$G$1:$G$1500),"")</f>
        <v>0</v>
      </c>
      <c r="D475" s="3"/>
      <c r="E475" s="3"/>
      <c r="F475" s="5" t="str">
        <f t="shared" si="28"/>
        <v/>
      </c>
      <c r="G475" s="16" t="str">
        <f>IF(D475&lt;&gt;"",D475-VLOOKUP(A475,Consolidado!$B$1:$L$1500,8,FALSE),"")</f>
        <v/>
      </c>
      <c r="H475" s="31"/>
      <c r="I475" s="32">
        <f t="shared" si="29"/>
        <v>0</v>
      </c>
      <c r="J475" s="33" t="str">
        <f t="shared" si="30"/>
        <v/>
      </c>
      <c r="K475" s="2"/>
      <c r="L475" s="15"/>
      <c r="M475" s="34">
        <f t="shared" si="31"/>
        <v>0</v>
      </c>
    </row>
    <row r="476" spans="1:13" x14ac:dyDescent="0.25">
      <c r="A476" s="31"/>
      <c r="B476" s="16" t="str">
        <f>IFERROR(VLOOKUP(A476,Consolidado!$B$1:$L$1500,2,FALSE),"")</f>
        <v/>
      </c>
      <c r="C476" s="16">
        <f>IFERROR(SUMIF(Consolidado!$B$1:$B$1500,VLOOKUP(RegistroPago!A476,Consolidado!$B$1:$L$1500,1,FALSE),Consolidado!$G$1:$G$1500),"")</f>
        <v>0</v>
      </c>
      <c r="D476" s="3"/>
      <c r="E476" s="3"/>
      <c r="F476" s="5" t="str">
        <f t="shared" si="28"/>
        <v/>
      </c>
      <c r="G476" s="16" t="str">
        <f>IF(D476&lt;&gt;"",D476-VLOOKUP(A476,Consolidado!$B$1:$L$1500,8,FALSE),"")</f>
        <v/>
      </c>
      <c r="H476" s="31"/>
      <c r="I476" s="32">
        <f t="shared" si="29"/>
        <v>0</v>
      </c>
      <c r="J476" s="33" t="str">
        <f t="shared" si="30"/>
        <v/>
      </c>
      <c r="K476" s="2"/>
      <c r="L476" s="15"/>
      <c r="M476" s="34">
        <f t="shared" si="31"/>
        <v>0</v>
      </c>
    </row>
    <row r="477" spans="1:13" x14ac:dyDescent="0.25">
      <c r="A477" s="31"/>
      <c r="B477" s="16" t="str">
        <f>IFERROR(VLOOKUP(A477,Consolidado!$B$1:$L$1500,2,FALSE),"")</f>
        <v/>
      </c>
      <c r="C477" s="16">
        <f>IFERROR(SUMIF(Consolidado!$B$1:$B$1500,VLOOKUP(RegistroPago!A477,Consolidado!$B$1:$L$1500,1,FALSE),Consolidado!$G$1:$G$1500),"")</f>
        <v>0</v>
      </c>
      <c r="D477" s="3"/>
      <c r="E477" s="3"/>
      <c r="F477" s="5" t="str">
        <f t="shared" si="28"/>
        <v/>
      </c>
      <c r="G477" s="16" t="str">
        <f>IF(D477&lt;&gt;"",D477-VLOOKUP(A477,Consolidado!$B$1:$L$1500,8,FALSE),"")</f>
        <v/>
      </c>
      <c r="H477" s="31"/>
      <c r="I477" s="32">
        <f t="shared" si="29"/>
        <v>0</v>
      </c>
      <c r="J477" s="33" t="str">
        <f t="shared" si="30"/>
        <v/>
      </c>
      <c r="K477" s="2"/>
      <c r="L477" s="15"/>
      <c r="M477" s="34">
        <f t="shared" si="31"/>
        <v>0</v>
      </c>
    </row>
    <row r="478" spans="1:13" x14ac:dyDescent="0.25">
      <c r="A478" s="31"/>
      <c r="B478" s="16" t="str">
        <f>IFERROR(VLOOKUP(A478,Consolidado!$B$1:$L$1500,2,FALSE),"")</f>
        <v/>
      </c>
      <c r="C478" s="16">
        <f>IFERROR(SUMIF(Consolidado!$B$1:$B$1500,VLOOKUP(RegistroPago!A478,Consolidado!$B$1:$L$1500,1,FALSE),Consolidado!$G$1:$G$1500),"")</f>
        <v>0</v>
      </c>
      <c r="D478" s="3"/>
      <c r="E478" s="3"/>
      <c r="F478" s="5" t="str">
        <f t="shared" si="28"/>
        <v/>
      </c>
      <c r="G478" s="16" t="str">
        <f>IF(D478&lt;&gt;"",D478-VLOOKUP(A478,Consolidado!$B$1:$L$1500,8,FALSE),"")</f>
        <v/>
      </c>
      <c r="H478" s="31"/>
      <c r="I478" s="32">
        <f t="shared" si="29"/>
        <v>0</v>
      </c>
      <c r="J478" s="33" t="str">
        <f t="shared" si="30"/>
        <v/>
      </c>
      <c r="K478" s="2"/>
      <c r="L478" s="15"/>
      <c r="M478" s="34">
        <f t="shared" si="31"/>
        <v>0</v>
      </c>
    </row>
    <row r="479" spans="1:13" x14ac:dyDescent="0.25">
      <c r="A479" s="31"/>
      <c r="B479" s="16" t="str">
        <f>IFERROR(VLOOKUP(A479,Consolidado!$B$1:$L$1500,2,FALSE),"")</f>
        <v/>
      </c>
      <c r="C479" s="16">
        <f>IFERROR(SUMIF(Consolidado!$B$1:$B$1500,VLOOKUP(RegistroPago!A479,Consolidado!$B$1:$L$1500,1,FALSE),Consolidado!$G$1:$G$1500),"")</f>
        <v>0</v>
      </c>
      <c r="D479" s="3"/>
      <c r="E479" s="3"/>
      <c r="F479" s="5" t="str">
        <f t="shared" si="28"/>
        <v/>
      </c>
      <c r="G479" s="16" t="str">
        <f>IF(D479&lt;&gt;"",D479-VLOOKUP(A479,Consolidado!$B$1:$L$1500,8,FALSE),"")</f>
        <v/>
      </c>
      <c r="H479" s="31"/>
      <c r="I479" s="32">
        <f t="shared" si="29"/>
        <v>0</v>
      </c>
      <c r="J479" s="33" t="str">
        <f t="shared" si="30"/>
        <v/>
      </c>
      <c r="K479" s="2"/>
      <c r="L479" s="15"/>
      <c r="M479" s="34">
        <f t="shared" si="31"/>
        <v>0</v>
      </c>
    </row>
    <row r="480" spans="1:13" x14ac:dyDescent="0.25">
      <c r="A480" s="31"/>
      <c r="B480" s="16" t="str">
        <f>IFERROR(VLOOKUP(A480,Consolidado!$B$1:$L$1500,2,FALSE),"")</f>
        <v/>
      </c>
      <c r="C480" s="16">
        <f>IFERROR(SUMIF(Consolidado!$B$1:$B$1500,VLOOKUP(RegistroPago!A480,Consolidado!$B$1:$L$1500,1,FALSE),Consolidado!$G$1:$G$1500),"")</f>
        <v>0</v>
      </c>
      <c r="D480" s="3"/>
      <c r="E480" s="3"/>
      <c r="F480" s="5" t="str">
        <f t="shared" si="28"/>
        <v/>
      </c>
      <c r="G480" s="16" t="str">
        <f>IF(D480&lt;&gt;"",D480-VLOOKUP(A480,Consolidado!$B$1:$L$1500,8,FALSE),"")</f>
        <v/>
      </c>
      <c r="H480" s="31"/>
      <c r="I480" s="32">
        <f t="shared" si="29"/>
        <v>0</v>
      </c>
      <c r="J480" s="33" t="str">
        <f t="shared" si="30"/>
        <v/>
      </c>
      <c r="K480" s="2"/>
      <c r="L480" s="15"/>
      <c r="M480" s="34">
        <f t="shared" si="31"/>
        <v>0</v>
      </c>
    </row>
    <row r="481" spans="1:13" x14ac:dyDescent="0.25">
      <c r="A481" s="31"/>
      <c r="B481" s="16" t="str">
        <f>IFERROR(VLOOKUP(A481,Consolidado!$B$1:$L$1500,2,FALSE),"")</f>
        <v/>
      </c>
      <c r="C481" s="16">
        <f>IFERROR(SUMIF(Consolidado!$B$1:$B$1500,VLOOKUP(RegistroPago!A481,Consolidado!$B$1:$L$1500,1,FALSE),Consolidado!$G$1:$G$1500),"")</f>
        <v>0</v>
      </c>
      <c r="D481" s="3"/>
      <c r="E481" s="3"/>
      <c r="F481" s="5" t="str">
        <f t="shared" si="28"/>
        <v/>
      </c>
      <c r="G481" s="16" t="str">
        <f>IF(D481&lt;&gt;"",D481-VLOOKUP(A481,Consolidado!$B$1:$L$1500,8,FALSE),"")</f>
        <v/>
      </c>
      <c r="H481" s="31"/>
      <c r="I481" s="32">
        <f t="shared" si="29"/>
        <v>0</v>
      </c>
      <c r="J481" s="33" t="str">
        <f t="shared" si="30"/>
        <v/>
      </c>
      <c r="K481" s="2"/>
      <c r="L481" s="15"/>
      <c r="M481" s="34">
        <f t="shared" si="31"/>
        <v>0</v>
      </c>
    </row>
    <row r="482" spans="1:13" x14ac:dyDescent="0.25">
      <c r="A482" s="31"/>
      <c r="B482" s="16" t="str">
        <f>IFERROR(VLOOKUP(A482,Consolidado!$B$1:$L$1500,2,FALSE),"")</f>
        <v/>
      </c>
      <c r="C482" s="16">
        <f>IFERROR(SUMIF(Consolidado!$B$1:$B$1500,VLOOKUP(RegistroPago!A482,Consolidado!$B$1:$L$1500,1,FALSE),Consolidado!$G$1:$G$1500),"")</f>
        <v>0</v>
      </c>
      <c r="D482" s="3"/>
      <c r="E482" s="3"/>
      <c r="F482" s="5" t="str">
        <f t="shared" si="28"/>
        <v/>
      </c>
      <c r="G482" s="16" t="str">
        <f>IF(D482&lt;&gt;"",D482-VLOOKUP(A482,Consolidado!$B$1:$L$1500,8,FALSE),"")</f>
        <v/>
      </c>
      <c r="H482" s="31"/>
      <c r="I482" s="32">
        <f t="shared" si="29"/>
        <v>0</v>
      </c>
      <c r="J482" s="33" t="str">
        <f t="shared" si="30"/>
        <v/>
      </c>
      <c r="K482" s="2"/>
      <c r="L482" s="15"/>
      <c r="M482" s="34">
        <f t="shared" si="31"/>
        <v>0</v>
      </c>
    </row>
    <row r="483" spans="1:13" x14ac:dyDescent="0.25">
      <c r="A483" s="31"/>
      <c r="B483" s="16" t="str">
        <f>IFERROR(VLOOKUP(A483,Consolidado!$B$1:$L$1500,2,FALSE),"")</f>
        <v/>
      </c>
      <c r="C483" s="16">
        <f>IFERROR(SUMIF(Consolidado!$B$1:$B$1500,VLOOKUP(RegistroPago!A483,Consolidado!$B$1:$L$1500,1,FALSE),Consolidado!$G$1:$G$1500),"")</f>
        <v>0</v>
      </c>
      <c r="D483" s="3"/>
      <c r="E483" s="3"/>
      <c r="F483" s="5" t="str">
        <f t="shared" si="28"/>
        <v/>
      </c>
      <c r="G483" s="16" t="str">
        <f>IF(D483&lt;&gt;"",D483-VLOOKUP(A483,Consolidado!$B$1:$L$1500,8,FALSE),"")</f>
        <v/>
      </c>
      <c r="H483" s="31"/>
      <c r="I483" s="32">
        <f t="shared" si="29"/>
        <v>0</v>
      </c>
      <c r="J483" s="33" t="str">
        <f t="shared" si="30"/>
        <v/>
      </c>
      <c r="K483" s="2"/>
      <c r="L483" s="15"/>
      <c r="M483" s="34">
        <f t="shared" si="31"/>
        <v>0</v>
      </c>
    </row>
    <row r="484" spans="1:13" x14ac:dyDescent="0.25">
      <c r="A484" s="31"/>
      <c r="B484" s="16" t="str">
        <f>IFERROR(VLOOKUP(A484,Consolidado!$B$1:$L$1500,2,FALSE),"")</f>
        <v/>
      </c>
      <c r="C484" s="16">
        <f>IFERROR(SUMIF(Consolidado!$B$1:$B$1500,VLOOKUP(RegistroPago!A484,Consolidado!$B$1:$L$1500,1,FALSE),Consolidado!$G$1:$G$1500),"")</f>
        <v>0</v>
      </c>
      <c r="D484" s="3"/>
      <c r="E484" s="3"/>
      <c r="F484" s="5" t="str">
        <f t="shared" si="28"/>
        <v/>
      </c>
      <c r="G484" s="16" t="str">
        <f>IF(D484&lt;&gt;"",D484-VLOOKUP(A484,Consolidado!$B$1:$L$1500,8,FALSE),"")</f>
        <v/>
      </c>
      <c r="H484" s="31"/>
      <c r="I484" s="32">
        <f t="shared" si="29"/>
        <v>0</v>
      </c>
      <c r="J484" s="33" t="str">
        <f t="shared" si="30"/>
        <v/>
      </c>
      <c r="K484" s="2"/>
      <c r="L484" s="15"/>
      <c r="M484" s="34">
        <f t="shared" si="31"/>
        <v>0</v>
      </c>
    </row>
    <row r="485" spans="1:13" x14ac:dyDescent="0.25">
      <c r="A485" s="31"/>
      <c r="B485" s="16" t="str">
        <f>IFERROR(VLOOKUP(A485,Consolidado!$B$1:$L$1500,2,FALSE),"")</f>
        <v/>
      </c>
      <c r="C485" s="16">
        <f>IFERROR(SUMIF(Consolidado!$B$1:$B$1500,VLOOKUP(RegistroPago!A485,Consolidado!$B$1:$L$1500,1,FALSE),Consolidado!$G$1:$G$1500),"")</f>
        <v>0</v>
      </c>
      <c r="D485" s="3"/>
      <c r="E485" s="3"/>
      <c r="F485" s="5" t="str">
        <f t="shared" si="28"/>
        <v/>
      </c>
      <c r="G485" s="16" t="str">
        <f>IF(D485&lt;&gt;"",D485-VLOOKUP(A485,Consolidado!$B$1:$L$1500,8,FALSE),"")</f>
        <v/>
      </c>
      <c r="H485" s="31"/>
      <c r="I485" s="32">
        <f t="shared" si="29"/>
        <v>0</v>
      </c>
      <c r="J485" s="33" t="str">
        <f t="shared" si="30"/>
        <v/>
      </c>
      <c r="K485" s="2"/>
      <c r="L485" s="15"/>
      <c r="M485" s="34">
        <f t="shared" si="31"/>
        <v>0</v>
      </c>
    </row>
    <row r="486" spans="1:13" x14ac:dyDescent="0.25">
      <c r="A486" s="31"/>
      <c r="B486" s="16" t="str">
        <f>IFERROR(VLOOKUP(A486,Consolidado!$B$1:$L$1500,2,FALSE),"")</f>
        <v/>
      </c>
      <c r="C486" s="16">
        <f>IFERROR(SUMIF(Consolidado!$B$1:$B$1500,VLOOKUP(RegistroPago!A486,Consolidado!$B$1:$L$1500,1,FALSE),Consolidado!$G$1:$G$1500),"")</f>
        <v>0</v>
      </c>
      <c r="D486" s="3"/>
      <c r="E486" s="3"/>
      <c r="F486" s="5" t="str">
        <f t="shared" si="28"/>
        <v/>
      </c>
      <c r="G486" s="16" t="str">
        <f>IF(D486&lt;&gt;"",D486-VLOOKUP(A486,Consolidado!$B$1:$L$1500,8,FALSE),"")</f>
        <v/>
      </c>
      <c r="H486" s="31"/>
      <c r="I486" s="32">
        <f t="shared" si="29"/>
        <v>0</v>
      </c>
      <c r="J486" s="33" t="str">
        <f t="shared" si="30"/>
        <v/>
      </c>
      <c r="K486" s="2"/>
      <c r="L486" s="15"/>
      <c r="M486" s="34">
        <f t="shared" si="31"/>
        <v>0</v>
      </c>
    </row>
    <row r="487" spans="1:13" x14ac:dyDescent="0.25">
      <c r="A487" s="31"/>
      <c r="B487" s="16" t="str">
        <f>IFERROR(VLOOKUP(A487,Consolidado!$B$1:$L$1500,2,FALSE),"")</f>
        <v/>
      </c>
      <c r="C487" s="16">
        <f>IFERROR(SUMIF(Consolidado!$B$1:$B$1500,VLOOKUP(RegistroPago!A487,Consolidado!$B$1:$L$1500,1,FALSE),Consolidado!$G$1:$G$1500),"")</f>
        <v>0</v>
      </c>
      <c r="D487" s="3"/>
      <c r="E487" s="3"/>
      <c r="F487" s="5" t="str">
        <f t="shared" si="28"/>
        <v/>
      </c>
      <c r="G487" s="16" t="str">
        <f>IF(D487&lt;&gt;"",D487-VLOOKUP(A487,Consolidado!$B$1:$L$1500,8,FALSE),"")</f>
        <v/>
      </c>
      <c r="H487" s="31"/>
      <c r="I487" s="32">
        <f t="shared" si="29"/>
        <v>0</v>
      </c>
      <c r="J487" s="33" t="str">
        <f t="shared" si="30"/>
        <v/>
      </c>
      <c r="K487" s="2"/>
      <c r="L487" s="15"/>
      <c r="M487" s="34">
        <f t="shared" si="31"/>
        <v>0</v>
      </c>
    </row>
    <row r="488" spans="1:13" x14ac:dyDescent="0.25">
      <c r="A488" s="31"/>
      <c r="B488" s="16" t="str">
        <f>IFERROR(VLOOKUP(A488,Consolidado!$B$1:$L$1500,2,FALSE),"")</f>
        <v/>
      </c>
      <c r="C488" s="16">
        <f>IFERROR(SUMIF(Consolidado!$B$1:$B$1500,VLOOKUP(RegistroPago!A488,Consolidado!$B$1:$L$1500,1,FALSE),Consolidado!$G$1:$G$1500),"")</f>
        <v>0</v>
      </c>
      <c r="D488" s="3"/>
      <c r="E488" s="3"/>
      <c r="F488" s="5" t="str">
        <f t="shared" si="28"/>
        <v/>
      </c>
      <c r="G488" s="16" t="str">
        <f>IF(D488&lt;&gt;"",D488-VLOOKUP(A488,Consolidado!$B$1:$L$1500,8,FALSE),"")</f>
        <v/>
      </c>
      <c r="H488" s="31"/>
      <c r="I488" s="32">
        <f t="shared" si="29"/>
        <v>0</v>
      </c>
      <c r="J488" s="33" t="str">
        <f t="shared" si="30"/>
        <v/>
      </c>
      <c r="K488" s="2"/>
      <c r="L488" s="15"/>
      <c r="M488" s="34">
        <f t="shared" si="31"/>
        <v>0</v>
      </c>
    </row>
    <row r="489" spans="1:13" x14ac:dyDescent="0.25">
      <c r="A489" s="31"/>
      <c r="B489" s="16" t="str">
        <f>IFERROR(VLOOKUP(A489,Consolidado!$B$1:$L$1500,2,FALSE),"")</f>
        <v/>
      </c>
      <c r="C489" s="16">
        <f>IFERROR(SUMIF(Consolidado!$B$1:$B$1500,VLOOKUP(RegistroPago!A489,Consolidado!$B$1:$L$1500,1,FALSE),Consolidado!$G$1:$G$1500),"")</f>
        <v>0</v>
      </c>
      <c r="D489" s="3"/>
      <c r="E489" s="3"/>
      <c r="F489" s="5" t="str">
        <f t="shared" si="28"/>
        <v/>
      </c>
      <c r="G489" s="16" t="str">
        <f>IF(D489&lt;&gt;"",D489-VLOOKUP(A489,Consolidado!$B$1:$L$1500,8,FALSE),"")</f>
        <v/>
      </c>
      <c r="H489" s="31"/>
      <c r="I489" s="32">
        <f t="shared" si="29"/>
        <v>0</v>
      </c>
      <c r="J489" s="33" t="str">
        <f t="shared" si="30"/>
        <v/>
      </c>
      <c r="K489" s="2"/>
      <c r="L489" s="15"/>
      <c r="M489" s="34">
        <f t="shared" si="31"/>
        <v>0</v>
      </c>
    </row>
    <row r="490" spans="1:13" x14ac:dyDescent="0.25">
      <c r="A490" s="31"/>
      <c r="B490" s="16" t="str">
        <f>IFERROR(VLOOKUP(A490,Consolidado!$B$1:$L$1500,2,FALSE),"")</f>
        <v/>
      </c>
      <c r="C490" s="16">
        <f>IFERROR(SUMIF(Consolidado!$B$1:$B$1500,VLOOKUP(RegistroPago!A490,Consolidado!$B$1:$L$1500,1,FALSE),Consolidado!$G$1:$G$1500),"")</f>
        <v>0</v>
      </c>
      <c r="D490" s="3"/>
      <c r="E490" s="3"/>
      <c r="F490" s="5" t="str">
        <f t="shared" si="28"/>
        <v/>
      </c>
      <c r="G490" s="16" t="str">
        <f>IF(D490&lt;&gt;"",D490-VLOOKUP(A490,Consolidado!$B$1:$L$1500,8,FALSE),"")</f>
        <v/>
      </c>
      <c r="H490" s="31"/>
      <c r="I490" s="32">
        <f t="shared" si="29"/>
        <v>0</v>
      </c>
      <c r="J490" s="33" t="str">
        <f t="shared" si="30"/>
        <v/>
      </c>
      <c r="K490" s="2"/>
      <c r="L490" s="15"/>
      <c r="M490" s="34">
        <f t="shared" si="31"/>
        <v>0</v>
      </c>
    </row>
    <row r="491" spans="1:13" x14ac:dyDescent="0.25">
      <c r="A491" s="31"/>
      <c r="B491" s="16" t="str">
        <f>IFERROR(VLOOKUP(A491,Consolidado!$B$1:$L$1500,2,FALSE),"")</f>
        <v/>
      </c>
      <c r="C491" s="16">
        <f>IFERROR(SUMIF(Consolidado!$B$1:$B$1500,VLOOKUP(RegistroPago!A491,Consolidado!$B$1:$L$1500,1,FALSE),Consolidado!$G$1:$G$1500),"")</f>
        <v>0</v>
      </c>
      <c r="D491" s="3"/>
      <c r="E491" s="3"/>
      <c r="F491" s="5" t="str">
        <f t="shared" si="28"/>
        <v/>
      </c>
      <c r="G491" s="16" t="str">
        <f>IF(D491&lt;&gt;"",D491-VLOOKUP(A491,Consolidado!$B$1:$L$1500,8,FALSE),"")</f>
        <v/>
      </c>
      <c r="H491" s="31"/>
      <c r="I491" s="32">
        <f t="shared" si="29"/>
        <v>0</v>
      </c>
      <c r="J491" s="33" t="str">
        <f t="shared" si="30"/>
        <v/>
      </c>
      <c r="K491" s="2"/>
      <c r="L491" s="15"/>
      <c r="M491" s="34">
        <f t="shared" si="31"/>
        <v>0</v>
      </c>
    </row>
    <row r="492" spans="1:13" x14ac:dyDescent="0.25">
      <c r="A492" s="31"/>
      <c r="B492" s="16" t="str">
        <f>IFERROR(VLOOKUP(A492,Consolidado!$B$1:$L$1500,2,FALSE),"")</f>
        <v/>
      </c>
      <c r="C492" s="16">
        <f>IFERROR(SUMIF(Consolidado!$B$1:$B$1500,VLOOKUP(RegistroPago!A492,Consolidado!$B$1:$L$1500,1,FALSE),Consolidado!$G$1:$G$1500),"")</f>
        <v>0</v>
      </c>
      <c r="D492" s="3"/>
      <c r="E492" s="3"/>
      <c r="F492" s="5" t="str">
        <f t="shared" si="28"/>
        <v/>
      </c>
      <c r="G492" s="16" t="str">
        <f>IF(D492&lt;&gt;"",D492-VLOOKUP(A492,Consolidado!$B$1:$L$1500,8,FALSE),"")</f>
        <v/>
      </c>
      <c r="H492" s="31"/>
      <c r="I492" s="32">
        <f t="shared" si="29"/>
        <v>0</v>
      </c>
      <c r="J492" s="33" t="str">
        <f t="shared" si="30"/>
        <v/>
      </c>
      <c r="K492" s="2"/>
      <c r="L492" s="15"/>
      <c r="M492" s="34">
        <f t="shared" si="31"/>
        <v>0</v>
      </c>
    </row>
    <row r="493" spans="1:13" x14ac:dyDescent="0.25">
      <c r="A493" s="31"/>
      <c r="B493" s="16" t="str">
        <f>IFERROR(VLOOKUP(A493,Consolidado!$B$1:$L$1500,2,FALSE),"")</f>
        <v/>
      </c>
      <c r="C493" s="16">
        <f>IFERROR(SUMIF(Consolidado!$B$1:$B$1500,VLOOKUP(RegistroPago!A493,Consolidado!$B$1:$L$1500,1,FALSE),Consolidado!$G$1:$G$1500),"")</f>
        <v>0</v>
      </c>
      <c r="D493" s="3"/>
      <c r="E493" s="3"/>
      <c r="F493" s="5" t="str">
        <f t="shared" si="28"/>
        <v/>
      </c>
      <c r="G493" s="16" t="str">
        <f>IF(D493&lt;&gt;"",D493-VLOOKUP(A493,Consolidado!$B$1:$L$1500,8,FALSE),"")</f>
        <v/>
      </c>
      <c r="H493" s="31"/>
      <c r="I493" s="32">
        <f t="shared" si="29"/>
        <v>0</v>
      </c>
      <c r="J493" s="33" t="str">
        <f t="shared" si="30"/>
        <v/>
      </c>
      <c r="K493" s="2"/>
      <c r="L493" s="15"/>
      <c r="M493" s="34">
        <f t="shared" si="31"/>
        <v>0</v>
      </c>
    </row>
    <row r="494" spans="1:13" x14ac:dyDescent="0.25">
      <c r="A494" s="31"/>
      <c r="B494" s="16" t="str">
        <f>IFERROR(VLOOKUP(A494,Consolidado!$B$1:$L$1500,2,FALSE),"")</f>
        <v/>
      </c>
      <c r="C494" s="16">
        <f>IFERROR(SUMIF(Consolidado!$B$1:$B$1500,VLOOKUP(RegistroPago!A494,Consolidado!$B$1:$L$1500,1,FALSE),Consolidado!$G$1:$G$1500),"")</f>
        <v>0</v>
      </c>
      <c r="D494" s="3"/>
      <c r="E494" s="3"/>
      <c r="F494" s="5" t="str">
        <f t="shared" si="28"/>
        <v/>
      </c>
      <c r="G494" s="16" t="str">
        <f>IF(D494&lt;&gt;"",D494-VLOOKUP(A494,Consolidado!$B$1:$L$1500,8,FALSE),"")</f>
        <v/>
      </c>
      <c r="H494" s="31"/>
      <c r="I494" s="32">
        <f t="shared" si="29"/>
        <v>0</v>
      </c>
      <c r="J494" s="33" t="str">
        <f t="shared" si="30"/>
        <v/>
      </c>
      <c r="K494" s="2"/>
      <c r="L494" s="15"/>
      <c r="M494" s="34">
        <f t="shared" si="31"/>
        <v>0</v>
      </c>
    </row>
    <row r="495" spans="1:13" x14ac:dyDescent="0.25">
      <c r="A495" s="31"/>
      <c r="B495" s="16" t="str">
        <f>IFERROR(VLOOKUP(A495,Consolidado!$B$1:$L$1500,2,FALSE),"")</f>
        <v/>
      </c>
      <c r="C495" s="16">
        <f>IFERROR(SUMIF(Consolidado!$B$1:$B$1500,VLOOKUP(RegistroPago!A495,Consolidado!$B$1:$L$1500,1,FALSE),Consolidado!$G$1:$G$1500),"")</f>
        <v>0</v>
      </c>
      <c r="D495" s="3"/>
      <c r="E495" s="3"/>
      <c r="F495" s="5" t="str">
        <f t="shared" si="28"/>
        <v/>
      </c>
      <c r="G495" s="16" t="str">
        <f>IF(D495&lt;&gt;"",D495-VLOOKUP(A495,Consolidado!$B$1:$L$1500,8,FALSE),"")</f>
        <v/>
      </c>
      <c r="H495" s="31"/>
      <c r="I495" s="32">
        <f t="shared" si="29"/>
        <v>0</v>
      </c>
      <c r="J495" s="33" t="str">
        <f t="shared" si="30"/>
        <v/>
      </c>
      <c r="K495" s="2"/>
      <c r="L495" s="15"/>
      <c r="M495" s="34">
        <f t="shared" si="31"/>
        <v>0</v>
      </c>
    </row>
    <row r="496" spans="1:13" x14ac:dyDescent="0.25">
      <c r="A496" s="31"/>
      <c r="B496" s="16" t="str">
        <f>IFERROR(VLOOKUP(A496,Consolidado!$B$1:$L$1500,2,FALSE),"")</f>
        <v/>
      </c>
      <c r="C496" s="16">
        <f>IFERROR(SUMIF(Consolidado!$B$1:$B$1500,VLOOKUP(RegistroPago!A496,Consolidado!$B$1:$L$1500,1,FALSE),Consolidado!$G$1:$G$1500),"")</f>
        <v>0</v>
      </c>
      <c r="D496" s="3"/>
      <c r="E496" s="3"/>
      <c r="F496" s="5" t="str">
        <f t="shared" si="28"/>
        <v/>
      </c>
      <c r="G496" s="16" t="str">
        <f>IF(D496&lt;&gt;"",D496-VLOOKUP(A496,Consolidado!$B$1:$L$1500,8,FALSE),"")</f>
        <v/>
      </c>
      <c r="H496" s="31"/>
      <c r="I496" s="32">
        <f t="shared" si="29"/>
        <v>0</v>
      </c>
      <c r="J496" s="33" t="str">
        <f t="shared" si="30"/>
        <v/>
      </c>
      <c r="K496" s="2"/>
      <c r="L496" s="15"/>
      <c r="M496" s="34">
        <f t="shared" si="31"/>
        <v>0</v>
      </c>
    </row>
    <row r="497" spans="1:13" x14ac:dyDescent="0.25">
      <c r="A497" s="31"/>
      <c r="B497" s="16" t="str">
        <f>IFERROR(VLOOKUP(A497,Consolidado!$B$1:$L$1500,2,FALSE),"")</f>
        <v/>
      </c>
      <c r="C497" s="16">
        <f>IFERROR(SUMIF(Consolidado!$B$1:$B$1500,VLOOKUP(RegistroPago!A497,Consolidado!$B$1:$L$1500,1,FALSE),Consolidado!$G$1:$G$1500),"")</f>
        <v>0</v>
      </c>
      <c r="D497" s="3"/>
      <c r="E497" s="3"/>
      <c r="F497" s="5" t="str">
        <f t="shared" si="28"/>
        <v/>
      </c>
      <c r="G497" s="16" t="str">
        <f>IF(D497&lt;&gt;"",D497-VLOOKUP(A497,Consolidado!$B$1:$L$1500,8,FALSE),"")</f>
        <v/>
      </c>
      <c r="H497" s="31"/>
      <c r="I497" s="32">
        <f t="shared" si="29"/>
        <v>0</v>
      </c>
      <c r="J497" s="33" t="str">
        <f t="shared" si="30"/>
        <v/>
      </c>
      <c r="K497" s="2"/>
      <c r="L497" s="15"/>
      <c r="M497" s="34">
        <f t="shared" si="31"/>
        <v>0</v>
      </c>
    </row>
    <row r="498" spans="1:13" x14ac:dyDescent="0.25">
      <c r="A498" s="31"/>
      <c r="B498" s="16" t="str">
        <f>IFERROR(VLOOKUP(A498,Consolidado!$B$1:$L$1500,2,FALSE),"")</f>
        <v/>
      </c>
      <c r="C498" s="16">
        <f>IFERROR(SUMIF(Consolidado!$B$1:$B$1500,VLOOKUP(RegistroPago!A498,Consolidado!$B$1:$L$1500,1,FALSE),Consolidado!$G$1:$G$1500),"")</f>
        <v>0</v>
      </c>
      <c r="D498" s="3"/>
      <c r="E498" s="3"/>
      <c r="F498" s="5" t="str">
        <f t="shared" si="28"/>
        <v/>
      </c>
      <c r="G498" s="16" t="str">
        <f>IF(D498&lt;&gt;"",D498-VLOOKUP(A498,Consolidado!$B$1:$L$1500,8,FALSE),"")</f>
        <v/>
      </c>
      <c r="H498" s="31"/>
      <c r="I498" s="32">
        <f t="shared" si="29"/>
        <v>0</v>
      </c>
      <c r="J498" s="33" t="str">
        <f t="shared" si="30"/>
        <v/>
      </c>
      <c r="K498" s="2"/>
      <c r="L498" s="15"/>
      <c r="M498" s="34">
        <f t="shared" si="31"/>
        <v>0</v>
      </c>
    </row>
    <row r="499" spans="1:13" x14ac:dyDescent="0.25">
      <c r="A499" s="31"/>
      <c r="B499" s="16" t="str">
        <f>IFERROR(VLOOKUP(A499,Consolidado!$B$1:$L$1500,2,FALSE),"")</f>
        <v/>
      </c>
      <c r="C499" s="16">
        <f>IFERROR(SUMIF(Consolidado!$B$1:$B$1500,VLOOKUP(RegistroPago!A499,Consolidado!$B$1:$L$1500,1,FALSE),Consolidado!$G$1:$G$1500),"")</f>
        <v>0</v>
      </c>
      <c r="D499" s="3"/>
      <c r="E499" s="3"/>
      <c r="F499" s="5" t="str">
        <f t="shared" si="28"/>
        <v/>
      </c>
      <c r="G499" s="16" t="str">
        <f>IF(D499&lt;&gt;"",D499-VLOOKUP(A499,Consolidado!$B$1:$L$1500,8,FALSE),"")</f>
        <v/>
      </c>
      <c r="H499" s="31"/>
      <c r="I499" s="32">
        <f t="shared" si="29"/>
        <v>0</v>
      </c>
      <c r="J499" s="33" t="str">
        <f t="shared" si="30"/>
        <v/>
      </c>
      <c r="K499" s="2"/>
      <c r="L499" s="15"/>
      <c r="M499" s="34">
        <f t="shared" si="31"/>
        <v>0</v>
      </c>
    </row>
    <row r="500" spans="1:13" x14ac:dyDescent="0.25">
      <c r="A500" s="31"/>
      <c r="B500" s="16" t="str">
        <f>IFERROR(VLOOKUP(A500,Consolidado!$B$1:$L$1500,2,FALSE),"")</f>
        <v/>
      </c>
      <c r="C500" s="16">
        <f>IFERROR(SUMIF(Consolidado!$B$1:$B$1500,VLOOKUP(RegistroPago!A500,Consolidado!$B$1:$L$1500,1,FALSE),Consolidado!$G$1:$G$1500),"")</f>
        <v>0</v>
      </c>
      <c r="D500" s="3"/>
      <c r="E500" s="3"/>
      <c r="F500" s="5" t="str">
        <f t="shared" si="28"/>
        <v/>
      </c>
      <c r="G500" s="16" t="str">
        <f>IF(D500&lt;&gt;"",D500-VLOOKUP(A500,Consolidado!$B$1:$L$1500,8,FALSE),"")</f>
        <v/>
      </c>
      <c r="H500" s="31"/>
      <c r="I500" s="32">
        <f t="shared" si="29"/>
        <v>0</v>
      </c>
      <c r="J500" s="33" t="str">
        <f t="shared" si="30"/>
        <v/>
      </c>
      <c r="K500" s="2"/>
      <c r="L500" s="15"/>
      <c r="M500" s="34">
        <f t="shared" si="31"/>
        <v>0</v>
      </c>
    </row>
    <row r="501" spans="1:13" x14ac:dyDescent="0.25">
      <c r="A501" s="31"/>
      <c r="B501" s="16" t="str">
        <f>IFERROR(VLOOKUP(A501,Consolidado!$B$1:$L$1500,2,FALSE),"")</f>
        <v/>
      </c>
      <c r="C501" s="16">
        <f>IFERROR(SUMIF(Consolidado!$B$1:$B$1500,VLOOKUP(RegistroPago!A501,Consolidado!$B$1:$L$1500,1,FALSE),Consolidado!$G$1:$G$1500),"")</f>
        <v>0</v>
      </c>
      <c r="D501" s="3"/>
      <c r="E501" s="3"/>
      <c r="F501" s="5" t="str">
        <f t="shared" si="28"/>
        <v/>
      </c>
      <c r="G501" s="16" t="str">
        <f>IF(D501&lt;&gt;"",D501-VLOOKUP(A501,Consolidado!$B$1:$L$1500,8,FALSE),"")</f>
        <v/>
      </c>
      <c r="H501" s="31"/>
      <c r="I501" s="32">
        <f t="shared" si="29"/>
        <v>0</v>
      </c>
      <c r="J501" s="33" t="str">
        <f t="shared" si="30"/>
        <v/>
      </c>
      <c r="K501" s="2"/>
      <c r="L501" s="15"/>
      <c r="M501" s="34">
        <f t="shared" si="31"/>
        <v>0</v>
      </c>
    </row>
    <row r="502" spans="1:13" x14ac:dyDescent="0.25">
      <c r="A502" s="31"/>
      <c r="B502" s="16" t="str">
        <f>IFERROR(VLOOKUP(A502,Consolidado!$B$1:$L$1500,2,FALSE),"")</f>
        <v/>
      </c>
      <c r="C502" s="16">
        <f>IFERROR(SUMIF(Consolidado!$B$1:$B$1500,VLOOKUP(RegistroPago!A502,Consolidado!$B$1:$L$1500,1,FALSE),Consolidado!$G$1:$G$1500),"")</f>
        <v>0</v>
      </c>
      <c r="D502" s="3"/>
      <c r="E502" s="3"/>
      <c r="F502" s="5" t="str">
        <f t="shared" si="28"/>
        <v/>
      </c>
      <c r="G502" s="16" t="str">
        <f>IF(D502&lt;&gt;"",D502-VLOOKUP(A502,Consolidado!$B$1:$L$1500,8,FALSE),"")</f>
        <v/>
      </c>
      <c r="H502" s="31"/>
      <c r="I502" s="32">
        <f t="shared" si="29"/>
        <v>0</v>
      </c>
      <c r="J502" s="33" t="str">
        <f t="shared" si="30"/>
        <v/>
      </c>
      <c r="K502" s="2"/>
      <c r="L502" s="15"/>
      <c r="M502" s="34">
        <f t="shared" si="31"/>
        <v>0</v>
      </c>
    </row>
    <row r="503" spans="1:13" x14ac:dyDescent="0.25">
      <c r="A503" s="31"/>
      <c r="B503" s="16" t="str">
        <f>IFERROR(VLOOKUP(A503,Consolidado!$B$1:$L$1500,2,FALSE),"")</f>
        <v/>
      </c>
      <c r="C503" s="16">
        <f>IFERROR(SUMIF(Consolidado!$B$1:$B$1500,VLOOKUP(RegistroPago!A503,Consolidado!$B$1:$L$1500,1,FALSE),Consolidado!$G$1:$G$1500),"")</f>
        <v>0</v>
      </c>
      <c r="D503" s="3"/>
      <c r="E503" s="3"/>
      <c r="F503" s="5" t="str">
        <f t="shared" si="28"/>
        <v/>
      </c>
      <c r="G503" s="16" t="str">
        <f>IF(D503&lt;&gt;"",D503-VLOOKUP(A503,Consolidado!$B$1:$L$1500,8,FALSE),"")</f>
        <v/>
      </c>
      <c r="H503" s="31"/>
      <c r="I503" s="32">
        <f t="shared" si="29"/>
        <v>0</v>
      </c>
      <c r="J503" s="33" t="str">
        <f t="shared" si="30"/>
        <v/>
      </c>
      <c r="K503" s="2"/>
      <c r="L503" s="15"/>
      <c r="M503" s="34">
        <f t="shared" si="31"/>
        <v>0</v>
      </c>
    </row>
    <row r="504" spans="1:13" x14ac:dyDescent="0.25">
      <c r="A504" s="31"/>
      <c r="B504" s="16" t="str">
        <f>IFERROR(VLOOKUP(A504,Consolidado!$B$1:$L$1500,2,FALSE),"")</f>
        <v/>
      </c>
      <c r="C504" s="16">
        <f>IFERROR(SUMIF(Consolidado!$B$1:$B$1500,VLOOKUP(RegistroPago!A504,Consolidado!$B$1:$L$1500,1,FALSE),Consolidado!$G$1:$G$1500),"")</f>
        <v>0</v>
      </c>
      <c r="D504" s="3"/>
      <c r="E504" s="3"/>
      <c r="F504" s="5" t="str">
        <f t="shared" si="28"/>
        <v/>
      </c>
      <c r="G504" s="16" t="str">
        <f>IF(D504&lt;&gt;"",D504-VLOOKUP(A504,Consolidado!$B$1:$L$1500,8,FALSE),"")</f>
        <v/>
      </c>
      <c r="H504" s="31"/>
      <c r="I504" s="32">
        <f t="shared" si="29"/>
        <v>0</v>
      </c>
      <c r="J504" s="33" t="str">
        <f t="shared" si="30"/>
        <v/>
      </c>
      <c r="K504" s="2"/>
      <c r="L504" s="15"/>
      <c r="M504" s="34">
        <f t="shared" si="31"/>
        <v>0</v>
      </c>
    </row>
    <row r="505" spans="1:13" x14ac:dyDescent="0.25">
      <c r="A505" s="31"/>
      <c r="B505" s="16" t="str">
        <f>IFERROR(VLOOKUP(A505,Consolidado!$B$1:$L$1500,2,FALSE),"")</f>
        <v/>
      </c>
      <c r="C505" s="16">
        <f>IFERROR(SUMIF(Consolidado!$B$1:$B$1500,VLOOKUP(RegistroPago!A505,Consolidado!$B$1:$L$1500,1,FALSE),Consolidado!$G$1:$G$1500),"")</f>
        <v>0</v>
      </c>
      <c r="D505" s="3"/>
      <c r="E505" s="3"/>
      <c r="F505" s="5" t="str">
        <f t="shared" si="28"/>
        <v/>
      </c>
      <c r="G505" s="16" t="str">
        <f>IF(D505&lt;&gt;"",D505-VLOOKUP(A505,Consolidado!$B$1:$L$1500,8,FALSE),"")</f>
        <v/>
      </c>
      <c r="H505" s="31"/>
      <c r="I505" s="32">
        <f t="shared" si="29"/>
        <v>0</v>
      </c>
      <c r="J505" s="33" t="str">
        <f t="shared" si="30"/>
        <v/>
      </c>
      <c r="K505" s="2"/>
      <c r="L505" s="15"/>
      <c r="M505" s="34">
        <f t="shared" si="31"/>
        <v>0</v>
      </c>
    </row>
    <row r="506" spans="1:13" x14ac:dyDescent="0.25">
      <c r="A506" s="31"/>
      <c r="B506" s="16" t="str">
        <f>IFERROR(VLOOKUP(A506,Consolidado!$B$1:$L$1500,2,FALSE),"")</f>
        <v/>
      </c>
      <c r="C506" s="16">
        <f>IFERROR(SUMIF(Consolidado!$B$1:$B$1500,VLOOKUP(RegistroPago!A506,Consolidado!$B$1:$L$1500,1,FALSE),Consolidado!$G$1:$G$1500),"")</f>
        <v>0</v>
      </c>
      <c r="D506" s="3"/>
      <c r="E506" s="3"/>
      <c r="F506" s="5" t="str">
        <f t="shared" si="28"/>
        <v/>
      </c>
      <c r="G506" s="16" t="str">
        <f>IF(D506&lt;&gt;"",D506-VLOOKUP(A506,Consolidado!$B$1:$L$1500,8,FALSE),"")</f>
        <v/>
      </c>
      <c r="H506" s="31"/>
      <c r="I506" s="32">
        <f t="shared" si="29"/>
        <v>0</v>
      </c>
      <c r="J506" s="33" t="str">
        <f t="shared" si="30"/>
        <v/>
      </c>
      <c r="K506" s="2"/>
      <c r="L506" s="15"/>
      <c r="M506" s="34">
        <f t="shared" si="31"/>
        <v>0</v>
      </c>
    </row>
    <row r="507" spans="1:13" x14ac:dyDescent="0.25">
      <c r="A507" s="31"/>
      <c r="B507" s="16" t="str">
        <f>IFERROR(VLOOKUP(A507,Consolidado!$B$1:$L$1500,2,FALSE),"")</f>
        <v/>
      </c>
      <c r="C507" s="16">
        <f>IFERROR(SUMIF(Consolidado!$B$1:$B$1500,VLOOKUP(RegistroPago!A507,Consolidado!$B$1:$L$1500,1,FALSE),Consolidado!$G$1:$G$1500),"")</f>
        <v>0</v>
      </c>
      <c r="D507" s="3"/>
      <c r="E507" s="3"/>
      <c r="F507" s="5" t="str">
        <f t="shared" si="28"/>
        <v/>
      </c>
      <c r="G507" s="16" t="str">
        <f>IF(D507&lt;&gt;"",D507-VLOOKUP(A507,Consolidado!$B$1:$L$1500,8,FALSE),"")</f>
        <v/>
      </c>
      <c r="H507" s="31"/>
      <c r="I507" s="32">
        <f t="shared" si="29"/>
        <v>0</v>
      </c>
      <c r="J507" s="33" t="str">
        <f t="shared" si="30"/>
        <v/>
      </c>
      <c r="K507" s="2"/>
      <c r="L507" s="15"/>
      <c r="M507" s="34">
        <f t="shared" si="31"/>
        <v>0</v>
      </c>
    </row>
    <row r="508" spans="1:13" x14ac:dyDescent="0.25">
      <c r="A508" s="31"/>
      <c r="B508" s="16" t="str">
        <f>IFERROR(VLOOKUP(A508,Consolidado!$B$1:$L$1500,2,FALSE),"")</f>
        <v/>
      </c>
      <c r="C508" s="16">
        <f>IFERROR(SUMIF(Consolidado!$B$1:$B$1500,VLOOKUP(RegistroPago!A508,Consolidado!$B$1:$L$1500,1,FALSE),Consolidado!$G$1:$G$1500),"")</f>
        <v>0</v>
      </c>
      <c r="D508" s="3"/>
      <c r="E508" s="3"/>
      <c r="F508" s="5" t="str">
        <f t="shared" si="28"/>
        <v/>
      </c>
      <c r="G508" s="16" t="str">
        <f>IF(D508&lt;&gt;"",D508-VLOOKUP(A508,Consolidado!$B$1:$L$1500,8,FALSE),"")</f>
        <v/>
      </c>
      <c r="H508" s="31"/>
      <c r="I508" s="32">
        <f t="shared" si="29"/>
        <v>0</v>
      </c>
      <c r="J508" s="33" t="str">
        <f t="shared" si="30"/>
        <v/>
      </c>
      <c r="K508" s="2"/>
      <c r="L508" s="15"/>
      <c r="M508" s="34">
        <f t="shared" si="31"/>
        <v>0</v>
      </c>
    </row>
    <row r="509" spans="1:13" x14ac:dyDescent="0.25">
      <c r="A509" s="31"/>
      <c r="B509" s="16" t="str">
        <f>IFERROR(VLOOKUP(A509,Consolidado!$B$1:$L$1500,2,FALSE),"")</f>
        <v/>
      </c>
      <c r="C509" s="16">
        <f>IFERROR(SUMIF(Consolidado!$B$1:$B$1500,VLOOKUP(RegistroPago!A509,Consolidado!$B$1:$L$1500,1,FALSE),Consolidado!$G$1:$G$1500),"")</f>
        <v>0</v>
      </c>
      <c r="D509" s="3"/>
      <c r="E509" s="3"/>
      <c r="F509" s="5" t="str">
        <f t="shared" si="28"/>
        <v/>
      </c>
      <c r="G509" s="16" t="str">
        <f>IF(D509&lt;&gt;"",D509-VLOOKUP(A509,Consolidado!$B$1:$L$1500,8,FALSE),"")</f>
        <v/>
      </c>
      <c r="H509" s="31"/>
      <c r="I509" s="32">
        <f t="shared" si="29"/>
        <v>0</v>
      </c>
      <c r="J509" s="33" t="str">
        <f t="shared" si="30"/>
        <v/>
      </c>
      <c r="K509" s="2"/>
      <c r="L509" s="15"/>
      <c r="M509" s="34">
        <f t="shared" si="31"/>
        <v>0</v>
      </c>
    </row>
    <row r="510" spans="1:13" x14ac:dyDescent="0.25">
      <c r="A510" s="31"/>
      <c r="B510" s="16" t="str">
        <f>IFERROR(VLOOKUP(A510,Consolidado!$B$1:$L$1500,2,FALSE),"")</f>
        <v/>
      </c>
      <c r="C510" s="16">
        <f>IFERROR(SUMIF(Consolidado!$B$1:$B$1500,VLOOKUP(RegistroPago!A510,Consolidado!$B$1:$L$1500,1,FALSE),Consolidado!$G$1:$G$1500),"")</f>
        <v>0</v>
      </c>
      <c r="D510" s="3"/>
      <c r="E510" s="3"/>
      <c r="F510" s="5" t="str">
        <f t="shared" si="28"/>
        <v/>
      </c>
      <c r="G510" s="16" t="str">
        <f>IF(D510&lt;&gt;"",D510-VLOOKUP(A510,Consolidado!$B$1:$L$1500,8,FALSE),"")</f>
        <v/>
      </c>
      <c r="H510" s="31"/>
      <c r="I510" s="32">
        <f t="shared" si="29"/>
        <v>0</v>
      </c>
      <c r="J510" s="33" t="str">
        <f t="shared" si="30"/>
        <v/>
      </c>
      <c r="K510" s="2"/>
      <c r="L510" s="15"/>
      <c r="M510" s="34">
        <f t="shared" si="31"/>
        <v>0</v>
      </c>
    </row>
    <row r="511" spans="1:13" x14ac:dyDescent="0.25">
      <c r="A511" s="31"/>
      <c r="B511" s="16" t="str">
        <f>IFERROR(VLOOKUP(A511,Consolidado!$B$1:$L$1500,2,FALSE),"")</f>
        <v/>
      </c>
      <c r="C511" s="16">
        <f>IFERROR(SUMIF(Consolidado!$B$1:$B$1500,VLOOKUP(RegistroPago!A511,Consolidado!$B$1:$L$1500,1,FALSE),Consolidado!$G$1:$G$1500),"")</f>
        <v>0</v>
      </c>
      <c r="D511" s="3"/>
      <c r="E511" s="3"/>
      <c r="F511" s="5" t="str">
        <f t="shared" si="28"/>
        <v/>
      </c>
      <c r="G511" s="16" t="str">
        <f>IF(D511&lt;&gt;"",D511-VLOOKUP(A511,Consolidado!$B$1:$L$1500,8,FALSE),"")</f>
        <v/>
      </c>
      <c r="H511" s="31"/>
      <c r="I511" s="32">
        <f t="shared" si="29"/>
        <v>0</v>
      </c>
      <c r="J511" s="33" t="str">
        <f t="shared" si="30"/>
        <v/>
      </c>
      <c r="K511" s="2"/>
      <c r="L511" s="15"/>
      <c r="M511" s="34">
        <f t="shared" si="31"/>
        <v>0</v>
      </c>
    </row>
    <row r="512" spans="1:13" x14ac:dyDescent="0.25">
      <c r="A512" s="31"/>
      <c r="B512" s="16" t="str">
        <f>IFERROR(VLOOKUP(A512,Consolidado!$B$1:$L$1500,2,FALSE),"")</f>
        <v/>
      </c>
      <c r="C512" s="16">
        <f>IFERROR(SUMIF(Consolidado!$B$1:$B$1500,VLOOKUP(RegistroPago!A512,Consolidado!$B$1:$L$1500,1,FALSE),Consolidado!$G$1:$G$1500),"")</f>
        <v>0</v>
      </c>
      <c r="D512" s="3"/>
      <c r="E512" s="3"/>
      <c r="F512" s="5" t="str">
        <f t="shared" si="28"/>
        <v/>
      </c>
      <c r="G512" s="16" t="str">
        <f>IF(D512&lt;&gt;"",D512-VLOOKUP(A512,Consolidado!$B$1:$L$1500,8,FALSE),"")</f>
        <v/>
      </c>
      <c r="H512" s="31"/>
      <c r="I512" s="32">
        <f t="shared" si="29"/>
        <v>0</v>
      </c>
      <c r="J512" s="33" t="str">
        <f t="shared" si="30"/>
        <v/>
      </c>
      <c r="K512" s="2"/>
      <c r="L512" s="15"/>
      <c r="M512" s="34">
        <f t="shared" si="31"/>
        <v>0</v>
      </c>
    </row>
    <row r="513" spans="1:13" x14ac:dyDescent="0.25">
      <c r="A513" s="31"/>
      <c r="B513" s="16" t="str">
        <f>IFERROR(VLOOKUP(A513,Consolidado!$B$1:$L$1500,2,FALSE),"")</f>
        <v/>
      </c>
      <c r="C513" s="16">
        <f>IFERROR(SUMIF(Consolidado!$B$1:$B$1500,VLOOKUP(RegistroPago!A513,Consolidado!$B$1:$L$1500,1,FALSE),Consolidado!$G$1:$G$1500),"")</f>
        <v>0</v>
      </c>
      <c r="D513" s="3"/>
      <c r="E513" s="3"/>
      <c r="F513" s="5" t="str">
        <f t="shared" si="28"/>
        <v/>
      </c>
      <c r="G513" s="16" t="str">
        <f>IF(D513&lt;&gt;"",D513-VLOOKUP(A513,Consolidado!$B$1:$L$1500,8,FALSE),"")</f>
        <v/>
      </c>
      <c r="H513" s="31"/>
      <c r="I513" s="32">
        <f t="shared" si="29"/>
        <v>0</v>
      </c>
      <c r="J513" s="33" t="str">
        <f t="shared" si="30"/>
        <v/>
      </c>
      <c r="K513" s="2"/>
      <c r="L513" s="15"/>
      <c r="M513" s="34">
        <f t="shared" si="31"/>
        <v>0</v>
      </c>
    </row>
    <row r="514" spans="1:13" x14ac:dyDescent="0.25">
      <c r="A514" s="31"/>
      <c r="B514" s="16" t="str">
        <f>IFERROR(VLOOKUP(A514,Consolidado!$B$1:$L$1500,2,FALSE),"")</f>
        <v/>
      </c>
      <c r="C514" s="16">
        <f>IFERROR(SUMIF(Consolidado!$B$1:$B$1500,VLOOKUP(RegistroPago!A514,Consolidado!$B$1:$L$1500,1,FALSE),Consolidado!$G$1:$G$1500),"")</f>
        <v>0</v>
      </c>
      <c r="D514" s="3"/>
      <c r="E514" s="3"/>
      <c r="F514" s="5" t="str">
        <f t="shared" si="28"/>
        <v/>
      </c>
      <c r="G514" s="16" t="str">
        <f>IF(D514&lt;&gt;"",D514-VLOOKUP(A514,Consolidado!$B$1:$L$1500,8,FALSE),"")</f>
        <v/>
      </c>
      <c r="H514" s="31"/>
      <c r="I514" s="32">
        <f t="shared" si="29"/>
        <v>0</v>
      </c>
      <c r="J514" s="33" t="str">
        <f t="shared" si="30"/>
        <v/>
      </c>
      <c r="K514" s="2"/>
      <c r="L514" s="15"/>
      <c r="M514" s="34">
        <f t="shared" si="31"/>
        <v>0</v>
      </c>
    </row>
    <row r="515" spans="1:13" x14ac:dyDescent="0.25">
      <c r="A515" s="31"/>
      <c r="B515" s="16" t="str">
        <f>IFERROR(VLOOKUP(A515,Consolidado!$B$1:$L$1500,2,FALSE),"")</f>
        <v/>
      </c>
      <c r="C515" s="16">
        <f>IFERROR(SUMIF(Consolidado!$B$1:$B$1500,VLOOKUP(RegistroPago!A515,Consolidado!$B$1:$L$1500,1,FALSE),Consolidado!$G$1:$G$1500),"")</f>
        <v>0</v>
      </c>
      <c r="D515" s="3"/>
      <c r="E515" s="3"/>
      <c r="F515" s="5" t="str">
        <f t="shared" ref="F515:F578" si="32">IF(COUNTIF($E$2:$E$2000,E515)&gt;1,"Ya registrado","")</f>
        <v/>
      </c>
      <c r="G515" s="16" t="str">
        <f>IF(D515&lt;&gt;"",D515-VLOOKUP(A515,Consolidado!$B$1:$L$1500,8,FALSE),"")</f>
        <v/>
      </c>
      <c r="H515" s="31"/>
      <c r="I515" s="32">
        <f t="shared" ref="I515:I578" si="33">IFERROR(SUMIF($E$1:$E$2000,H515,$C$1:$C$2000)-SUMIF($E$1:$E$2000,H515,$F$1:$F$2000),"")</f>
        <v>0</v>
      </c>
      <c r="J515" s="33" t="str">
        <f t="shared" ref="J515:J578" si="34">IFERROR(I515/SUMIF($E$1:$E$2000,H515,$C$1:$C$2000),"")</f>
        <v/>
      </c>
      <c r="K515" s="2"/>
      <c r="L515" s="15"/>
      <c r="M515" s="34">
        <f t="shared" ref="M515:M578" si="35">IFERROR(L515*SUMIF($E$1:$E$2000,H515,$F$1:$F$2000),"")</f>
        <v>0</v>
      </c>
    </row>
    <row r="516" spans="1:13" x14ac:dyDescent="0.25">
      <c r="A516" s="31"/>
      <c r="B516" s="16" t="str">
        <f>IFERROR(VLOOKUP(A516,Consolidado!$B$1:$L$1500,2,FALSE),"")</f>
        <v/>
      </c>
      <c r="C516" s="16">
        <f>IFERROR(SUMIF(Consolidado!$B$1:$B$1500,VLOOKUP(RegistroPago!A516,Consolidado!$B$1:$L$1500,1,FALSE),Consolidado!$G$1:$G$1500),"")</f>
        <v>0</v>
      </c>
      <c r="D516" s="3"/>
      <c r="E516" s="3"/>
      <c r="F516" s="5" t="str">
        <f t="shared" si="32"/>
        <v/>
      </c>
      <c r="G516" s="16" t="str">
        <f>IF(D516&lt;&gt;"",D516-VLOOKUP(A516,Consolidado!$B$1:$L$1500,8,FALSE),"")</f>
        <v/>
      </c>
      <c r="H516" s="31"/>
      <c r="I516" s="32">
        <f t="shared" si="33"/>
        <v>0</v>
      </c>
      <c r="J516" s="33" t="str">
        <f t="shared" si="34"/>
        <v/>
      </c>
      <c r="K516" s="2"/>
      <c r="L516" s="15"/>
      <c r="M516" s="34">
        <f t="shared" si="35"/>
        <v>0</v>
      </c>
    </row>
    <row r="517" spans="1:13" x14ac:dyDescent="0.25">
      <c r="A517" s="31"/>
      <c r="B517" s="16" t="str">
        <f>IFERROR(VLOOKUP(A517,Consolidado!$B$1:$L$1500,2,FALSE),"")</f>
        <v/>
      </c>
      <c r="C517" s="16">
        <f>IFERROR(SUMIF(Consolidado!$B$1:$B$1500,VLOOKUP(RegistroPago!A517,Consolidado!$B$1:$L$1500,1,FALSE),Consolidado!$G$1:$G$1500),"")</f>
        <v>0</v>
      </c>
      <c r="D517" s="3"/>
      <c r="E517" s="3"/>
      <c r="F517" s="5" t="str">
        <f t="shared" si="32"/>
        <v/>
      </c>
      <c r="G517" s="16" t="str">
        <f>IF(D517&lt;&gt;"",D517-VLOOKUP(A517,Consolidado!$B$1:$L$1500,8,FALSE),"")</f>
        <v/>
      </c>
      <c r="H517" s="31"/>
      <c r="I517" s="32">
        <f t="shared" si="33"/>
        <v>0</v>
      </c>
      <c r="J517" s="33" t="str">
        <f t="shared" si="34"/>
        <v/>
      </c>
      <c r="K517" s="2"/>
      <c r="L517" s="15"/>
      <c r="M517" s="34">
        <f t="shared" si="35"/>
        <v>0</v>
      </c>
    </row>
    <row r="518" spans="1:13" x14ac:dyDescent="0.25">
      <c r="A518" s="31"/>
      <c r="B518" s="16" t="str">
        <f>IFERROR(VLOOKUP(A518,Consolidado!$B$1:$L$1500,2,FALSE),"")</f>
        <v/>
      </c>
      <c r="C518" s="16">
        <f>IFERROR(SUMIF(Consolidado!$B$1:$B$1500,VLOOKUP(RegistroPago!A518,Consolidado!$B$1:$L$1500,1,FALSE),Consolidado!$G$1:$G$1500),"")</f>
        <v>0</v>
      </c>
      <c r="D518" s="3"/>
      <c r="E518" s="3"/>
      <c r="F518" s="5" t="str">
        <f t="shared" si="32"/>
        <v/>
      </c>
      <c r="G518" s="16" t="str">
        <f>IF(D518&lt;&gt;"",D518-VLOOKUP(A518,Consolidado!$B$1:$L$1500,8,FALSE),"")</f>
        <v/>
      </c>
      <c r="H518" s="31"/>
      <c r="I518" s="32">
        <f t="shared" si="33"/>
        <v>0</v>
      </c>
      <c r="J518" s="33" t="str">
        <f t="shared" si="34"/>
        <v/>
      </c>
      <c r="K518" s="2"/>
      <c r="L518" s="15"/>
      <c r="M518" s="34">
        <f t="shared" si="35"/>
        <v>0</v>
      </c>
    </row>
    <row r="519" spans="1:13" x14ac:dyDescent="0.25">
      <c r="A519" s="31"/>
      <c r="B519" s="16" t="str">
        <f>IFERROR(VLOOKUP(A519,Consolidado!$B$1:$L$1500,2,FALSE),"")</f>
        <v/>
      </c>
      <c r="C519" s="16">
        <f>IFERROR(SUMIF(Consolidado!$B$1:$B$1500,VLOOKUP(RegistroPago!A519,Consolidado!$B$1:$L$1500,1,FALSE),Consolidado!$G$1:$G$1500),"")</f>
        <v>0</v>
      </c>
      <c r="D519" s="3"/>
      <c r="E519" s="3"/>
      <c r="F519" s="5" t="str">
        <f t="shared" si="32"/>
        <v/>
      </c>
      <c r="G519" s="16" t="str">
        <f>IF(D519&lt;&gt;"",D519-VLOOKUP(A519,Consolidado!$B$1:$L$1500,8,FALSE),"")</f>
        <v/>
      </c>
      <c r="H519" s="31"/>
      <c r="I519" s="32">
        <f t="shared" si="33"/>
        <v>0</v>
      </c>
      <c r="J519" s="33" t="str">
        <f t="shared" si="34"/>
        <v/>
      </c>
      <c r="K519" s="2"/>
      <c r="L519" s="15"/>
      <c r="M519" s="34">
        <f t="shared" si="35"/>
        <v>0</v>
      </c>
    </row>
    <row r="520" spans="1:13" x14ac:dyDescent="0.25">
      <c r="A520" s="31"/>
      <c r="B520" s="16" t="str">
        <f>IFERROR(VLOOKUP(A520,Consolidado!$B$1:$L$1500,2,FALSE),"")</f>
        <v/>
      </c>
      <c r="C520" s="16">
        <f>IFERROR(SUMIF(Consolidado!$B$1:$B$1500,VLOOKUP(RegistroPago!A520,Consolidado!$B$1:$L$1500,1,FALSE),Consolidado!$G$1:$G$1500),"")</f>
        <v>0</v>
      </c>
      <c r="D520" s="3"/>
      <c r="E520" s="3"/>
      <c r="F520" s="5" t="str">
        <f t="shared" si="32"/>
        <v/>
      </c>
      <c r="G520" s="16" t="str">
        <f>IF(D520&lt;&gt;"",D520-VLOOKUP(A520,Consolidado!$B$1:$L$1500,8,FALSE),"")</f>
        <v/>
      </c>
      <c r="H520" s="31"/>
      <c r="I520" s="32">
        <f t="shared" si="33"/>
        <v>0</v>
      </c>
      <c r="J520" s="33" t="str">
        <f t="shared" si="34"/>
        <v/>
      </c>
      <c r="K520" s="2"/>
      <c r="L520" s="15"/>
      <c r="M520" s="34">
        <f t="shared" si="35"/>
        <v>0</v>
      </c>
    </row>
    <row r="521" spans="1:13" x14ac:dyDescent="0.25">
      <c r="A521" s="31"/>
      <c r="B521" s="16" t="str">
        <f>IFERROR(VLOOKUP(A521,Consolidado!$B$1:$L$1500,2,FALSE),"")</f>
        <v/>
      </c>
      <c r="C521" s="16">
        <f>IFERROR(SUMIF(Consolidado!$B$1:$B$1500,VLOOKUP(RegistroPago!A521,Consolidado!$B$1:$L$1500,1,FALSE),Consolidado!$G$1:$G$1500),"")</f>
        <v>0</v>
      </c>
      <c r="D521" s="3"/>
      <c r="E521" s="3"/>
      <c r="F521" s="5" t="str">
        <f t="shared" si="32"/>
        <v/>
      </c>
      <c r="G521" s="16" t="str">
        <f>IF(D521&lt;&gt;"",D521-VLOOKUP(A521,Consolidado!$B$1:$L$1500,8,FALSE),"")</f>
        <v/>
      </c>
      <c r="H521" s="31"/>
      <c r="I521" s="32">
        <f t="shared" si="33"/>
        <v>0</v>
      </c>
      <c r="J521" s="33" t="str">
        <f t="shared" si="34"/>
        <v/>
      </c>
      <c r="K521" s="2"/>
      <c r="L521" s="15"/>
      <c r="M521" s="34">
        <f t="shared" si="35"/>
        <v>0</v>
      </c>
    </row>
    <row r="522" spans="1:13" x14ac:dyDescent="0.25">
      <c r="A522" s="31"/>
      <c r="B522" s="16" t="str">
        <f>IFERROR(VLOOKUP(A522,Consolidado!$B$1:$L$1500,2,FALSE),"")</f>
        <v/>
      </c>
      <c r="C522" s="16">
        <f>IFERROR(SUMIF(Consolidado!$B$1:$B$1500,VLOOKUP(RegistroPago!A522,Consolidado!$B$1:$L$1500,1,FALSE),Consolidado!$G$1:$G$1500),"")</f>
        <v>0</v>
      </c>
      <c r="D522" s="3"/>
      <c r="E522" s="3"/>
      <c r="F522" s="5" t="str">
        <f t="shared" si="32"/>
        <v/>
      </c>
      <c r="G522" s="16" t="str">
        <f>IF(D522&lt;&gt;"",D522-VLOOKUP(A522,Consolidado!$B$1:$L$1500,8,FALSE),"")</f>
        <v/>
      </c>
      <c r="H522" s="31"/>
      <c r="I522" s="32">
        <f t="shared" si="33"/>
        <v>0</v>
      </c>
      <c r="J522" s="33" t="str">
        <f t="shared" si="34"/>
        <v/>
      </c>
      <c r="K522" s="2"/>
      <c r="L522" s="15"/>
      <c r="M522" s="34">
        <f t="shared" si="35"/>
        <v>0</v>
      </c>
    </row>
    <row r="523" spans="1:13" x14ac:dyDescent="0.25">
      <c r="A523" s="31"/>
      <c r="B523" s="16" t="str">
        <f>IFERROR(VLOOKUP(A523,Consolidado!$B$1:$L$1500,2,FALSE),"")</f>
        <v/>
      </c>
      <c r="C523" s="16">
        <f>IFERROR(SUMIF(Consolidado!$B$1:$B$1500,VLOOKUP(RegistroPago!A523,Consolidado!$B$1:$L$1500,1,FALSE),Consolidado!$G$1:$G$1500),"")</f>
        <v>0</v>
      </c>
      <c r="D523" s="3"/>
      <c r="E523" s="3"/>
      <c r="F523" s="5" t="str">
        <f t="shared" si="32"/>
        <v/>
      </c>
      <c r="G523" s="16" t="str">
        <f>IF(D523&lt;&gt;"",D523-VLOOKUP(A523,Consolidado!$B$1:$L$1500,8,FALSE),"")</f>
        <v/>
      </c>
      <c r="H523" s="31"/>
      <c r="I523" s="32">
        <f t="shared" si="33"/>
        <v>0</v>
      </c>
      <c r="J523" s="33" t="str">
        <f t="shared" si="34"/>
        <v/>
      </c>
      <c r="K523" s="2"/>
      <c r="L523" s="15"/>
      <c r="M523" s="34">
        <f t="shared" si="35"/>
        <v>0</v>
      </c>
    </row>
    <row r="524" spans="1:13" x14ac:dyDescent="0.25">
      <c r="A524" s="31"/>
      <c r="B524" s="16" t="str">
        <f>IFERROR(VLOOKUP(A524,Consolidado!$B$1:$L$1500,2,FALSE),"")</f>
        <v/>
      </c>
      <c r="C524" s="16">
        <f>IFERROR(SUMIF(Consolidado!$B$1:$B$1500,VLOOKUP(RegistroPago!A524,Consolidado!$B$1:$L$1500,1,FALSE),Consolidado!$G$1:$G$1500),"")</f>
        <v>0</v>
      </c>
      <c r="D524" s="3"/>
      <c r="E524" s="3"/>
      <c r="F524" s="5" t="str">
        <f t="shared" si="32"/>
        <v/>
      </c>
      <c r="G524" s="16" t="str">
        <f>IF(D524&lt;&gt;"",D524-VLOOKUP(A524,Consolidado!$B$1:$L$1500,8,FALSE),"")</f>
        <v/>
      </c>
      <c r="H524" s="31"/>
      <c r="I524" s="32">
        <f t="shared" si="33"/>
        <v>0</v>
      </c>
      <c r="J524" s="33" t="str">
        <f t="shared" si="34"/>
        <v/>
      </c>
      <c r="K524" s="2"/>
      <c r="L524" s="15"/>
      <c r="M524" s="34">
        <f t="shared" si="35"/>
        <v>0</v>
      </c>
    </row>
    <row r="525" spans="1:13" x14ac:dyDescent="0.25">
      <c r="A525" s="31"/>
      <c r="B525" s="16" t="str">
        <f>IFERROR(VLOOKUP(A525,Consolidado!$B$1:$L$1500,2,FALSE),"")</f>
        <v/>
      </c>
      <c r="C525" s="16">
        <f>IFERROR(SUMIF(Consolidado!$B$1:$B$1500,VLOOKUP(RegistroPago!A525,Consolidado!$B$1:$L$1500,1,FALSE),Consolidado!$G$1:$G$1500),"")</f>
        <v>0</v>
      </c>
      <c r="D525" s="3"/>
      <c r="E525" s="3"/>
      <c r="F525" s="5" t="str">
        <f t="shared" si="32"/>
        <v/>
      </c>
      <c r="G525" s="16" t="str">
        <f>IF(D525&lt;&gt;"",D525-VLOOKUP(A525,Consolidado!$B$1:$L$1500,8,FALSE),"")</f>
        <v/>
      </c>
      <c r="H525" s="31"/>
      <c r="I525" s="32">
        <f t="shared" si="33"/>
        <v>0</v>
      </c>
      <c r="J525" s="33" t="str">
        <f t="shared" si="34"/>
        <v/>
      </c>
      <c r="K525" s="2"/>
      <c r="L525" s="15"/>
      <c r="M525" s="34">
        <f t="shared" si="35"/>
        <v>0</v>
      </c>
    </row>
    <row r="526" spans="1:13" x14ac:dyDescent="0.25">
      <c r="A526" s="31"/>
      <c r="B526" s="16" t="str">
        <f>IFERROR(VLOOKUP(A526,Consolidado!$B$1:$L$1500,2,FALSE),"")</f>
        <v/>
      </c>
      <c r="C526" s="16">
        <f>IFERROR(SUMIF(Consolidado!$B$1:$B$1500,VLOOKUP(RegistroPago!A526,Consolidado!$B$1:$L$1500,1,FALSE),Consolidado!$G$1:$G$1500),"")</f>
        <v>0</v>
      </c>
      <c r="D526" s="3"/>
      <c r="E526" s="3"/>
      <c r="F526" s="5" t="str">
        <f t="shared" si="32"/>
        <v/>
      </c>
      <c r="G526" s="16" t="str">
        <f>IF(D526&lt;&gt;"",D526-VLOOKUP(A526,Consolidado!$B$1:$L$1500,8,FALSE),"")</f>
        <v/>
      </c>
      <c r="H526" s="31"/>
      <c r="I526" s="32">
        <f t="shared" si="33"/>
        <v>0</v>
      </c>
      <c r="J526" s="33" t="str">
        <f t="shared" si="34"/>
        <v/>
      </c>
      <c r="K526" s="2"/>
      <c r="L526" s="15"/>
      <c r="M526" s="34">
        <f t="shared" si="35"/>
        <v>0</v>
      </c>
    </row>
    <row r="527" spans="1:13" x14ac:dyDescent="0.25">
      <c r="A527" s="31"/>
      <c r="B527" s="16" t="str">
        <f>IFERROR(VLOOKUP(A527,Consolidado!$B$1:$L$1500,2,FALSE),"")</f>
        <v/>
      </c>
      <c r="C527" s="16">
        <f>IFERROR(SUMIF(Consolidado!$B$1:$B$1500,VLOOKUP(RegistroPago!A527,Consolidado!$B$1:$L$1500,1,FALSE),Consolidado!$G$1:$G$1500),"")</f>
        <v>0</v>
      </c>
      <c r="D527" s="3"/>
      <c r="E527" s="3"/>
      <c r="F527" s="5" t="str">
        <f t="shared" si="32"/>
        <v/>
      </c>
      <c r="G527" s="16" t="str">
        <f>IF(D527&lt;&gt;"",D527-VLOOKUP(A527,Consolidado!$B$1:$L$1500,8,FALSE),"")</f>
        <v/>
      </c>
      <c r="H527" s="31"/>
      <c r="I527" s="32">
        <f t="shared" si="33"/>
        <v>0</v>
      </c>
      <c r="J527" s="33" t="str">
        <f t="shared" si="34"/>
        <v/>
      </c>
      <c r="K527" s="2"/>
      <c r="L527" s="15"/>
      <c r="M527" s="34">
        <f t="shared" si="35"/>
        <v>0</v>
      </c>
    </row>
    <row r="528" spans="1:13" x14ac:dyDescent="0.25">
      <c r="A528" s="31"/>
      <c r="B528" s="16" t="str">
        <f>IFERROR(VLOOKUP(A528,Consolidado!$B$1:$L$1500,2,FALSE),"")</f>
        <v/>
      </c>
      <c r="C528" s="16">
        <f>IFERROR(SUMIF(Consolidado!$B$1:$B$1500,VLOOKUP(RegistroPago!A528,Consolidado!$B$1:$L$1500,1,FALSE),Consolidado!$G$1:$G$1500),"")</f>
        <v>0</v>
      </c>
      <c r="D528" s="3"/>
      <c r="E528" s="3"/>
      <c r="F528" s="5" t="str">
        <f t="shared" si="32"/>
        <v/>
      </c>
      <c r="G528" s="16" t="str">
        <f>IF(D528&lt;&gt;"",D528-VLOOKUP(A528,Consolidado!$B$1:$L$1500,8,FALSE),"")</f>
        <v/>
      </c>
      <c r="H528" s="31"/>
      <c r="I528" s="32">
        <f t="shared" si="33"/>
        <v>0</v>
      </c>
      <c r="J528" s="33" t="str">
        <f t="shared" si="34"/>
        <v/>
      </c>
      <c r="K528" s="2"/>
      <c r="L528" s="15"/>
      <c r="M528" s="34">
        <f t="shared" si="35"/>
        <v>0</v>
      </c>
    </row>
    <row r="529" spans="1:13" x14ac:dyDescent="0.25">
      <c r="A529" s="31"/>
      <c r="B529" s="16" t="str">
        <f>IFERROR(VLOOKUP(A529,Consolidado!$B$1:$L$1500,2,FALSE),"")</f>
        <v/>
      </c>
      <c r="C529" s="16">
        <f>IFERROR(SUMIF(Consolidado!$B$1:$B$1500,VLOOKUP(RegistroPago!A529,Consolidado!$B$1:$L$1500,1,FALSE),Consolidado!$G$1:$G$1500),"")</f>
        <v>0</v>
      </c>
      <c r="D529" s="3"/>
      <c r="E529" s="3"/>
      <c r="F529" s="5" t="str">
        <f t="shared" si="32"/>
        <v/>
      </c>
      <c r="G529" s="16" t="str">
        <f>IF(D529&lt;&gt;"",D529-VLOOKUP(A529,Consolidado!$B$1:$L$1500,8,FALSE),"")</f>
        <v/>
      </c>
      <c r="H529" s="31"/>
      <c r="I529" s="32">
        <f t="shared" si="33"/>
        <v>0</v>
      </c>
      <c r="J529" s="33" t="str">
        <f t="shared" si="34"/>
        <v/>
      </c>
      <c r="K529" s="2"/>
      <c r="L529" s="15"/>
      <c r="M529" s="34">
        <f t="shared" si="35"/>
        <v>0</v>
      </c>
    </row>
    <row r="530" spans="1:13" x14ac:dyDescent="0.25">
      <c r="A530" s="31"/>
      <c r="B530" s="16" t="str">
        <f>IFERROR(VLOOKUP(A530,Consolidado!$B$1:$L$1500,2,FALSE),"")</f>
        <v/>
      </c>
      <c r="C530" s="16">
        <f>IFERROR(SUMIF(Consolidado!$B$1:$B$1500,VLOOKUP(RegistroPago!A530,Consolidado!$B$1:$L$1500,1,FALSE),Consolidado!$G$1:$G$1500),"")</f>
        <v>0</v>
      </c>
      <c r="D530" s="3"/>
      <c r="E530" s="3"/>
      <c r="F530" s="5" t="str">
        <f t="shared" si="32"/>
        <v/>
      </c>
      <c r="G530" s="16" t="str">
        <f>IF(D530&lt;&gt;"",D530-VLOOKUP(A530,Consolidado!$B$1:$L$1500,8,FALSE),"")</f>
        <v/>
      </c>
      <c r="H530" s="31"/>
      <c r="I530" s="32">
        <f t="shared" si="33"/>
        <v>0</v>
      </c>
      <c r="J530" s="33" t="str">
        <f t="shared" si="34"/>
        <v/>
      </c>
      <c r="K530" s="2"/>
      <c r="L530" s="15"/>
      <c r="M530" s="34">
        <f t="shared" si="35"/>
        <v>0</v>
      </c>
    </row>
    <row r="531" spans="1:13" x14ac:dyDescent="0.25">
      <c r="A531" s="31"/>
      <c r="B531" s="16" t="str">
        <f>IFERROR(VLOOKUP(A531,Consolidado!$B$1:$L$1500,2,FALSE),"")</f>
        <v/>
      </c>
      <c r="C531" s="16">
        <f>IFERROR(SUMIF(Consolidado!$B$1:$B$1500,VLOOKUP(RegistroPago!A531,Consolidado!$B$1:$L$1500,1,FALSE),Consolidado!$G$1:$G$1500),"")</f>
        <v>0</v>
      </c>
      <c r="D531" s="3"/>
      <c r="E531" s="3"/>
      <c r="F531" s="5" t="str">
        <f t="shared" si="32"/>
        <v/>
      </c>
      <c r="G531" s="16" t="str">
        <f>IF(D531&lt;&gt;"",D531-VLOOKUP(A531,Consolidado!$B$1:$L$1500,8,FALSE),"")</f>
        <v/>
      </c>
      <c r="H531" s="31"/>
      <c r="I531" s="32">
        <f t="shared" si="33"/>
        <v>0</v>
      </c>
      <c r="J531" s="33" t="str">
        <f t="shared" si="34"/>
        <v/>
      </c>
      <c r="K531" s="2"/>
      <c r="L531" s="15"/>
      <c r="M531" s="34">
        <f t="shared" si="35"/>
        <v>0</v>
      </c>
    </row>
    <row r="532" spans="1:13" x14ac:dyDescent="0.25">
      <c r="A532" s="31"/>
      <c r="B532" s="16" t="str">
        <f>IFERROR(VLOOKUP(A532,Consolidado!$B$1:$L$1500,2,FALSE),"")</f>
        <v/>
      </c>
      <c r="C532" s="16">
        <f>IFERROR(SUMIF(Consolidado!$B$1:$B$1500,VLOOKUP(RegistroPago!A532,Consolidado!$B$1:$L$1500,1,FALSE),Consolidado!$G$1:$G$1500),"")</f>
        <v>0</v>
      </c>
      <c r="D532" s="3"/>
      <c r="E532" s="3"/>
      <c r="F532" s="5" t="str">
        <f t="shared" si="32"/>
        <v/>
      </c>
      <c r="G532" s="16" t="str">
        <f>IF(D532&lt;&gt;"",D532-VLOOKUP(A532,Consolidado!$B$1:$L$1500,8,FALSE),"")</f>
        <v/>
      </c>
      <c r="H532" s="31"/>
      <c r="I532" s="32">
        <f t="shared" si="33"/>
        <v>0</v>
      </c>
      <c r="J532" s="33" t="str">
        <f t="shared" si="34"/>
        <v/>
      </c>
      <c r="K532" s="2"/>
      <c r="L532" s="15"/>
      <c r="M532" s="34">
        <f t="shared" si="35"/>
        <v>0</v>
      </c>
    </row>
    <row r="533" spans="1:13" x14ac:dyDescent="0.25">
      <c r="A533" s="31"/>
      <c r="B533" s="16" t="str">
        <f>IFERROR(VLOOKUP(A533,Consolidado!$B$1:$L$1500,2,FALSE),"")</f>
        <v/>
      </c>
      <c r="C533" s="16">
        <f>IFERROR(SUMIF(Consolidado!$B$1:$B$1500,VLOOKUP(RegistroPago!A533,Consolidado!$B$1:$L$1500,1,FALSE),Consolidado!$G$1:$G$1500),"")</f>
        <v>0</v>
      </c>
      <c r="D533" s="3"/>
      <c r="E533" s="3"/>
      <c r="F533" s="5" t="str">
        <f t="shared" si="32"/>
        <v/>
      </c>
      <c r="G533" s="16" t="str">
        <f>IF(D533&lt;&gt;"",D533-VLOOKUP(A533,Consolidado!$B$1:$L$1500,8,FALSE),"")</f>
        <v/>
      </c>
      <c r="H533" s="31"/>
      <c r="I533" s="32">
        <f t="shared" si="33"/>
        <v>0</v>
      </c>
      <c r="J533" s="33" t="str">
        <f t="shared" si="34"/>
        <v/>
      </c>
      <c r="K533" s="2"/>
      <c r="L533" s="15"/>
      <c r="M533" s="34">
        <f t="shared" si="35"/>
        <v>0</v>
      </c>
    </row>
    <row r="534" spans="1:13" x14ac:dyDescent="0.25">
      <c r="A534" s="31"/>
      <c r="B534" s="16" t="str">
        <f>IFERROR(VLOOKUP(A534,Consolidado!$B$1:$L$1500,2,FALSE),"")</f>
        <v/>
      </c>
      <c r="C534" s="16">
        <f>IFERROR(SUMIF(Consolidado!$B$1:$B$1500,VLOOKUP(RegistroPago!A534,Consolidado!$B$1:$L$1500,1,FALSE),Consolidado!$G$1:$G$1500),"")</f>
        <v>0</v>
      </c>
      <c r="D534" s="3"/>
      <c r="E534" s="3"/>
      <c r="F534" s="5" t="str">
        <f t="shared" si="32"/>
        <v/>
      </c>
      <c r="G534" s="16" t="str">
        <f>IF(D534&lt;&gt;"",D534-VLOOKUP(A534,Consolidado!$B$1:$L$1500,8,FALSE),"")</f>
        <v/>
      </c>
      <c r="H534" s="31"/>
      <c r="I534" s="32">
        <f t="shared" si="33"/>
        <v>0</v>
      </c>
      <c r="J534" s="33" t="str">
        <f t="shared" si="34"/>
        <v/>
      </c>
      <c r="K534" s="2"/>
      <c r="L534" s="15"/>
      <c r="M534" s="34">
        <f t="shared" si="35"/>
        <v>0</v>
      </c>
    </row>
    <row r="535" spans="1:13" x14ac:dyDescent="0.25">
      <c r="A535" s="31"/>
      <c r="B535" s="16" t="str">
        <f>IFERROR(VLOOKUP(A535,Consolidado!$B$1:$L$1500,2,FALSE),"")</f>
        <v/>
      </c>
      <c r="C535" s="16">
        <f>IFERROR(SUMIF(Consolidado!$B$1:$B$1500,VLOOKUP(RegistroPago!A535,Consolidado!$B$1:$L$1500,1,FALSE),Consolidado!$G$1:$G$1500),"")</f>
        <v>0</v>
      </c>
      <c r="D535" s="3"/>
      <c r="E535" s="3"/>
      <c r="F535" s="5" t="str">
        <f t="shared" si="32"/>
        <v/>
      </c>
      <c r="G535" s="16" t="str">
        <f>IF(D535&lt;&gt;"",D535-VLOOKUP(A535,Consolidado!$B$1:$L$1500,8,FALSE),"")</f>
        <v/>
      </c>
      <c r="H535" s="31"/>
      <c r="I535" s="32">
        <f t="shared" si="33"/>
        <v>0</v>
      </c>
      <c r="J535" s="33" t="str">
        <f t="shared" si="34"/>
        <v/>
      </c>
      <c r="K535" s="2"/>
      <c r="L535" s="15"/>
      <c r="M535" s="34">
        <f t="shared" si="35"/>
        <v>0</v>
      </c>
    </row>
    <row r="536" spans="1:13" x14ac:dyDescent="0.25">
      <c r="A536" s="31"/>
      <c r="B536" s="16" t="str">
        <f>IFERROR(VLOOKUP(A536,Consolidado!$B$1:$L$1500,2,FALSE),"")</f>
        <v/>
      </c>
      <c r="C536" s="16">
        <f>IFERROR(SUMIF(Consolidado!$B$1:$B$1500,VLOOKUP(RegistroPago!A536,Consolidado!$B$1:$L$1500,1,FALSE),Consolidado!$G$1:$G$1500),"")</f>
        <v>0</v>
      </c>
      <c r="D536" s="3"/>
      <c r="E536" s="3"/>
      <c r="F536" s="5" t="str">
        <f t="shared" si="32"/>
        <v/>
      </c>
      <c r="G536" s="16" t="str">
        <f>IF(D536&lt;&gt;"",D536-VLOOKUP(A536,Consolidado!$B$1:$L$1500,8,FALSE),"")</f>
        <v/>
      </c>
      <c r="H536" s="31"/>
      <c r="I536" s="32">
        <f t="shared" si="33"/>
        <v>0</v>
      </c>
      <c r="J536" s="33" t="str">
        <f t="shared" si="34"/>
        <v/>
      </c>
      <c r="K536" s="2"/>
      <c r="L536" s="15"/>
      <c r="M536" s="34">
        <f t="shared" si="35"/>
        <v>0</v>
      </c>
    </row>
    <row r="537" spans="1:13" x14ac:dyDescent="0.25">
      <c r="A537" s="31"/>
      <c r="B537" s="16" t="str">
        <f>IFERROR(VLOOKUP(A537,Consolidado!$B$1:$L$1500,2,FALSE),"")</f>
        <v/>
      </c>
      <c r="C537" s="16">
        <f>IFERROR(SUMIF(Consolidado!$B$1:$B$1500,VLOOKUP(RegistroPago!A537,Consolidado!$B$1:$L$1500,1,FALSE),Consolidado!$G$1:$G$1500),"")</f>
        <v>0</v>
      </c>
      <c r="D537" s="3"/>
      <c r="E537" s="3"/>
      <c r="F537" s="5" t="str">
        <f t="shared" si="32"/>
        <v/>
      </c>
      <c r="G537" s="16" t="str">
        <f>IF(D537&lt;&gt;"",D537-VLOOKUP(A537,Consolidado!$B$1:$L$1500,8,FALSE),"")</f>
        <v/>
      </c>
      <c r="H537" s="31"/>
      <c r="I537" s="32">
        <f t="shared" si="33"/>
        <v>0</v>
      </c>
      <c r="J537" s="33" t="str">
        <f t="shared" si="34"/>
        <v/>
      </c>
      <c r="K537" s="2"/>
      <c r="L537" s="15"/>
      <c r="M537" s="34">
        <f t="shared" si="35"/>
        <v>0</v>
      </c>
    </row>
    <row r="538" spans="1:13" x14ac:dyDescent="0.25">
      <c r="A538" s="31"/>
      <c r="B538" s="16" t="str">
        <f>IFERROR(VLOOKUP(A538,Consolidado!$B$1:$L$1500,2,FALSE),"")</f>
        <v/>
      </c>
      <c r="C538" s="16">
        <f>IFERROR(SUMIF(Consolidado!$B$1:$B$1500,VLOOKUP(RegistroPago!A538,Consolidado!$B$1:$L$1500,1,FALSE),Consolidado!$G$1:$G$1500),"")</f>
        <v>0</v>
      </c>
      <c r="D538" s="3"/>
      <c r="E538" s="3"/>
      <c r="F538" s="5" t="str">
        <f t="shared" si="32"/>
        <v/>
      </c>
      <c r="G538" s="16" t="str">
        <f>IF(D538&lt;&gt;"",D538-VLOOKUP(A538,Consolidado!$B$1:$L$1500,8,FALSE),"")</f>
        <v/>
      </c>
      <c r="H538" s="31"/>
      <c r="I538" s="32">
        <f t="shared" si="33"/>
        <v>0</v>
      </c>
      <c r="J538" s="33" t="str">
        <f t="shared" si="34"/>
        <v/>
      </c>
      <c r="K538" s="2"/>
      <c r="L538" s="15"/>
      <c r="M538" s="34">
        <f t="shared" si="35"/>
        <v>0</v>
      </c>
    </row>
    <row r="539" spans="1:13" x14ac:dyDescent="0.25">
      <c r="A539" s="31"/>
      <c r="B539" s="16" t="str">
        <f>IFERROR(VLOOKUP(A539,Consolidado!$B$1:$L$1500,2,FALSE),"")</f>
        <v/>
      </c>
      <c r="C539" s="16">
        <f>IFERROR(SUMIF(Consolidado!$B$1:$B$1500,VLOOKUP(RegistroPago!A539,Consolidado!$B$1:$L$1500,1,FALSE),Consolidado!$G$1:$G$1500),"")</f>
        <v>0</v>
      </c>
      <c r="D539" s="3"/>
      <c r="E539" s="3"/>
      <c r="F539" s="5" t="str">
        <f t="shared" si="32"/>
        <v/>
      </c>
      <c r="G539" s="16" t="str">
        <f>IF(D539&lt;&gt;"",D539-VLOOKUP(A539,Consolidado!$B$1:$L$1500,8,FALSE),"")</f>
        <v/>
      </c>
      <c r="H539" s="31"/>
      <c r="I539" s="32">
        <f t="shared" si="33"/>
        <v>0</v>
      </c>
      <c r="J539" s="33" t="str">
        <f t="shared" si="34"/>
        <v/>
      </c>
      <c r="K539" s="2"/>
      <c r="L539" s="15"/>
      <c r="M539" s="34">
        <f t="shared" si="35"/>
        <v>0</v>
      </c>
    </row>
    <row r="540" spans="1:13" x14ac:dyDescent="0.25">
      <c r="A540" s="31"/>
      <c r="B540" s="16" t="str">
        <f>IFERROR(VLOOKUP(A540,Consolidado!$B$1:$L$1500,2,FALSE),"")</f>
        <v/>
      </c>
      <c r="C540" s="16">
        <f>IFERROR(SUMIF(Consolidado!$B$1:$B$1500,VLOOKUP(RegistroPago!A540,Consolidado!$B$1:$L$1500,1,FALSE),Consolidado!$G$1:$G$1500),"")</f>
        <v>0</v>
      </c>
      <c r="D540" s="3"/>
      <c r="E540" s="3"/>
      <c r="F540" s="5" t="str">
        <f t="shared" si="32"/>
        <v/>
      </c>
      <c r="G540" s="16" t="str">
        <f>IF(D540&lt;&gt;"",D540-VLOOKUP(A540,Consolidado!$B$1:$L$1500,8,FALSE),"")</f>
        <v/>
      </c>
      <c r="H540" s="31"/>
      <c r="I540" s="32">
        <f t="shared" si="33"/>
        <v>0</v>
      </c>
      <c r="J540" s="33" t="str">
        <f t="shared" si="34"/>
        <v/>
      </c>
      <c r="K540" s="2"/>
      <c r="L540" s="15"/>
      <c r="M540" s="34">
        <f t="shared" si="35"/>
        <v>0</v>
      </c>
    </row>
    <row r="541" spans="1:13" x14ac:dyDescent="0.25">
      <c r="A541" s="31"/>
      <c r="B541" s="16" t="str">
        <f>IFERROR(VLOOKUP(A541,Consolidado!$B$1:$L$1500,2,FALSE),"")</f>
        <v/>
      </c>
      <c r="C541" s="16">
        <f>IFERROR(SUMIF(Consolidado!$B$1:$B$1500,VLOOKUP(RegistroPago!A541,Consolidado!$B$1:$L$1500,1,FALSE),Consolidado!$G$1:$G$1500),"")</f>
        <v>0</v>
      </c>
      <c r="D541" s="3"/>
      <c r="E541" s="3"/>
      <c r="F541" s="5" t="str">
        <f t="shared" si="32"/>
        <v/>
      </c>
      <c r="G541" s="16" t="str">
        <f>IF(D541&lt;&gt;"",D541-VLOOKUP(A541,Consolidado!$B$1:$L$1500,8,FALSE),"")</f>
        <v/>
      </c>
      <c r="H541" s="31"/>
      <c r="I541" s="32">
        <f t="shared" si="33"/>
        <v>0</v>
      </c>
      <c r="J541" s="33" t="str">
        <f t="shared" si="34"/>
        <v/>
      </c>
      <c r="K541" s="2"/>
      <c r="L541" s="15"/>
      <c r="M541" s="34">
        <f t="shared" si="35"/>
        <v>0</v>
      </c>
    </row>
    <row r="542" spans="1:13" x14ac:dyDescent="0.25">
      <c r="A542" s="31"/>
      <c r="B542" s="16" t="str">
        <f>IFERROR(VLOOKUP(A542,Consolidado!$B$1:$L$1500,2,FALSE),"")</f>
        <v/>
      </c>
      <c r="C542" s="16">
        <f>IFERROR(SUMIF(Consolidado!$B$1:$B$1500,VLOOKUP(RegistroPago!A542,Consolidado!$B$1:$L$1500,1,FALSE),Consolidado!$G$1:$G$1500),"")</f>
        <v>0</v>
      </c>
      <c r="D542" s="3"/>
      <c r="E542" s="3"/>
      <c r="F542" s="5" t="str">
        <f t="shared" si="32"/>
        <v/>
      </c>
      <c r="G542" s="16" t="str">
        <f>IF(D542&lt;&gt;"",D542-VLOOKUP(A542,Consolidado!$B$1:$L$1500,8,FALSE),"")</f>
        <v/>
      </c>
      <c r="H542" s="31"/>
      <c r="I542" s="32">
        <f t="shared" si="33"/>
        <v>0</v>
      </c>
      <c r="J542" s="33" t="str">
        <f t="shared" si="34"/>
        <v/>
      </c>
      <c r="K542" s="2"/>
      <c r="L542" s="15"/>
      <c r="M542" s="34">
        <f t="shared" si="35"/>
        <v>0</v>
      </c>
    </row>
    <row r="543" spans="1:13" x14ac:dyDescent="0.25">
      <c r="A543" s="31"/>
      <c r="B543" s="16" t="str">
        <f>IFERROR(VLOOKUP(A543,Consolidado!$B$1:$L$1500,2,FALSE),"")</f>
        <v/>
      </c>
      <c r="C543" s="16">
        <f>IFERROR(SUMIF(Consolidado!$B$1:$B$1500,VLOOKUP(RegistroPago!A543,Consolidado!$B$1:$L$1500,1,FALSE),Consolidado!$G$1:$G$1500),"")</f>
        <v>0</v>
      </c>
      <c r="D543" s="3"/>
      <c r="E543" s="3"/>
      <c r="F543" s="5" t="str">
        <f t="shared" si="32"/>
        <v/>
      </c>
      <c r="G543" s="16" t="str">
        <f>IF(D543&lt;&gt;"",D543-VLOOKUP(A543,Consolidado!$B$1:$L$1500,8,FALSE),"")</f>
        <v/>
      </c>
      <c r="H543" s="31"/>
      <c r="I543" s="32">
        <f t="shared" si="33"/>
        <v>0</v>
      </c>
      <c r="J543" s="33" t="str">
        <f t="shared" si="34"/>
        <v/>
      </c>
      <c r="K543" s="2"/>
      <c r="L543" s="15"/>
      <c r="M543" s="34">
        <f t="shared" si="35"/>
        <v>0</v>
      </c>
    </row>
    <row r="544" spans="1:13" x14ac:dyDescent="0.25">
      <c r="A544" s="31"/>
      <c r="B544" s="16" t="str">
        <f>IFERROR(VLOOKUP(A544,Consolidado!$B$1:$L$1500,2,FALSE),"")</f>
        <v/>
      </c>
      <c r="C544" s="16">
        <f>IFERROR(SUMIF(Consolidado!$B$1:$B$1500,VLOOKUP(RegistroPago!A544,Consolidado!$B$1:$L$1500,1,FALSE),Consolidado!$G$1:$G$1500),"")</f>
        <v>0</v>
      </c>
      <c r="D544" s="3"/>
      <c r="E544" s="3"/>
      <c r="F544" s="5" t="str">
        <f t="shared" si="32"/>
        <v/>
      </c>
      <c r="G544" s="16" t="str">
        <f>IF(D544&lt;&gt;"",D544-VLOOKUP(A544,Consolidado!$B$1:$L$1500,8,FALSE),"")</f>
        <v/>
      </c>
      <c r="H544" s="31"/>
      <c r="I544" s="32">
        <f t="shared" si="33"/>
        <v>0</v>
      </c>
      <c r="J544" s="33" t="str">
        <f t="shared" si="34"/>
        <v/>
      </c>
      <c r="K544" s="2"/>
      <c r="L544" s="15"/>
      <c r="M544" s="34">
        <f t="shared" si="35"/>
        <v>0</v>
      </c>
    </row>
    <row r="545" spans="1:13" x14ac:dyDescent="0.25">
      <c r="A545" s="31"/>
      <c r="B545" s="16" t="str">
        <f>IFERROR(VLOOKUP(A545,Consolidado!$B$1:$L$1500,2,FALSE),"")</f>
        <v/>
      </c>
      <c r="C545" s="16">
        <f>IFERROR(SUMIF(Consolidado!$B$1:$B$1500,VLOOKUP(RegistroPago!A545,Consolidado!$B$1:$L$1500,1,FALSE),Consolidado!$G$1:$G$1500),"")</f>
        <v>0</v>
      </c>
      <c r="D545" s="3"/>
      <c r="E545" s="3"/>
      <c r="F545" s="5" t="str">
        <f t="shared" si="32"/>
        <v/>
      </c>
      <c r="G545" s="16" t="str">
        <f>IF(D545&lt;&gt;"",D545-VLOOKUP(A545,Consolidado!$B$1:$L$1500,8,FALSE),"")</f>
        <v/>
      </c>
      <c r="H545" s="31"/>
      <c r="I545" s="32">
        <f t="shared" si="33"/>
        <v>0</v>
      </c>
      <c r="J545" s="33" t="str">
        <f t="shared" si="34"/>
        <v/>
      </c>
      <c r="K545" s="2"/>
      <c r="L545" s="15"/>
      <c r="M545" s="34">
        <f t="shared" si="35"/>
        <v>0</v>
      </c>
    </row>
    <row r="546" spans="1:13" x14ac:dyDescent="0.25">
      <c r="A546" s="31"/>
      <c r="B546" s="16" t="str">
        <f>IFERROR(VLOOKUP(A546,Consolidado!$B$1:$L$1500,2,FALSE),"")</f>
        <v/>
      </c>
      <c r="C546" s="16">
        <f>IFERROR(SUMIF(Consolidado!$B$1:$B$1500,VLOOKUP(RegistroPago!A546,Consolidado!$B$1:$L$1500,1,FALSE),Consolidado!$G$1:$G$1500),"")</f>
        <v>0</v>
      </c>
      <c r="D546" s="3"/>
      <c r="E546" s="3"/>
      <c r="F546" s="5" t="str">
        <f t="shared" si="32"/>
        <v/>
      </c>
      <c r="G546" s="16" t="str">
        <f>IF(D546&lt;&gt;"",D546-VLOOKUP(A546,Consolidado!$B$1:$L$1500,8,FALSE),"")</f>
        <v/>
      </c>
      <c r="H546" s="31"/>
      <c r="I546" s="32">
        <f t="shared" si="33"/>
        <v>0</v>
      </c>
      <c r="J546" s="33" t="str">
        <f t="shared" si="34"/>
        <v/>
      </c>
      <c r="K546" s="2"/>
      <c r="L546" s="15"/>
      <c r="M546" s="34">
        <f t="shared" si="35"/>
        <v>0</v>
      </c>
    </row>
    <row r="547" spans="1:13" x14ac:dyDescent="0.25">
      <c r="A547" s="31"/>
      <c r="B547" s="16" t="str">
        <f>IFERROR(VLOOKUP(A547,Consolidado!$B$1:$L$1500,2,FALSE),"")</f>
        <v/>
      </c>
      <c r="C547" s="16">
        <f>IFERROR(SUMIF(Consolidado!$B$1:$B$1500,VLOOKUP(RegistroPago!A547,Consolidado!$B$1:$L$1500,1,FALSE),Consolidado!$G$1:$G$1500),"")</f>
        <v>0</v>
      </c>
      <c r="D547" s="3"/>
      <c r="E547" s="3"/>
      <c r="F547" s="5" t="str">
        <f t="shared" si="32"/>
        <v/>
      </c>
      <c r="G547" s="16" t="str">
        <f>IF(D547&lt;&gt;"",D547-VLOOKUP(A547,Consolidado!$B$1:$L$1500,8,FALSE),"")</f>
        <v/>
      </c>
      <c r="H547" s="31"/>
      <c r="I547" s="32">
        <f t="shared" si="33"/>
        <v>0</v>
      </c>
      <c r="J547" s="33" t="str">
        <f t="shared" si="34"/>
        <v/>
      </c>
      <c r="K547" s="2"/>
      <c r="L547" s="15"/>
      <c r="M547" s="34">
        <f t="shared" si="35"/>
        <v>0</v>
      </c>
    </row>
    <row r="548" spans="1:13" x14ac:dyDescent="0.25">
      <c r="A548" s="31"/>
      <c r="B548" s="16" t="str">
        <f>IFERROR(VLOOKUP(A548,Consolidado!$B$1:$L$1500,2,FALSE),"")</f>
        <v/>
      </c>
      <c r="C548" s="16">
        <f>IFERROR(SUMIF(Consolidado!$B$1:$B$1500,VLOOKUP(RegistroPago!A548,Consolidado!$B$1:$L$1500,1,FALSE),Consolidado!$G$1:$G$1500),"")</f>
        <v>0</v>
      </c>
      <c r="D548" s="3"/>
      <c r="E548" s="3"/>
      <c r="F548" s="5" t="str">
        <f t="shared" si="32"/>
        <v/>
      </c>
      <c r="G548" s="16" t="str">
        <f>IF(D548&lt;&gt;"",D548-VLOOKUP(A548,Consolidado!$B$1:$L$1500,8,FALSE),"")</f>
        <v/>
      </c>
      <c r="H548" s="31"/>
      <c r="I548" s="32">
        <f t="shared" si="33"/>
        <v>0</v>
      </c>
      <c r="J548" s="33" t="str">
        <f t="shared" si="34"/>
        <v/>
      </c>
      <c r="K548" s="2"/>
      <c r="L548" s="15"/>
      <c r="M548" s="34">
        <f t="shared" si="35"/>
        <v>0</v>
      </c>
    </row>
    <row r="549" spans="1:13" x14ac:dyDescent="0.25">
      <c r="A549" s="31"/>
      <c r="B549" s="16" t="str">
        <f>IFERROR(VLOOKUP(A549,Consolidado!$B$1:$L$1500,2,FALSE),"")</f>
        <v/>
      </c>
      <c r="C549" s="16">
        <f>IFERROR(SUMIF(Consolidado!$B$1:$B$1500,VLOOKUP(RegistroPago!A549,Consolidado!$B$1:$L$1500,1,FALSE),Consolidado!$G$1:$G$1500),"")</f>
        <v>0</v>
      </c>
      <c r="D549" s="3"/>
      <c r="E549" s="3"/>
      <c r="F549" s="5" t="str">
        <f t="shared" si="32"/>
        <v/>
      </c>
      <c r="G549" s="16" t="str">
        <f>IF(D549&lt;&gt;"",D549-VLOOKUP(A549,Consolidado!$B$1:$L$1500,8,FALSE),"")</f>
        <v/>
      </c>
      <c r="H549" s="31"/>
      <c r="I549" s="32">
        <f t="shared" si="33"/>
        <v>0</v>
      </c>
      <c r="J549" s="33" t="str">
        <f t="shared" si="34"/>
        <v/>
      </c>
      <c r="K549" s="2"/>
      <c r="L549" s="15"/>
      <c r="M549" s="34">
        <f t="shared" si="35"/>
        <v>0</v>
      </c>
    </row>
    <row r="550" spans="1:13" x14ac:dyDescent="0.25">
      <c r="A550" s="31"/>
      <c r="B550" s="16" t="str">
        <f>IFERROR(VLOOKUP(A550,Consolidado!$B$1:$L$1500,2,FALSE),"")</f>
        <v/>
      </c>
      <c r="C550" s="16">
        <f>IFERROR(SUMIF(Consolidado!$B$1:$B$1500,VLOOKUP(RegistroPago!A550,Consolidado!$B$1:$L$1500,1,FALSE),Consolidado!$G$1:$G$1500),"")</f>
        <v>0</v>
      </c>
      <c r="D550" s="3"/>
      <c r="E550" s="3"/>
      <c r="F550" s="5" t="str">
        <f t="shared" si="32"/>
        <v/>
      </c>
      <c r="G550" s="16" t="str">
        <f>IF(D550&lt;&gt;"",D550-VLOOKUP(A550,Consolidado!$B$1:$L$1500,8,FALSE),"")</f>
        <v/>
      </c>
      <c r="H550" s="31"/>
      <c r="I550" s="32">
        <f t="shared" si="33"/>
        <v>0</v>
      </c>
      <c r="J550" s="33" t="str">
        <f t="shared" si="34"/>
        <v/>
      </c>
      <c r="K550" s="2"/>
      <c r="L550" s="15"/>
      <c r="M550" s="34">
        <f t="shared" si="35"/>
        <v>0</v>
      </c>
    </row>
    <row r="551" spans="1:13" x14ac:dyDescent="0.25">
      <c r="A551" s="31"/>
      <c r="B551" s="16" t="str">
        <f>IFERROR(VLOOKUP(A551,Consolidado!$B$1:$L$1500,2,FALSE),"")</f>
        <v/>
      </c>
      <c r="C551" s="16">
        <f>IFERROR(SUMIF(Consolidado!$B$1:$B$1500,VLOOKUP(RegistroPago!A551,Consolidado!$B$1:$L$1500,1,FALSE),Consolidado!$G$1:$G$1500),"")</f>
        <v>0</v>
      </c>
      <c r="D551" s="3"/>
      <c r="E551" s="3"/>
      <c r="F551" s="5" t="str">
        <f t="shared" si="32"/>
        <v/>
      </c>
      <c r="G551" s="16" t="str">
        <f>IF(D551&lt;&gt;"",D551-VLOOKUP(A551,Consolidado!$B$1:$L$1500,8,FALSE),"")</f>
        <v/>
      </c>
      <c r="H551" s="31"/>
      <c r="I551" s="32">
        <f t="shared" si="33"/>
        <v>0</v>
      </c>
      <c r="J551" s="33" t="str">
        <f t="shared" si="34"/>
        <v/>
      </c>
      <c r="K551" s="2"/>
      <c r="L551" s="15"/>
      <c r="M551" s="34">
        <f t="shared" si="35"/>
        <v>0</v>
      </c>
    </row>
    <row r="552" spans="1:13" x14ac:dyDescent="0.25">
      <c r="A552" s="31"/>
      <c r="B552" s="16" t="str">
        <f>IFERROR(VLOOKUP(A552,Consolidado!$B$1:$L$1500,2,FALSE),"")</f>
        <v/>
      </c>
      <c r="C552" s="16">
        <f>IFERROR(SUMIF(Consolidado!$B$1:$B$1500,VLOOKUP(RegistroPago!A552,Consolidado!$B$1:$L$1500,1,FALSE),Consolidado!$G$1:$G$1500),"")</f>
        <v>0</v>
      </c>
      <c r="D552" s="3"/>
      <c r="E552" s="3"/>
      <c r="F552" s="5" t="str">
        <f t="shared" si="32"/>
        <v/>
      </c>
      <c r="G552" s="16" t="str">
        <f>IF(D552&lt;&gt;"",D552-VLOOKUP(A552,Consolidado!$B$1:$L$1500,8,FALSE),"")</f>
        <v/>
      </c>
      <c r="H552" s="31"/>
      <c r="I552" s="32">
        <f t="shared" si="33"/>
        <v>0</v>
      </c>
      <c r="J552" s="33" t="str">
        <f t="shared" si="34"/>
        <v/>
      </c>
      <c r="K552" s="2"/>
      <c r="L552" s="15"/>
      <c r="M552" s="34">
        <f t="shared" si="35"/>
        <v>0</v>
      </c>
    </row>
    <row r="553" spans="1:13" x14ac:dyDescent="0.25">
      <c r="A553" s="31"/>
      <c r="B553" s="16" t="str">
        <f>IFERROR(VLOOKUP(A553,Consolidado!$B$1:$L$1500,2,FALSE),"")</f>
        <v/>
      </c>
      <c r="C553" s="16">
        <f>IFERROR(SUMIF(Consolidado!$B$1:$B$1500,VLOOKUP(RegistroPago!A553,Consolidado!$B$1:$L$1500,1,FALSE),Consolidado!$G$1:$G$1500),"")</f>
        <v>0</v>
      </c>
      <c r="D553" s="3"/>
      <c r="E553" s="3"/>
      <c r="F553" s="5" t="str">
        <f t="shared" si="32"/>
        <v/>
      </c>
      <c r="G553" s="16" t="str">
        <f>IF(D553&lt;&gt;"",D553-VLOOKUP(A553,Consolidado!$B$1:$L$1500,8,FALSE),"")</f>
        <v/>
      </c>
      <c r="H553" s="31"/>
      <c r="I553" s="32">
        <f t="shared" si="33"/>
        <v>0</v>
      </c>
      <c r="J553" s="33" t="str">
        <f t="shared" si="34"/>
        <v/>
      </c>
      <c r="K553" s="2"/>
      <c r="L553" s="15"/>
      <c r="M553" s="34">
        <f t="shared" si="35"/>
        <v>0</v>
      </c>
    </row>
    <row r="554" spans="1:13" x14ac:dyDescent="0.25">
      <c r="A554" s="31"/>
      <c r="B554" s="16" t="str">
        <f>IFERROR(VLOOKUP(A554,Consolidado!$B$1:$L$1500,2,FALSE),"")</f>
        <v/>
      </c>
      <c r="C554" s="16">
        <f>IFERROR(SUMIF(Consolidado!$B$1:$B$1500,VLOOKUP(RegistroPago!A554,Consolidado!$B$1:$L$1500,1,FALSE),Consolidado!$G$1:$G$1500),"")</f>
        <v>0</v>
      </c>
      <c r="D554" s="3"/>
      <c r="E554" s="3"/>
      <c r="F554" s="5" t="str">
        <f t="shared" si="32"/>
        <v/>
      </c>
      <c r="G554" s="16" t="str">
        <f>IF(D554&lt;&gt;"",D554-VLOOKUP(A554,Consolidado!$B$1:$L$1500,8,FALSE),"")</f>
        <v/>
      </c>
      <c r="H554" s="31"/>
      <c r="I554" s="32">
        <f t="shared" si="33"/>
        <v>0</v>
      </c>
      <c r="J554" s="33" t="str">
        <f t="shared" si="34"/>
        <v/>
      </c>
      <c r="K554" s="2"/>
      <c r="L554" s="15"/>
      <c r="M554" s="34">
        <f t="shared" si="35"/>
        <v>0</v>
      </c>
    </row>
    <row r="555" spans="1:13" x14ac:dyDescent="0.25">
      <c r="A555" s="31"/>
      <c r="B555" s="16" t="str">
        <f>IFERROR(VLOOKUP(A555,Consolidado!$B$1:$L$1500,2,FALSE),"")</f>
        <v/>
      </c>
      <c r="C555" s="16">
        <f>IFERROR(SUMIF(Consolidado!$B$1:$B$1500,VLOOKUP(RegistroPago!A555,Consolidado!$B$1:$L$1500,1,FALSE),Consolidado!$G$1:$G$1500),"")</f>
        <v>0</v>
      </c>
      <c r="D555" s="3"/>
      <c r="E555" s="3"/>
      <c r="F555" s="5" t="str">
        <f t="shared" si="32"/>
        <v/>
      </c>
      <c r="G555" s="16" t="str">
        <f>IF(D555&lt;&gt;"",D555-VLOOKUP(A555,Consolidado!$B$1:$L$1500,8,FALSE),"")</f>
        <v/>
      </c>
      <c r="H555" s="31"/>
      <c r="I555" s="32">
        <f t="shared" si="33"/>
        <v>0</v>
      </c>
      <c r="J555" s="33" t="str">
        <f t="shared" si="34"/>
        <v/>
      </c>
      <c r="K555" s="2"/>
      <c r="L555" s="15"/>
      <c r="M555" s="34">
        <f t="shared" si="35"/>
        <v>0</v>
      </c>
    </row>
    <row r="556" spans="1:13" x14ac:dyDescent="0.25">
      <c r="A556" s="31"/>
      <c r="B556" s="16" t="str">
        <f>IFERROR(VLOOKUP(A556,Consolidado!$B$1:$L$1500,2,FALSE),"")</f>
        <v/>
      </c>
      <c r="C556" s="16">
        <f>IFERROR(SUMIF(Consolidado!$B$1:$B$1500,VLOOKUP(RegistroPago!A556,Consolidado!$B$1:$L$1500,1,FALSE),Consolidado!$G$1:$G$1500),"")</f>
        <v>0</v>
      </c>
      <c r="D556" s="3"/>
      <c r="E556" s="3"/>
      <c r="F556" s="5" t="str">
        <f t="shared" si="32"/>
        <v/>
      </c>
      <c r="G556" s="16" t="str">
        <f>IF(D556&lt;&gt;"",D556-VLOOKUP(A556,Consolidado!$B$1:$L$1500,8,FALSE),"")</f>
        <v/>
      </c>
      <c r="H556" s="31"/>
      <c r="I556" s="32">
        <f t="shared" si="33"/>
        <v>0</v>
      </c>
      <c r="J556" s="33" t="str">
        <f t="shared" si="34"/>
        <v/>
      </c>
      <c r="K556" s="2"/>
      <c r="L556" s="15"/>
      <c r="M556" s="34">
        <f t="shared" si="35"/>
        <v>0</v>
      </c>
    </row>
    <row r="557" spans="1:13" x14ac:dyDescent="0.25">
      <c r="A557" s="31"/>
      <c r="B557" s="16" t="str">
        <f>IFERROR(VLOOKUP(A557,Consolidado!$B$1:$L$1500,2,FALSE),"")</f>
        <v/>
      </c>
      <c r="C557" s="16">
        <f>IFERROR(SUMIF(Consolidado!$B$1:$B$1500,VLOOKUP(RegistroPago!A557,Consolidado!$B$1:$L$1500,1,FALSE),Consolidado!$G$1:$G$1500),"")</f>
        <v>0</v>
      </c>
      <c r="D557" s="3"/>
      <c r="E557" s="3"/>
      <c r="F557" s="5" t="str">
        <f t="shared" si="32"/>
        <v/>
      </c>
      <c r="G557" s="16" t="str">
        <f>IF(D557&lt;&gt;"",D557-VLOOKUP(A557,Consolidado!$B$1:$L$1500,8,FALSE),"")</f>
        <v/>
      </c>
      <c r="H557" s="31"/>
      <c r="I557" s="32">
        <f t="shared" si="33"/>
        <v>0</v>
      </c>
      <c r="J557" s="33" t="str">
        <f t="shared" si="34"/>
        <v/>
      </c>
      <c r="K557" s="2"/>
      <c r="L557" s="15"/>
      <c r="M557" s="34">
        <f t="shared" si="35"/>
        <v>0</v>
      </c>
    </row>
    <row r="558" spans="1:13" x14ac:dyDescent="0.25">
      <c r="A558" s="31"/>
      <c r="B558" s="16" t="str">
        <f>IFERROR(VLOOKUP(A558,Consolidado!$B$1:$L$1500,2,FALSE),"")</f>
        <v/>
      </c>
      <c r="C558" s="16">
        <f>IFERROR(SUMIF(Consolidado!$B$1:$B$1500,VLOOKUP(RegistroPago!A558,Consolidado!$B$1:$L$1500,1,FALSE),Consolidado!$G$1:$G$1500),"")</f>
        <v>0</v>
      </c>
      <c r="D558" s="3"/>
      <c r="E558" s="3"/>
      <c r="F558" s="5" t="str">
        <f t="shared" si="32"/>
        <v/>
      </c>
      <c r="G558" s="16" t="str">
        <f>IF(D558&lt;&gt;"",D558-VLOOKUP(A558,Consolidado!$B$1:$L$1500,8,FALSE),"")</f>
        <v/>
      </c>
      <c r="H558" s="31"/>
      <c r="I558" s="32">
        <f t="shared" si="33"/>
        <v>0</v>
      </c>
      <c r="J558" s="33" t="str">
        <f t="shared" si="34"/>
        <v/>
      </c>
      <c r="K558" s="2"/>
      <c r="L558" s="15"/>
      <c r="M558" s="34">
        <f t="shared" si="35"/>
        <v>0</v>
      </c>
    </row>
    <row r="559" spans="1:13" x14ac:dyDescent="0.25">
      <c r="A559" s="31"/>
      <c r="B559" s="16" t="str">
        <f>IFERROR(VLOOKUP(A559,Consolidado!$B$1:$L$1500,2,FALSE),"")</f>
        <v/>
      </c>
      <c r="C559" s="16">
        <f>IFERROR(SUMIF(Consolidado!$B$1:$B$1500,VLOOKUP(RegistroPago!A559,Consolidado!$B$1:$L$1500,1,FALSE),Consolidado!$G$1:$G$1500),"")</f>
        <v>0</v>
      </c>
      <c r="D559" s="3"/>
      <c r="E559" s="3"/>
      <c r="F559" s="5" t="str">
        <f t="shared" si="32"/>
        <v/>
      </c>
      <c r="G559" s="16" t="str">
        <f>IF(D559&lt;&gt;"",D559-VLOOKUP(A559,Consolidado!$B$1:$L$1500,8,FALSE),"")</f>
        <v/>
      </c>
      <c r="H559" s="31"/>
      <c r="I559" s="32">
        <f t="shared" si="33"/>
        <v>0</v>
      </c>
      <c r="J559" s="33" t="str">
        <f t="shared" si="34"/>
        <v/>
      </c>
      <c r="K559" s="2"/>
      <c r="L559" s="15"/>
      <c r="M559" s="34">
        <f t="shared" si="35"/>
        <v>0</v>
      </c>
    </row>
    <row r="560" spans="1:13" x14ac:dyDescent="0.25">
      <c r="A560" s="31"/>
      <c r="B560" s="16" t="str">
        <f>IFERROR(VLOOKUP(A560,Consolidado!$B$1:$L$1500,2,FALSE),"")</f>
        <v/>
      </c>
      <c r="C560" s="16">
        <f>IFERROR(SUMIF(Consolidado!$B$1:$B$1500,VLOOKUP(RegistroPago!A560,Consolidado!$B$1:$L$1500,1,FALSE),Consolidado!$G$1:$G$1500),"")</f>
        <v>0</v>
      </c>
      <c r="D560" s="3"/>
      <c r="E560" s="3"/>
      <c r="F560" s="5" t="str">
        <f t="shared" si="32"/>
        <v/>
      </c>
      <c r="G560" s="16" t="str">
        <f>IF(D560&lt;&gt;"",D560-VLOOKUP(A560,Consolidado!$B$1:$L$1500,8,FALSE),"")</f>
        <v/>
      </c>
      <c r="H560" s="31"/>
      <c r="I560" s="32">
        <f t="shared" si="33"/>
        <v>0</v>
      </c>
      <c r="J560" s="33" t="str">
        <f t="shared" si="34"/>
        <v/>
      </c>
      <c r="K560" s="2"/>
      <c r="L560" s="15"/>
      <c r="M560" s="34">
        <f t="shared" si="35"/>
        <v>0</v>
      </c>
    </row>
    <row r="561" spans="1:13" x14ac:dyDescent="0.25">
      <c r="A561" s="31"/>
      <c r="B561" s="16" t="str">
        <f>IFERROR(VLOOKUP(A561,Consolidado!$B$1:$L$1500,2,FALSE),"")</f>
        <v/>
      </c>
      <c r="C561" s="16">
        <f>IFERROR(SUMIF(Consolidado!$B$1:$B$1500,VLOOKUP(RegistroPago!A561,Consolidado!$B$1:$L$1500,1,FALSE),Consolidado!$G$1:$G$1500),"")</f>
        <v>0</v>
      </c>
      <c r="D561" s="3"/>
      <c r="E561" s="3"/>
      <c r="F561" s="5" t="str">
        <f t="shared" si="32"/>
        <v/>
      </c>
      <c r="G561" s="16" t="str">
        <f>IF(D561&lt;&gt;"",D561-VLOOKUP(A561,Consolidado!$B$1:$L$1500,8,FALSE),"")</f>
        <v/>
      </c>
      <c r="H561" s="31"/>
      <c r="I561" s="32">
        <f t="shared" si="33"/>
        <v>0</v>
      </c>
      <c r="J561" s="33" t="str">
        <f t="shared" si="34"/>
        <v/>
      </c>
      <c r="K561" s="2"/>
      <c r="L561" s="15"/>
      <c r="M561" s="34">
        <f t="shared" si="35"/>
        <v>0</v>
      </c>
    </row>
    <row r="562" spans="1:13" x14ac:dyDescent="0.25">
      <c r="A562" s="31"/>
      <c r="B562" s="16" t="str">
        <f>IFERROR(VLOOKUP(A562,Consolidado!$B$1:$L$1500,2,FALSE),"")</f>
        <v/>
      </c>
      <c r="C562" s="16">
        <f>IFERROR(SUMIF(Consolidado!$B$1:$B$1500,VLOOKUP(RegistroPago!A562,Consolidado!$B$1:$L$1500,1,FALSE),Consolidado!$G$1:$G$1500),"")</f>
        <v>0</v>
      </c>
      <c r="D562" s="3"/>
      <c r="E562" s="3"/>
      <c r="F562" s="5" t="str">
        <f t="shared" si="32"/>
        <v/>
      </c>
      <c r="G562" s="16" t="str">
        <f>IF(D562&lt;&gt;"",D562-VLOOKUP(A562,Consolidado!$B$1:$L$1500,8,FALSE),"")</f>
        <v/>
      </c>
      <c r="H562" s="31"/>
      <c r="I562" s="32">
        <f t="shared" si="33"/>
        <v>0</v>
      </c>
      <c r="J562" s="33" t="str">
        <f t="shared" si="34"/>
        <v/>
      </c>
      <c r="K562" s="2"/>
      <c r="L562" s="15"/>
      <c r="M562" s="34">
        <f t="shared" si="35"/>
        <v>0</v>
      </c>
    </row>
    <row r="563" spans="1:13" x14ac:dyDescent="0.25">
      <c r="A563" s="31"/>
      <c r="B563" s="16" t="str">
        <f>IFERROR(VLOOKUP(A563,Consolidado!$B$1:$L$1500,2,FALSE),"")</f>
        <v/>
      </c>
      <c r="C563" s="16">
        <f>IFERROR(SUMIF(Consolidado!$B$1:$B$1500,VLOOKUP(RegistroPago!A563,Consolidado!$B$1:$L$1500,1,FALSE),Consolidado!$G$1:$G$1500),"")</f>
        <v>0</v>
      </c>
      <c r="D563" s="3"/>
      <c r="E563" s="3"/>
      <c r="F563" s="5" t="str">
        <f t="shared" si="32"/>
        <v/>
      </c>
      <c r="G563" s="16" t="str">
        <f>IF(D563&lt;&gt;"",D563-VLOOKUP(A563,Consolidado!$B$1:$L$1500,8,FALSE),"")</f>
        <v/>
      </c>
      <c r="H563" s="31"/>
      <c r="I563" s="32">
        <f t="shared" si="33"/>
        <v>0</v>
      </c>
      <c r="J563" s="33" t="str">
        <f t="shared" si="34"/>
        <v/>
      </c>
      <c r="K563" s="2"/>
      <c r="L563" s="15"/>
      <c r="M563" s="34">
        <f t="shared" si="35"/>
        <v>0</v>
      </c>
    </row>
    <row r="564" spans="1:13" x14ac:dyDescent="0.25">
      <c r="A564" s="31"/>
      <c r="B564" s="16" t="str">
        <f>IFERROR(VLOOKUP(A564,Consolidado!$B$1:$L$1500,2,FALSE),"")</f>
        <v/>
      </c>
      <c r="C564" s="16">
        <f>IFERROR(SUMIF(Consolidado!$B$1:$B$1500,VLOOKUP(RegistroPago!A564,Consolidado!$B$1:$L$1500,1,FALSE),Consolidado!$G$1:$G$1500),"")</f>
        <v>0</v>
      </c>
      <c r="D564" s="3"/>
      <c r="E564" s="3"/>
      <c r="F564" s="5" t="str">
        <f t="shared" si="32"/>
        <v/>
      </c>
      <c r="G564" s="16" t="str">
        <f>IF(D564&lt;&gt;"",D564-VLOOKUP(A564,Consolidado!$B$1:$L$1500,8,FALSE),"")</f>
        <v/>
      </c>
      <c r="H564" s="31"/>
      <c r="I564" s="32">
        <f t="shared" si="33"/>
        <v>0</v>
      </c>
      <c r="J564" s="33" t="str">
        <f t="shared" si="34"/>
        <v/>
      </c>
      <c r="K564" s="2"/>
      <c r="L564" s="15"/>
      <c r="M564" s="34">
        <f t="shared" si="35"/>
        <v>0</v>
      </c>
    </row>
    <row r="565" spans="1:13" x14ac:dyDescent="0.25">
      <c r="A565" s="31"/>
      <c r="B565" s="16" t="str">
        <f>IFERROR(VLOOKUP(A565,Consolidado!$B$1:$L$1500,2,FALSE),"")</f>
        <v/>
      </c>
      <c r="C565" s="16">
        <f>IFERROR(SUMIF(Consolidado!$B$1:$B$1500,VLOOKUP(RegistroPago!A565,Consolidado!$B$1:$L$1500,1,FALSE),Consolidado!$G$1:$G$1500),"")</f>
        <v>0</v>
      </c>
      <c r="D565" s="3"/>
      <c r="E565" s="3"/>
      <c r="F565" s="5" t="str">
        <f t="shared" si="32"/>
        <v/>
      </c>
      <c r="G565" s="16" t="str">
        <f>IF(D565&lt;&gt;"",D565-VLOOKUP(A565,Consolidado!$B$1:$L$1500,8,FALSE),"")</f>
        <v/>
      </c>
      <c r="H565" s="31"/>
      <c r="I565" s="32">
        <f t="shared" si="33"/>
        <v>0</v>
      </c>
      <c r="J565" s="33" t="str">
        <f t="shared" si="34"/>
        <v/>
      </c>
      <c r="K565" s="2"/>
      <c r="L565" s="15"/>
      <c r="M565" s="34">
        <f t="shared" si="35"/>
        <v>0</v>
      </c>
    </row>
    <row r="566" spans="1:13" x14ac:dyDescent="0.25">
      <c r="A566" s="31"/>
      <c r="B566" s="16" t="str">
        <f>IFERROR(VLOOKUP(A566,Consolidado!$B$1:$L$1500,2,FALSE),"")</f>
        <v/>
      </c>
      <c r="C566" s="16">
        <f>IFERROR(SUMIF(Consolidado!$B$1:$B$1500,VLOOKUP(RegistroPago!A566,Consolidado!$B$1:$L$1500,1,FALSE),Consolidado!$G$1:$G$1500),"")</f>
        <v>0</v>
      </c>
      <c r="D566" s="3"/>
      <c r="E566" s="3"/>
      <c r="F566" s="5" t="str">
        <f t="shared" si="32"/>
        <v/>
      </c>
      <c r="G566" s="16" t="str">
        <f>IF(D566&lt;&gt;"",D566-VLOOKUP(A566,Consolidado!$B$1:$L$1500,8,FALSE),"")</f>
        <v/>
      </c>
      <c r="H566" s="31"/>
      <c r="I566" s="32">
        <f t="shared" si="33"/>
        <v>0</v>
      </c>
      <c r="J566" s="33" t="str">
        <f t="shared" si="34"/>
        <v/>
      </c>
      <c r="K566" s="2"/>
      <c r="L566" s="15"/>
      <c r="M566" s="34">
        <f t="shared" si="35"/>
        <v>0</v>
      </c>
    </row>
    <row r="567" spans="1:13" x14ac:dyDescent="0.25">
      <c r="A567" s="31"/>
      <c r="B567" s="16" t="str">
        <f>IFERROR(VLOOKUP(A567,Consolidado!$B$1:$L$1500,2,FALSE),"")</f>
        <v/>
      </c>
      <c r="C567" s="16">
        <f>IFERROR(SUMIF(Consolidado!$B$1:$B$1500,VLOOKUP(RegistroPago!A567,Consolidado!$B$1:$L$1500,1,FALSE),Consolidado!$G$1:$G$1500),"")</f>
        <v>0</v>
      </c>
      <c r="D567" s="3"/>
      <c r="E567" s="3"/>
      <c r="F567" s="5" t="str">
        <f t="shared" si="32"/>
        <v/>
      </c>
      <c r="G567" s="16" t="str">
        <f>IF(D567&lt;&gt;"",D567-VLOOKUP(A567,Consolidado!$B$1:$L$1500,8,FALSE),"")</f>
        <v/>
      </c>
      <c r="H567" s="31"/>
      <c r="I567" s="32">
        <f t="shared" si="33"/>
        <v>0</v>
      </c>
      <c r="J567" s="33" t="str">
        <f t="shared" si="34"/>
        <v/>
      </c>
      <c r="K567" s="2"/>
      <c r="L567" s="15"/>
      <c r="M567" s="34">
        <f t="shared" si="35"/>
        <v>0</v>
      </c>
    </row>
    <row r="568" spans="1:13" x14ac:dyDescent="0.25">
      <c r="A568" s="31"/>
      <c r="B568" s="16" t="str">
        <f>IFERROR(VLOOKUP(A568,Consolidado!$B$1:$L$1500,2,FALSE),"")</f>
        <v/>
      </c>
      <c r="C568" s="16">
        <f>IFERROR(SUMIF(Consolidado!$B$1:$B$1500,VLOOKUP(RegistroPago!A568,Consolidado!$B$1:$L$1500,1,FALSE),Consolidado!$G$1:$G$1500),"")</f>
        <v>0</v>
      </c>
      <c r="D568" s="3"/>
      <c r="E568" s="3"/>
      <c r="F568" s="5" t="str">
        <f t="shared" si="32"/>
        <v/>
      </c>
      <c r="G568" s="16" t="str">
        <f>IF(D568&lt;&gt;"",D568-VLOOKUP(A568,Consolidado!$B$1:$L$1500,8,FALSE),"")</f>
        <v/>
      </c>
      <c r="H568" s="31"/>
      <c r="I568" s="32">
        <f t="shared" si="33"/>
        <v>0</v>
      </c>
      <c r="J568" s="33" t="str">
        <f t="shared" si="34"/>
        <v/>
      </c>
      <c r="K568" s="2"/>
      <c r="L568" s="15"/>
      <c r="M568" s="34">
        <f t="shared" si="35"/>
        <v>0</v>
      </c>
    </row>
    <row r="569" spans="1:13" x14ac:dyDescent="0.25">
      <c r="A569" s="31"/>
      <c r="B569" s="16" t="str">
        <f>IFERROR(VLOOKUP(A569,Consolidado!$B$1:$L$1500,2,FALSE),"")</f>
        <v/>
      </c>
      <c r="C569" s="16">
        <f>IFERROR(SUMIF(Consolidado!$B$1:$B$1500,VLOOKUP(RegistroPago!A569,Consolidado!$B$1:$L$1500,1,FALSE),Consolidado!$G$1:$G$1500),"")</f>
        <v>0</v>
      </c>
      <c r="D569" s="3"/>
      <c r="E569" s="3"/>
      <c r="F569" s="5" t="str">
        <f t="shared" si="32"/>
        <v/>
      </c>
      <c r="G569" s="16" t="str">
        <f>IF(D569&lt;&gt;"",D569-VLOOKUP(A569,Consolidado!$B$1:$L$1500,8,FALSE),"")</f>
        <v/>
      </c>
      <c r="H569" s="31"/>
      <c r="I569" s="32">
        <f t="shared" si="33"/>
        <v>0</v>
      </c>
      <c r="J569" s="33" t="str">
        <f t="shared" si="34"/>
        <v/>
      </c>
      <c r="K569" s="2"/>
      <c r="L569" s="15"/>
      <c r="M569" s="34">
        <f t="shared" si="35"/>
        <v>0</v>
      </c>
    </row>
    <row r="570" spans="1:13" x14ac:dyDescent="0.25">
      <c r="A570" s="31"/>
      <c r="B570" s="16" t="str">
        <f>IFERROR(VLOOKUP(A570,Consolidado!$B$1:$L$1500,2,FALSE),"")</f>
        <v/>
      </c>
      <c r="C570" s="16">
        <f>IFERROR(SUMIF(Consolidado!$B$1:$B$1500,VLOOKUP(RegistroPago!A570,Consolidado!$B$1:$L$1500,1,FALSE),Consolidado!$G$1:$G$1500),"")</f>
        <v>0</v>
      </c>
      <c r="D570" s="3"/>
      <c r="E570" s="3"/>
      <c r="F570" s="5" t="str">
        <f t="shared" si="32"/>
        <v/>
      </c>
      <c r="G570" s="16" t="str">
        <f>IF(D570&lt;&gt;"",D570-VLOOKUP(A570,Consolidado!$B$1:$L$1500,8,FALSE),"")</f>
        <v/>
      </c>
      <c r="H570" s="31"/>
      <c r="I570" s="32">
        <f t="shared" si="33"/>
        <v>0</v>
      </c>
      <c r="J570" s="33" t="str">
        <f t="shared" si="34"/>
        <v/>
      </c>
      <c r="K570" s="2"/>
      <c r="L570" s="15"/>
      <c r="M570" s="34">
        <f t="shared" si="35"/>
        <v>0</v>
      </c>
    </row>
    <row r="571" spans="1:13" x14ac:dyDescent="0.25">
      <c r="A571" s="31"/>
      <c r="B571" s="16" t="str">
        <f>IFERROR(VLOOKUP(A571,Consolidado!$B$1:$L$1500,2,FALSE),"")</f>
        <v/>
      </c>
      <c r="C571" s="16">
        <f>IFERROR(SUMIF(Consolidado!$B$1:$B$1500,VLOOKUP(RegistroPago!A571,Consolidado!$B$1:$L$1500,1,FALSE),Consolidado!$G$1:$G$1500),"")</f>
        <v>0</v>
      </c>
      <c r="D571" s="3"/>
      <c r="E571" s="3"/>
      <c r="F571" s="5" t="str">
        <f t="shared" si="32"/>
        <v/>
      </c>
      <c r="G571" s="16" t="str">
        <f>IF(D571&lt;&gt;"",D571-VLOOKUP(A571,Consolidado!$B$1:$L$1500,8,FALSE),"")</f>
        <v/>
      </c>
      <c r="H571" s="31"/>
      <c r="I571" s="32">
        <f t="shared" si="33"/>
        <v>0</v>
      </c>
      <c r="J571" s="33" t="str">
        <f t="shared" si="34"/>
        <v/>
      </c>
      <c r="K571" s="2"/>
      <c r="L571" s="15"/>
      <c r="M571" s="34">
        <f t="shared" si="35"/>
        <v>0</v>
      </c>
    </row>
    <row r="572" spans="1:13" x14ac:dyDescent="0.25">
      <c r="A572" s="31"/>
      <c r="B572" s="16" t="str">
        <f>IFERROR(VLOOKUP(A572,Consolidado!$B$1:$L$1500,2,FALSE),"")</f>
        <v/>
      </c>
      <c r="C572" s="16">
        <f>IFERROR(SUMIF(Consolidado!$B$1:$B$1500,VLOOKUP(RegistroPago!A572,Consolidado!$B$1:$L$1500,1,FALSE),Consolidado!$G$1:$G$1500),"")</f>
        <v>0</v>
      </c>
      <c r="D572" s="3"/>
      <c r="E572" s="3"/>
      <c r="F572" s="5" t="str">
        <f t="shared" si="32"/>
        <v/>
      </c>
      <c r="G572" s="16" t="str">
        <f>IF(D572&lt;&gt;"",D572-VLOOKUP(A572,Consolidado!$B$1:$L$1500,8,FALSE),"")</f>
        <v/>
      </c>
      <c r="H572" s="31"/>
      <c r="I572" s="32">
        <f t="shared" si="33"/>
        <v>0</v>
      </c>
      <c r="J572" s="33" t="str">
        <f t="shared" si="34"/>
        <v/>
      </c>
      <c r="K572" s="2"/>
      <c r="L572" s="15"/>
      <c r="M572" s="34">
        <f t="shared" si="35"/>
        <v>0</v>
      </c>
    </row>
    <row r="573" spans="1:13" x14ac:dyDescent="0.25">
      <c r="A573" s="31"/>
      <c r="B573" s="16" t="str">
        <f>IFERROR(VLOOKUP(A573,Consolidado!$B$1:$L$1500,2,FALSE),"")</f>
        <v/>
      </c>
      <c r="C573" s="16">
        <f>IFERROR(SUMIF(Consolidado!$B$1:$B$1500,VLOOKUP(RegistroPago!A573,Consolidado!$B$1:$L$1500,1,FALSE),Consolidado!$G$1:$G$1500),"")</f>
        <v>0</v>
      </c>
      <c r="D573" s="3"/>
      <c r="E573" s="3"/>
      <c r="F573" s="5" t="str">
        <f t="shared" si="32"/>
        <v/>
      </c>
      <c r="G573" s="16" t="str">
        <f>IF(D573&lt;&gt;"",D573-VLOOKUP(A573,Consolidado!$B$1:$L$1500,8,FALSE),"")</f>
        <v/>
      </c>
      <c r="H573" s="31"/>
      <c r="I573" s="32">
        <f t="shared" si="33"/>
        <v>0</v>
      </c>
      <c r="J573" s="33" t="str">
        <f t="shared" si="34"/>
        <v/>
      </c>
      <c r="K573" s="2"/>
      <c r="L573" s="15"/>
      <c r="M573" s="34">
        <f t="shared" si="35"/>
        <v>0</v>
      </c>
    </row>
    <row r="574" spans="1:13" x14ac:dyDescent="0.25">
      <c r="A574" s="31"/>
      <c r="B574" s="16" t="str">
        <f>IFERROR(VLOOKUP(A574,Consolidado!$B$1:$L$1500,2,FALSE),"")</f>
        <v/>
      </c>
      <c r="C574" s="16">
        <f>IFERROR(SUMIF(Consolidado!$B$1:$B$1500,VLOOKUP(RegistroPago!A574,Consolidado!$B$1:$L$1500,1,FALSE),Consolidado!$G$1:$G$1500),"")</f>
        <v>0</v>
      </c>
      <c r="D574" s="3"/>
      <c r="E574" s="3"/>
      <c r="F574" s="5" t="str">
        <f t="shared" si="32"/>
        <v/>
      </c>
      <c r="G574" s="16" t="str">
        <f>IF(D574&lt;&gt;"",D574-VLOOKUP(A574,Consolidado!$B$1:$L$1500,8,FALSE),"")</f>
        <v/>
      </c>
      <c r="H574" s="31"/>
      <c r="I574" s="32">
        <f t="shared" si="33"/>
        <v>0</v>
      </c>
      <c r="J574" s="33" t="str">
        <f t="shared" si="34"/>
        <v/>
      </c>
      <c r="K574" s="2"/>
      <c r="L574" s="15"/>
      <c r="M574" s="34">
        <f t="shared" si="35"/>
        <v>0</v>
      </c>
    </row>
    <row r="575" spans="1:13" x14ac:dyDescent="0.25">
      <c r="A575" s="31"/>
      <c r="B575" s="16" t="str">
        <f>IFERROR(VLOOKUP(A575,Consolidado!$B$1:$L$1500,2,FALSE),"")</f>
        <v/>
      </c>
      <c r="C575" s="16">
        <f>IFERROR(SUMIF(Consolidado!$B$1:$B$1500,VLOOKUP(RegistroPago!A575,Consolidado!$B$1:$L$1500,1,FALSE),Consolidado!$G$1:$G$1500),"")</f>
        <v>0</v>
      </c>
      <c r="D575" s="3"/>
      <c r="E575" s="3"/>
      <c r="F575" s="5" t="str">
        <f t="shared" si="32"/>
        <v/>
      </c>
      <c r="G575" s="16" t="str">
        <f>IF(D575&lt;&gt;"",D575-VLOOKUP(A575,Consolidado!$B$1:$L$1500,8,FALSE),"")</f>
        <v/>
      </c>
      <c r="H575" s="31"/>
      <c r="I575" s="32">
        <f t="shared" si="33"/>
        <v>0</v>
      </c>
      <c r="J575" s="33" t="str">
        <f t="shared" si="34"/>
        <v/>
      </c>
      <c r="K575" s="2"/>
      <c r="L575" s="15"/>
      <c r="M575" s="34">
        <f t="shared" si="35"/>
        <v>0</v>
      </c>
    </row>
    <row r="576" spans="1:13" x14ac:dyDescent="0.25">
      <c r="A576" s="31"/>
      <c r="B576" s="16" t="str">
        <f>IFERROR(VLOOKUP(A576,Consolidado!$B$1:$L$1500,2,FALSE),"")</f>
        <v/>
      </c>
      <c r="C576" s="16">
        <f>IFERROR(SUMIF(Consolidado!$B$1:$B$1500,VLOOKUP(RegistroPago!A576,Consolidado!$B$1:$L$1500,1,FALSE),Consolidado!$G$1:$G$1500),"")</f>
        <v>0</v>
      </c>
      <c r="D576" s="3"/>
      <c r="E576" s="3"/>
      <c r="F576" s="5" t="str">
        <f t="shared" si="32"/>
        <v/>
      </c>
      <c r="G576" s="16" t="str">
        <f>IF(D576&lt;&gt;"",D576-VLOOKUP(A576,Consolidado!$B$1:$L$1500,8,FALSE),"")</f>
        <v/>
      </c>
      <c r="H576" s="31"/>
      <c r="I576" s="32">
        <f t="shared" si="33"/>
        <v>0</v>
      </c>
      <c r="J576" s="33" t="str">
        <f t="shared" si="34"/>
        <v/>
      </c>
      <c r="K576" s="2"/>
      <c r="L576" s="15"/>
      <c r="M576" s="34">
        <f t="shared" si="35"/>
        <v>0</v>
      </c>
    </row>
    <row r="577" spans="1:13" x14ac:dyDescent="0.25">
      <c r="A577" s="31"/>
      <c r="B577" s="16" t="str">
        <f>IFERROR(VLOOKUP(A577,Consolidado!$B$1:$L$1500,2,FALSE),"")</f>
        <v/>
      </c>
      <c r="C577" s="16">
        <f>IFERROR(SUMIF(Consolidado!$B$1:$B$1500,VLOOKUP(RegistroPago!A577,Consolidado!$B$1:$L$1500,1,FALSE),Consolidado!$G$1:$G$1500),"")</f>
        <v>0</v>
      </c>
      <c r="D577" s="3"/>
      <c r="E577" s="3"/>
      <c r="F577" s="5" t="str">
        <f t="shared" si="32"/>
        <v/>
      </c>
      <c r="G577" s="16" t="str">
        <f>IF(D577&lt;&gt;"",D577-VLOOKUP(A577,Consolidado!$B$1:$L$1500,8,FALSE),"")</f>
        <v/>
      </c>
      <c r="H577" s="31"/>
      <c r="I577" s="32">
        <f t="shared" si="33"/>
        <v>0</v>
      </c>
      <c r="J577" s="33" t="str">
        <f t="shared" si="34"/>
        <v/>
      </c>
      <c r="K577" s="2"/>
      <c r="L577" s="15"/>
      <c r="M577" s="34">
        <f t="shared" si="35"/>
        <v>0</v>
      </c>
    </row>
    <row r="578" spans="1:13" x14ac:dyDescent="0.25">
      <c r="A578" s="31"/>
      <c r="B578" s="16" t="str">
        <f>IFERROR(VLOOKUP(A578,Consolidado!$B$1:$L$1500,2,FALSE),"")</f>
        <v/>
      </c>
      <c r="C578" s="16">
        <f>IFERROR(SUMIF(Consolidado!$B$1:$B$1500,VLOOKUP(RegistroPago!A578,Consolidado!$B$1:$L$1500,1,FALSE),Consolidado!$G$1:$G$1500),"")</f>
        <v>0</v>
      </c>
      <c r="D578" s="3"/>
      <c r="E578" s="3"/>
      <c r="F578" s="5" t="str">
        <f t="shared" si="32"/>
        <v/>
      </c>
      <c r="G578" s="16" t="str">
        <f>IF(D578&lt;&gt;"",D578-VLOOKUP(A578,Consolidado!$B$1:$L$1500,8,FALSE),"")</f>
        <v/>
      </c>
      <c r="H578" s="31"/>
      <c r="I578" s="32">
        <f t="shared" si="33"/>
        <v>0</v>
      </c>
      <c r="J578" s="33" t="str">
        <f t="shared" si="34"/>
        <v/>
      </c>
      <c r="K578" s="2"/>
      <c r="L578" s="15"/>
      <c r="M578" s="34">
        <f t="shared" si="35"/>
        <v>0</v>
      </c>
    </row>
    <row r="579" spans="1:13" x14ac:dyDescent="0.25">
      <c r="A579" s="31"/>
      <c r="B579" s="16" t="str">
        <f>IFERROR(VLOOKUP(A579,Consolidado!$B$1:$L$1500,2,FALSE),"")</f>
        <v/>
      </c>
      <c r="C579" s="16">
        <f>IFERROR(SUMIF(Consolidado!$B$1:$B$1500,VLOOKUP(RegistroPago!A579,Consolidado!$B$1:$L$1500,1,FALSE),Consolidado!$G$1:$G$1500),"")</f>
        <v>0</v>
      </c>
      <c r="D579" s="3"/>
      <c r="E579" s="3"/>
      <c r="F579" s="5" t="str">
        <f t="shared" ref="F579:F642" si="36">IF(COUNTIF($E$2:$E$2000,E579)&gt;1,"Ya registrado","")</f>
        <v/>
      </c>
      <c r="G579" s="16" t="str">
        <f>IF(D579&lt;&gt;"",D579-VLOOKUP(A579,Consolidado!$B$1:$L$1500,8,FALSE),"")</f>
        <v/>
      </c>
      <c r="H579" s="31"/>
      <c r="I579" s="32">
        <f t="shared" ref="I579:I642" si="37">IFERROR(SUMIF($E$1:$E$2000,H579,$C$1:$C$2000)-SUMIF($E$1:$E$2000,H579,$F$1:$F$2000),"")</f>
        <v>0</v>
      </c>
      <c r="J579" s="33" t="str">
        <f t="shared" ref="J579:J642" si="38">IFERROR(I579/SUMIF($E$1:$E$2000,H579,$C$1:$C$2000),"")</f>
        <v/>
      </c>
      <c r="K579" s="2"/>
      <c r="L579" s="15"/>
      <c r="M579" s="34">
        <f t="shared" ref="M579:M642" si="39">IFERROR(L579*SUMIF($E$1:$E$2000,H579,$F$1:$F$2000),"")</f>
        <v>0</v>
      </c>
    </row>
    <row r="580" spans="1:13" x14ac:dyDescent="0.25">
      <c r="A580" s="31"/>
      <c r="B580" s="16" t="str">
        <f>IFERROR(VLOOKUP(A580,Consolidado!$B$1:$L$1500,2,FALSE),"")</f>
        <v/>
      </c>
      <c r="C580" s="16">
        <f>IFERROR(SUMIF(Consolidado!$B$1:$B$1500,VLOOKUP(RegistroPago!A580,Consolidado!$B$1:$L$1500,1,FALSE),Consolidado!$G$1:$G$1500),"")</f>
        <v>0</v>
      </c>
      <c r="D580" s="3"/>
      <c r="E580" s="3"/>
      <c r="F580" s="5" t="str">
        <f t="shared" si="36"/>
        <v/>
      </c>
      <c r="G580" s="16" t="str">
        <f>IF(D580&lt;&gt;"",D580-VLOOKUP(A580,Consolidado!$B$1:$L$1500,8,FALSE),"")</f>
        <v/>
      </c>
      <c r="H580" s="31"/>
      <c r="I580" s="32">
        <f t="shared" si="37"/>
        <v>0</v>
      </c>
      <c r="J580" s="33" t="str">
        <f t="shared" si="38"/>
        <v/>
      </c>
      <c r="K580" s="2"/>
      <c r="L580" s="15"/>
      <c r="M580" s="34">
        <f t="shared" si="39"/>
        <v>0</v>
      </c>
    </row>
    <row r="581" spans="1:13" x14ac:dyDescent="0.25">
      <c r="A581" s="31"/>
      <c r="B581" s="16" t="str">
        <f>IFERROR(VLOOKUP(A581,Consolidado!$B$1:$L$1500,2,FALSE),"")</f>
        <v/>
      </c>
      <c r="C581" s="16">
        <f>IFERROR(SUMIF(Consolidado!$B$1:$B$1500,VLOOKUP(RegistroPago!A581,Consolidado!$B$1:$L$1500,1,FALSE),Consolidado!$G$1:$G$1500),"")</f>
        <v>0</v>
      </c>
      <c r="D581" s="3"/>
      <c r="E581" s="3"/>
      <c r="F581" s="5" t="str">
        <f t="shared" si="36"/>
        <v/>
      </c>
      <c r="G581" s="16" t="str">
        <f>IF(D581&lt;&gt;"",D581-VLOOKUP(A581,Consolidado!$B$1:$L$1500,8,FALSE),"")</f>
        <v/>
      </c>
      <c r="H581" s="31"/>
      <c r="I581" s="32">
        <f t="shared" si="37"/>
        <v>0</v>
      </c>
      <c r="J581" s="33" t="str">
        <f t="shared" si="38"/>
        <v/>
      </c>
      <c r="K581" s="2"/>
      <c r="L581" s="15"/>
      <c r="M581" s="34">
        <f t="shared" si="39"/>
        <v>0</v>
      </c>
    </row>
    <row r="582" spans="1:13" x14ac:dyDescent="0.25">
      <c r="A582" s="31"/>
      <c r="B582" s="16" t="str">
        <f>IFERROR(VLOOKUP(A582,Consolidado!$B$1:$L$1500,2,FALSE),"")</f>
        <v/>
      </c>
      <c r="C582" s="16">
        <f>IFERROR(SUMIF(Consolidado!$B$1:$B$1500,VLOOKUP(RegistroPago!A582,Consolidado!$B$1:$L$1500,1,FALSE),Consolidado!$G$1:$G$1500),"")</f>
        <v>0</v>
      </c>
      <c r="D582" s="3"/>
      <c r="E582" s="3"/>
      <c r="F582" s="5" t="str">
        <f t="shared" si="36"/>
        <v/>
      </c>
      <c r="G582" s="16" t="str">
        <f>IF(D582&lt;&gt;"",D582-VLOOKUP(A582,Consolidado!$B$1:$L$1500,8,FALSE),"")</f>
        <v/>
      </c>
      <c r="H582" s="31"/>
      <c r="I582" s="32">
        <f t="shared" si="37"/>
        <v>0</v>
      </c>
      <c r="J582" s="33" t="str">
        <f t="shared" si="38"/>
        <v/>
      </c>
      <c r="K582" s="2"/>
      <c r="L582" s="15"/>
      <c r="M582" s="34">
        <f t="shared" si="39"/>
        <v>0</v>
      </c>
    </row>
    <row r="583" spans="1:13" x14ac:dyDescent="0.25">
      <c r="A583" s="31"/>
      <c r="B583" s="16" t="str">
        <f>IFERROR(VLOOKUP(A583,Consolidado!$B$1:$L$1500,2,FALSE),"")</f>
        <v/>
      </c>
      <c r="C583" s="16">
        <f>IFERROR(SUMIF(Consolidado!$B$1:$B$1500,VLOOKUP(RegistroPago!A583,Consolidado!$B$1:$L$1500,1,FALSE),Consolidado!$G$1:$G$1500),"")</f>
        <v>0</v>
      </c>
      <c r="D583" s="3"/>
      <c r="E583" s="3"/>
      <c r="F583" s="5" t="str">
        <f t="shared" si="36"/>
        <v/>
      </c>
      <c r="G583" s="16" t="str">
        <f>IF(D583&lt;&gt;"",D583-VLOOKUP(A583,Consolidado!$B$1:$L$1500,8,FALSE),"")</f>
        <v/>
      </c>
      <c r="H583" s="31"/>
      <c r="I583" s="32">
        <f t="shared" si="37"/>
        <v>0</v>
      </c>
      <c r="J583" s="33" t="str">
        <f t="shared" si="38"/>
        <v/>
      </c>
      <c r="K583" s="2"/>
      <c r="L583" s="15"/>
      <c r="M583" s="34">
        <f t="shared" si="39"/>
        <v>0</v>
      </c>
    </row>
    <row r="584" spans="1:13" x14ac:dyDescent="0.25">
      <c r="A584" s="31"/>
      <c r="B584" s="16" t="str">
        <f>IFERROR(VLOOKUP(A584,Consolidado!$B$1:$L$1500,2,FALSE),"")</f>
        <v/>
      </c>
      <c r="C584" s="16">
        <f>IFERROR(SUMIF(Consolidado!$B$1:$B$1500,VLOOKUP(RegistroPago!A584,Consolidado!$B$1:$L$1500,1,FALSE),Consolidado!$G$1:$G$1500),"")</f>
        <v>0</v>
      </c>
      <c r="D584" s="3"/>
      <c r="E584" s="3"/>
      <c r="F584" s="5" t="str">
        <f t="shared" si="36"/>
        <v/>
      </c>
      <c r="G584" s="16" t="str">
        <f>IF(D584&lt;&gt;"",D584-VLOOKUP(A584,Consolidado!$B$1:$L$1500,8,FALSE),"")</f>
        <v/>
      </c>
      <c r="H584" s="31"/>
      <c r="I584" s="32">
        <f t="shared" si="37"/>
        <v>0</v>
      </c>
      <c r="J584" s="33" t="str">
        <f t="shared" si="38"/>
        <v/>
      </c>
      <c r="K584" s="2"/>
      <c r="L584" s="15"/>
      <c r="M584" s="34">
        <f t="shared" si="39"/>
        <v>0</v>
      </c>
    </row>
    <row r="585" spans="1:13" x14ac:dyDescent="0.25">
      <c r="A585" s="31"/>
      <c r="B585" s="16" t="str">
        <f>IFERROR(VLOOKUP(A585,Consolidado!$B$1:$L$1500,2,FALSE),"")</f>
        <v/>
      </c>
      <c r="C585" s="16">
        <f>IFERROR(SUMIF(Consolidado!$B$1:$B$1500,VLOOKUP(RegistroPago!A585,Consolidado!$B$1:$L$1500,1,FALSE),Consolidado!$G$1:$G$1500),"")</f>
        <v>0</v>
      </c>
      <c r="D585" s="3"/>
      <c r="E585" s="3"/>
      <c r="F585" s="5" t="str">
        <f t="shared" si="36"/>
        <v/>
      </c>
      <c r="G585" s="16" t="str">
        <f>IF(D585&lt;&gt;"",D585-VLOOKUP(A585,Consolidado!$B$1:$L$1500,8,FALSE),"")</f>
        <v/>
      </c>
      <c r="H585" s="31"/>
      <c r="I585" s="32">
        <f t="shared" si="37"/>
        <v>0</v>
      </c>
      <c r="J585" s="33" t="str">
        <f t="shared" si="38"/>
        <v/>
      </c>
      <c r="K585" s="2"/>
      <c r="L585" s="15"/>
      <c r="M585" s="34">
        <f t="shared" si="39"/>
        <v>0</v>
      </c>
    </row>
    <row r="586" spans="1:13" x14ac:dyDescent="0.25">
      <c r="A586" s="31"/>
      <c r="B586" s="16" t="str">
        <f>IFERROR(VLOOKUP(A586,Consolidado!$B$1:$L$1500,2,FALSE),"")</f>
        <v/>
      </c>
      <c r="C586" s="16">
        <f>IFERROR(SUMIF(Consolidado!$B$1:$B$1500,VLOOKUP(RegistroPago!A586,Consolidado!$B$1:$L$1500,1,FALSE),Consolidado!$G$1:$G$1500),"")</f>
        <v>0</v>
      </c>
      <c r="D586" s="3"/>
      <c r="E586" s="3"/>
      <c r="F586" s="5" t="str">
        <f t="shared" si="36"/>
        <v/>
      </c>
      <c r="G586" s="16" t="str">
        <f>IF(D586&lt;&gt;"",D586-VLOOKUP(A586,Consolidado!$B$1:$L$1500,8,FALSE),"")</f>
        <v/>
      </c>
      <c r="H586" s="31"/>
      <c r="I586" s="32">
        <f t="shared" si="37"/>
        <v>0</v>
      </c>
      <c r="J586" s="33" t="str">
        <f t="shared" si="38"/>
        <v/>
      </c>
      <c r="K586" s="2"/>
      <c r="L586" s="15"/>
      <c r="M586" s="34">
        <f t="shared" si="39"/>
        <v>0</v>
      </c>
    </row>
    <row r="587" spans="1:13" x14ac:dyDescent="0.25">
      <c r="A587" s="31"/>
      <c r="B587" s="16" t="str">
        <f>IFERROR(VLOOKUP(A587,Consolidado!$B$1:$L$1500,2,FALSE),"")</f>
        <v/>
      </c>
      <c r="C587" s="16">
        <f>IFERROR(SUMIF(Consolidado!$B$1:$B$1500,VLOOKUP(RegistroPago!A587,Consolidado!$B$1:$L$1500,1,FALSE),Consolidado!$G$1:$G$1500),"")</f>
        <v>0</v>
      </c>
      <c r="D587" s="3"/>
      <c r="E587" s="3"/>
      <c r="F587" s="5" t="str">
        <f t="shared" si="36"/>
        <v/>
      </c>
      <c r="G587" s="16" t="str">
        <f>IF(D587&lt;&gt;"",D587-VLOOKUP(A587,Consolidado!$B$1:$L$1500,8,FALSE),"")</f>
        <v/>
      </c>
      <c r="H587" s="31"/>
      <c r="I587" s="32">
        <f t="shared" si="37"/>
        <v>0</v>
      </c>
      <c r="J587" s="33" t="str">
        <f t="shared" si="38"/>
        <v/>
      </c>
      <c r="K587" s="2"/>
      <c r="L587" s="15"/>
      <c r="M587" s="34">
        <f t="shared" si="39"/>
        <v>0</v>
      </c>
    </row>
    <row r="588" spans="1:13" x14ac:dyDescent="0.25">
      <c r="A588" s="31"/>
      <c r="B588" s="16" t="str">
        <f>IFERROR(VLOOKUP(A588,Consolidado!$B$1:$L$1500,2,FALSE),"")</f>
        <v/>
      </c>
      <c r="C588" s="16">
        <f>IFERROR(SUMIF(Consolidado!$B$1:$B$1500,VLOOKUP(RegistroPago!A588,Consolidado!$B$1:$L$1500,1,FALSE),Consolidado!$G$1:$G$1500),"")</f>
        <v>0</v>
      </c>
      <c r="D588" s="3"/>
      <c r="E588" s="3"/>
      <c r="F588" s="5" t="str">
        <f t="shared" si="36"/>
        <v/>
      </c>
      <c r="G588" s="16" t="str">
        <f>IF(D588&lt;&gt;"",D588-VLOOKUP(A588,Consolidado!$B$1:$L$1500,8,FALSE),"")</f>
        <v/>
      </c>
      <c r="H588" s="31"/>
      <c r="I588" s="32">
        <f t="shared" si="37"/>
        <v>0</v>
      </c>
      <c r="J588" s="33" t="str">
        <f t="shared" si="38"/>
        <v/>
      </c>
      <c r="K588" s="2"/>
      <c r="L588" s="15"/>
      <c r="M588" s="34">
        <f t="shared" si="39"/>
        <v>0</v>
      </c>
    </row>
    <row r="589" spans="1:13" x14ac:dyDescent="0.25">
      <c r="A589" s="31"/>
      <c r="B589" s="16" t="str">
        <f>IFERROR(VLOOKUP(A589,Consolidado!$B$1:$L$1500,2,FALSE),"")</f>
        <v/>
      </c>
      <c r="C589" s="16">
        <f>IFERROR(SUMIF(Consolidado!$B$1:$B$1500,VLOOKUP(RegistroPago!A589,Consolidado!$B$1:$L$1500,1,FALSE),Consolidado!$G$1:$G$1500),"")</f>
        <v>0</v>
      </c>
      <c r="D589" s="3"/>
      <c r="E589" s="3"/>
      <c r="F589" s="5" t="str">
        <f t="shared" si="36"/>
        <v/>
      </c>
      <c r="G589" s="16" t="str">
        <f>IF(D589&lt;&gt;"",D589-VLOOKUP(A589,Consolidado!$B$1:$L$1500,8,FALSE),"")</f>
        <v/>
      </c>
      <c r="H589" s="31"/>
      <c r="I589" s="32">
        <f t="shared" si="37"/>
        <v>0</v>
      </c>
      <c r="J589" s="33" t="str">
        <f t="shared" si="38"/>
        <v/>
      </c>
      <c r="K589" s="2"/>
      <c r="L589" s="15"/>
      <c r="M589" s="34">
        <f t="shared" si="39"/>
        <v>0</v>
      </c>
    </row>
    <row r="590" spans="1:13" x14ac:dyDescent="0.25">
      <c r="A590" s="31"/>
      <c r="B590" s="16" t="str">
        <f>IFERROR(VLOOKUP(A590,Consolidado!$B$1:$L$1500,2,FALSE),"")</f>
        <v/>
      </c>
      <c r="C590" s="16">
        <f>IFERROR(SUMIF(Consolidado!$B$1:$B$1500,VLOOKUP(RegistroPago!A590,Consolidado!$B$1:$L$1500,1,FALSE),Consolidado!$G$1:$G$1500),"")</f>
        <v>0</v>
      </c>
      <c r="D590" s="3"/>
      <c r="E590" s="3"/>
      <c r="F590" s="5" t="str">
        <f t="shared" si="36"/>
        <v/>
      </c>
      <c r="G590" s="16" t="str">
        <f>IF(D590&lt;&gt;"",D590-VLOOKUP(A590,Consolidado!$B$1:$L$1500,8,FALSE),"")</f>
        <v/>
      </c>
      <c r="H590" s="31"/>
      <c r="I590" s="32">
        <f t="shared" si="37"/>
        <v>0</v>
      </c>
      <c r="J590" s="33" t="str">
        <f t="shared" si="38"/>
        <v/>
      </c>
      <c r="K590" s="2"/>
      <c r="L590" s="15"/>
      <c r="M590" s="34">
        <f t="shared" si="39"/>
        <v>0</v>
      </c>
    </row>
    <row r="591" spans="1:13" x14ac:dyDescent="0.25">
      <c r="A591" s="31"/>
      <c r="B591" s="16" t="str">
        <f>IFERROR(VLOOKUP(A591,Consolidado!$B$1:$L$1500,2,FALSE),"")</f>
        <v/>
      </c>
      <c r="C591" s="16">
        <f>IFERROR(SUMIF(Consolidado!$B$1:$B$1500,VLOOKUP(RegistroPago!A591,Consolidado!$B$1:$L$1500,1,FALSE),Consolidado!$G$1:$G$1500),"")</f>
        <v>0</v>
      </c>
      <c r="D591" s="3"/>
      <c r="E591" s="3"/>
      <c r="F591" s="5" t="str">
        <f t="shared" si="36"/>
        <v/>
      </c>
      <c r="G591" s="16" t="str">
        <f>IF(D591&lt;&gt;"",D591-VLOOKUP(A591,Consolidado!$B$1:$L$1500,8,FALSE),"")</f>
        <v/>
      </c>
      <c r="H591" s="31"/>
      <c r="I591" s="32">
        <f t="shared" si="37"/>
        <v>0</v>
      </c>
      <c r="J591" s="33" t="str">
        <f t="shared" si="38"/>
        <v/>
      </c>
      <c r="K591" s="2"/>
      <c r="L591" s="15"/>
      <c r="M591" s="34">
        <f t="shared" si="39"/>
        <v>0</v>
      </c>
    </row>
    <row r="592" spans="1:13" x14ac:dyDescent="0.25">
      <c r="A592" s="31"/>
      <c r="B592" s="16" t="str">
        <f>IFERROR(VLOOKUP(A592,Consolidado!$B$1:$L$1500,2,FALSE),"")</f>
        <v/>
      </c>
      <c r="C592" s="16">
        <f>IFERROR(SUMIF(Consolidado!$B$1:$B$1500,VLOOKUP(RegistroPago!A592,Consolidado!$B$1:$L$1500,1,FALSE),Consolidado!$G$1:$G$1500),"")</f>
        <v>0</v>
      </c>
      <c r="D592" s="3"/>
      <c r="E592" s="3"/>
      <c r="F592" s="5" t="str">
        <f t="shared" si="36"/>
        <v/>
      </c>
      <c r="G592" s="16" t="str">
        <f>IF(D592&lt;&gt;"",D592-VLOOKUP(A592,Consolidado!$B$1:$L$1500,8,FALSE),"")</f>
        <v/>
      </c>
      <c r="H592" s="31"/>
      <c r="I592" s="32">
        <f t="shared" si="37"/>
        <v>0</v>
      </c>
      <c r="J592" s="33" t="str">
        <f t="shared" si="38"/>
        <v/>
      </c>
      <c r="K592" s="2"/>
      <c r="L592" s="15"/>
      <c r="M592" s="34">
        <f t="shared" si="39"/>
        <v>0</v>
      </c>
    </row>
    <row r="593" spans="1:13" x14ac:dyDescent="0.25">
      <c r="A593" s="31"/>
      <c r="B593" s="16" t="str">
        <f>IFERROR(VLOOKUP(A593,Consolidado!$B$1:$L$1500,2,FALSE),"")</f>
        <v/>
      </c>
      <c r="C593" s="16">
        <f>IFERROR(SUMIF(Consolidado!$B$1:$B$1500,VLOOKUP(RegistroPago!A593,Consolidado!$B$1:$L$1500,1,FALSE),Consolidado!$G$1:$G$1500),"")</f>
        <v>0</v>
      </c>
      <c r="D593" s="3"/>
      <c r="E593" s="3"/>
      <c r="F593" s="5" t="str">
        <f t="shared" si="36"/>
        <v/>
      </c>
      <c r="G593" s="16" t="str">
        <f>IF(D593&lt;&gt;"",D593-VLOOKUP(A593,Consolidado!$B$1:$L$1500,8,FALSE),"")</f>
        <v/>
      </c>
      <c r="H593" s="31"/>
      <c r="I593" s="32">
        <f t="shared" si="37"/>
        <v>0</v>
      </c>
      <c r="J593" s="33" t="str">
        <f t="shared" si="38"/>
        <v/>
      </c>
      <c r="K593" s="2"/>
      <c r="L593" s="15"/>
      <c r="M593" s="34">
        <f t="shared" si="39"/>
        <v>0</v>
      </c>
    </row>
    <row r="594" spans="1:13" x14ac:dyDescent="0.25">
      <c r="A594" s="31"/>
      <c r="B594" s="16" t="str">
        <f>IFERROR(VLOOKUP(A594,Consolidado!$B$1:$L$1500,2,FALSE),"")</f>
        <v/>
      </c>
      <c r="C594" s="16">
        <f>IFERROR(SUMIF(Consolidado!$B$1:$B$1500,VLOOKUP(RegistroPago!A594,Consolidado!$B$1:$L$1500,1,FALSE),Consolidado!$G$1:$G$1500),"")</f>
        <v>0</v>
      </c>
      <c r="D594" s="3"/>
      <c r="E594" s="3"/>
      <c r="F594" s="5" t="str">
        <f t="shared" si="36"/>
        <v/>
      </c>
      <c r="G594" s="16" t="str">
        <f>IF(D594&lt;&gt;"",D594-VLOOKUP(A594,Consolidado!$B$1:$L$1500,8,FALSE),"")</f>
        <v/>
      </c>
      <c r="H594" s="31"/>
      <c r="I594" s="32">
        <f t="shared" si="37"/>
        <v>0</v>
      </c>
      <c r="J594" s="33" t="str">
        <f t="shared" si="38"/>
        <v/>
      </c>
      <c r="K594" s="2"/>
      <c r="L594" s="15"/>
      <c r="M594" s="34">
        <f t="shared" si="39"/>
        <v>0</v>
      </c>
    </row>
    <row r="595" spans="1:13" x14ac:dyDescent="0.25">
      <c r="A595" s="31"/>
      <c r="B595" s="16" t="str">
        <f>IFERROR(VLOOKUP(A595,Consolidado!$B$1:$L$1500,2,FALSE),"")</f>
        <v/>
      </c>
      <c r="C595" s="16">
        <f>IFERROR(SUMIF(Consolidado!$B$1:$B$1500,VLOOKUP(RegistroPago!A595,Consolidado!$B$1:$L$1500,1,FALSE),Consolidado!$G$1:$G$1500),"")</f>
        <v>0</v>
      </c>
      <c r="D595" s="3"/>
      <c r="E595" s="3"/>
      <c r="F595" s="5" t="str">
        <f t="shared" si="36"/>
        <v/>
      </c>
      <c r="G595" s="16" t="str">
        <f>IF(D595&lt;&gt;"",D595-VLOOKUP(A595,Consolidado!$B$1:$L$1500,8,FALSE),"")</f>
        <v/>
      </c>
      <c r="H595" s="31"/>
      <c r="I595" s="32">
        <f t="shared" si="37"/>
        <v>0</v>
      </c>
      <c r="J595" s="33" t="str">
        <f t="shared" si="38"/>
        <v/>
      </c>
      <c r="K595" s="2"/>
      <c r="L595" s="15"/>
      <c r="M595" s="34">
        <f t="shared" si="39"/>
        <v>0</v>
      </c>
    </row>
    <row r="596" spans="1:13" x14ac:dyDescent="0.25">
      <c r="A596" s="31"/>
      <c r="B596" s="16" t="str">
        <f>IFERROR(VLOOKUP(A596,Consolidado!$B$1:$L$1500,2,FALSE),"")</f>
        <v/>
      </c>
      <c r="C596" s="16">
        <f>IFERROR(SUMIF(Consolidado!$B$1:$B$1500,VLOOKUP(RegistroPago!A596,Consolidado!$B$1:$L$1500,1,FALSE),Consolidado!$G$1:$G$1500),"")</f>
        <v>0</v>
      </c>
      <c r="D596" s="3"/>
      <c r="E596" s="3"/>
      <c r="F596" s="5" t="str">
        <f t="shared" si="36"/>
        <v/>
      </c>
      <c r="G596" s="16" t="str">
        <f>IF(D596&lt;&gt;"",D596-VLOOKUP(A596,Consolidado!$B$1:$L$1500,8,FALSE),"")</f>
        <v/>
      </c>
      <c r="H596" s="31"/>
      <c r="I596" s="32">
        <f t="shared" si="37"/>
        <v>0</v>
      </c>
      <c r="J596" s="33" t="str">
        <f t="shared" si="38"/>
        <v/>
      </c>
      <c r="K596" s="2"/>
      <c r="L596" s="15"/>
      <c r="M596" s="34">
        <f t="shared" si="39"/>
        <v>0</v>
      </c>
    </row>
    <row r="597" spans="1:13" x14ac:dyDescent="0.25">
      <c r="A597" s="31"/>
      <c r="B597" s="16" t="str">
        <f>IFERROR(VLOOKUP(A597,Consolidado!$B$1:$L$1500,2,FALSE),"")</f>
        <v/>
      </c>
      <c r="C597" s="16">
        <f>IFERROR(SUMIF(Consolidado!$B$1:$B$1500,VLOOKUP(RegistroPago!A597,Consolidado!$B$1:$L$1500,1,FALSE),Consolidado!$G$1:$G$1500),"")</f>
        <v>0</v>
      </c>
      <c r="D597" s="3"/>
      <c r="E597" s="3"/>
      <c r="F597" s="5" t="str">
        <f t="shared" si="36"/>
        <v/>
      </c>
      <c r="G597" s="16" t="str">
        <f>IF(D597&lt;&gt;"",D597-VLOOKUP(A597,Consolidado!$B$1:$L$1500,8,FALSE),"")</f>
        <v/>
      </c>
      <c r="H597" s="31"/>
      <c r="I597" s="32">
        <f t="shared" si="37"/>
        <v>0</v>
      </c>
      <c r="J597" s="33" t="str">
        <f t="shared" si="38"/>
        <v/>
      </c>
      <c r="K597" s="2"/>
      <c r="L597" s="15"/>
      <c r="M597" s="34">
        <f t="shared" si="39"/>
        <v>0</v>
      </c>
    </row>
    <row r="598" spans="1:13" x14ac:dyDescent="0.25">
      <c r="A598" s="31"/>
      <c r="B598" s="16" t="str">
        <f>IFERROR(VLOOKUP(A598,Consolidado!$B$1:$L$1500,2,FALSE),"")</f>
        <v/>
      </c>
      <c r="C598" s="16">
        <f>IFERROR(SUMIF(Consolidado!$B$1:$B$1500,VLOOKUP(RegistroPago!A598,Consolidado!$B$1:$L$1500,1,FALSE),Consolidado!$G$1:$G$1500),"")</f>
        <v>0</v>
      </c>
      <c r="D598" s="3"/>
      <c r="E598" s="3"/>
      <c r="F598" s="5" t="str">
        <f t="shared" si="36"/>
        <v/>
      </c>
      <c r="G598" s="16" t="str">
        <f>IF(D598&lt;&gt;"",D598-VLOOKUP(A598,Consolidado!$B$1:$L$1500,8,FALSE),"")</f>
        <v/>
      </c>
      <c r="H598" s="31"/>
      <c r="I598" s="32">
        <f t="shared" si="37"/>
        <v>0</v>
      </c>
      <c r="J598" s="33" t="str">
        <f t="shared" si="38"/>
        <v/>
      </c>
      <c r="K598" s="2"/>
      <c r="L598" s="15"/>
      <c r="M598" s="34">
        <f t="shared" si="39"/>
        <v>0</v>
      </c>
    </row>
    <row r="599" spans="1:13" x14ac:dyDescent="0.25">
      <c r="A599" s="31"/>
      <c r="B599" s="16" t="str">
        <f>IFERROR(VLOOKUP(A599,Consolidado!$B$1:$L$1500,2,FALSE),"")</f>
        <v/>
      </c>
      <c r="C599" s="16">
        <f>IFERROR(SUMIF(Consolidado!$B$1:$B$1500,VLOOKUP(RegistroPago!A599,Consolidado!$B$1:$L$1500,1,FALSE),Consolidado!$G$1:$G$1500),"")</f>
        <v>0</v>
      </c>
      <c r="D599" s="3"/>
      <c r="E599" s="3"/>
      <c r="F599" s="5" t="str">
        <f t="shared" si="36"/>
        <v/>
      </c>
      <c r="G599" s="16" t="str">
        <f>IF(D599&lt;&gt;"",D599-VLOOKUP(A599,Consolidado!$B$1:$L$1500,8,FALSE),"")</f>
        <v/>
      </c>
      <c r="H599" s="31"/>
      <c r="I599" s="32">
        <f t="shared" si="37"/>
        <v>0</v>
      </c>
      <c r="J599" s="33" t="str">
        <f t="shared" si="38"/>
        <v/>
      </c>
      <c r="K599" s="2"/>
      <c r="L599" s="15"/>
      <c r="M599" s="34">
        <f t="shared" si="39"/>
        <v>0</v>
      </c>
    </row>
    <row r="600" spans="1:13" x14ac:dyDescent="0.25">
      <c r="A600" s="31"/>
      <c r="B600" s="16" t="str">
        <f>IFERROR(VLOOKUP(A600,Consolidado!$B$1:$L$1500,2,FALSE),"")</f>
        <v/>
      </c>
      <c r="C600" s="16">
        <f>IFERROR(SUMIF(Consolidado!$B$1:$B$1500,VLOOKUP(RegistroPago!A600,Consolidado!$B$1:$L$1500,1,FALSE),Consolidado!$G$1:$G$1500),"")</f>
        <v>0</v>
      </c>
      <c r="D600" s="3"/>
      <c r="E600" s="3"/>
      <c r="F600" s="5" t="str">
        <f t="shared" si="36"/>
        <v/>
      </c>
      <c r="G600" s="16" t="str">
        <f>IF(D600&lt;&gt;"",D600-VLOOKUP(A600,Consolidado!$B$1:$L$1500,8,FALSE),"")</f>
        <v/>
      </c>
      <c r="H600" s="31"/>
      <c r="I600" s="32">
        <f t="shared" si="37"/>
        <v>0</v>
      </c>
      <c r="J600" s="33" t="str">
        <f t="shared" si="38"/>
        <v/>
      </c>
      <c r="K600" s="2"/>
      <c r="L600" s="15"/>
      <c r="M600" s="34">
        <f t="shared" si="39"/>
        <v>0</v>
      </c>
    </row>
    <row r="601" spans="1:13" x14ac:dyDescent="0.25">
      <c r="A601" s="31"/>
      <c r="B601" s="16" t="str">
        <f>IFERROR(VLOOKUP(A601,Consolidado!$B$1:$L$1500,2,FALSE),"")</f>
        <v/>
      </c>
      <c r="C601" s="16">
        <f>IFERROR(SUMIF(Consolidado!$B$1:$B$1500,VLOOKUP(RegistroPago!A601,Consolidado!$B$1:$L$1500,1,FALSE),Consolidado!$G$1:$G$1500),"")</f>
        <v>0</v>
      </c>
      <c r="D601" s="3"/>
      <c r="E601" s="3"/>
      <c r="F601" s="5" t="str">
        <f t="shared" si="36"/>
        <v/>
      </c>
      <c r="G601" s="16" t="str">
        <f>IF(D601&lt;&gt;"",D601-VLOOKUP(A601,Consolidado!$B$1:$L$1500,8,FALSE),"")</f>
        <v/>
      </c>
      <c r="H601" s="31"/>
      <c r="I601" s="32">
        <f t="shared" si="37"/>
        <v>0</v>
      </c>
      <c r="J601" s="33" t="str">
        <f t="shared" si="38"/>
        <v/>
      </c>
      <c r="K601" s="2"/>
      <c r="L601" s="15"/>
      <c r="M601" s="34">
        <f t="shared" si="39"/>
        <v>0</v>
      </c>
    </row>
    <row r="602" spans="1:13" x14ac:dyDescent="0.25">
      <c r="A602" s="31"/>
      <c r="B602" s="16" t="str">
        <f>IFERROR(VLOOKUP(A602,Consolidado!$B$1:$L$1500,2,FALSE),"")</f>
        <v/>
      </c>
      <c r="C602" s="16">
        <f>IFERROR(SUMIF(Consolidado!$B$1:$B$1500,VLOOKUP(RegistroPago!A602,Consolidado!$B$1:$L$1500,1,FALSE),Consolidado!$G$1:$G$1500),"")</f>
        <v>0</v>
      </c>
      <c r="D602" s="3"/>
      <c r="E602" s="3"/>
      <c r="F602" s="5" t="str">
        <f t="shared" si="36"/>
        <v/>
      </c>
      <c r="G602" s="16" t="str">
        <f>IF(D602&lt;&gt;"",D602-VLOOKUP(A602,Consolidado!$B$1:$L$1500,8,FALSE),"")</f>
        <v/>
      </c>
      <c r="H602" s="31"/>
      <c r="I602" s="32">
        <f t="shared" si="37"/>
        <v>0</v>
      </c>
      <c r="J602" s="33" t="str">
        <f t="shared" si="38"/>
        <v/>
      </c>
      <c r="K602" s="2"/>
      <c r="L602" s="15"/>
      <c r="M602" s="34">
        <f t="shared" si="39"/>
        <v>0</v>
      </c>
    </row>
    <row r="603" spans="1:13" x14ac:dyDescent="0.25">
      <c r="A603" s="31"/>
      <c r="B603" s="16" t="str">
        <f>IFERROR(VLOOKUP(A603,Consolidado!$B$1:$L$1500,2,FALSE),"")</f>
        <v/>
      </c>
      <c r="C603" s="16">
        <f>IFERROR(SUMIF(Consolidado!$B$1:$B$1500,VLOOKUP(RegistroPago!A603,Consolidado!$B$1:$L$1500,1,FALSE),Consolidado!$G$1:$G$1500),"")</f>
        <v>0</v>
      </c>
      <c r="D603" s="3"/>
      <c r="E603" s="3"/>
      <c r="F603" s="5" t="str">
        <f t="shared" si="36"/>
        <v/>
      </c>
      <c r="G603" s="16" t="str">
        <f>IF(D603&lt;&gt;"",D603-VLOOKUP(A603,Consolidado!$B$1:$L$1500,8,FALSE),"")</f>
        <v/>
      </c>
      <c r="H603" s="31"/>
      <c r="I603" s="32">
        <f t="shared" si="37"/>
        <v>0</v>
      </c>
      <c r="J603" s="33" t="str">
        <f t="shared" si="38"/>
        <v/>
      </c>
      <c r="K603" s="2"/>
      <c r="L603" s="15"/>
      <c r="M603" s="34">
        <f t="shared" si="39"/>
        <v>0</v>
      </c>
    </row>
    <row r="604" spans="1:13" x14ac:dyDescent="0.25">
      <c r="A604" s="31"/>
      <c r="B604" s="16" t="str">
        <f>IFERROR(VLOOKUP(A604,Consolidado!$B$1:$L$1500,2,FALSE),"")</f>
        <v/>
      </c>
      <c r="C604" s="16">
        <f>IFERROR(SUMIF(Consolidado!$B$1:$B$1500,VLOOKUP(RegistroPago!A604,Consolidado!$B$1:$L$1500,1,FALSE),Consolidado!$G$1:$G$1500),"")</f>
        <v>0</v>
      </c>
      <c r="D604" s="3"/>
      <c r="E604" s="3"/>
      <c r="F604" s="5" t="str">
        <f t="shared" si="36"/>
        <v/>
      </c>
      <c r="G604" s="16" t="str">
        <f>IF(D604&lt;&gt;"",D604-VLOOKUP(A604,Consolidado!$B$1:$L$1500,8,FALSE),"")</f>
        <v/>
      </c>
      <c r="H604" s="31"/>
      <c r="I604" s="32">
        <f t="shared" si="37"/>
        <v>0</v>
      </c>
      <c r="J604" s="33" t="str">
        <f t="shared" si="38"/>
        <v/>
      </c>
      <c r="K604" s="2"/>
      <c r="L604" s="15"/>
      <c r="M604" s="34">
        <f t="shared" si="39"/>
        <v>0</v>
      </c>
    </row>
    <row r="605" spans="1:13" x14ac:dyDescent="0.25">
      <c r="A605" s="31"/>
      <c r="B605" s="16" t="str">
        <f>IFERROR(VLOOKUP(A605,Consolidado!$B$1:$L$1500,2,FALSE),"")</f>
        <v/>
      </c>
      <c r="C605" s="16">
        <f>IFERROR(SUMIF(Consolidado!$B$1:$B$1500,VLOOKUP(RegistroPago!A605,Consolidado!$B$1:$L$1500,1,FALSE),Consolidado!$G$1:$G$1500),"")</f>
        <v>0</v>
      </c>
      <c r="D605" s="3"/>
      <c r="E605" s="3"/>
      <c r="F605" s="5" t="str">
        <f t="shared" si="36"/>
        <v/>
      </c>
      <c r="G605" s="16" t="str">
        <f>IF(D605&lt;&gt;"",D605-VLOOKUP(A605,Consolidado!$B$1:$L$1500,8,FALSE),"")</f>
        <v/>
      </c>
      <c r="H605" s="31"/>
      <c r="I605" s="32">
        <f t="shared" si="37"/>
        <v>0</v>
      </c>
      <c r="J605" s="33" t="str">
        <f t="shared" si="38"/>
        <v/>
      </c>
      <c r="K605" s="2"/>
      <c r="L605" s="15"/>
      <c r="M605" s="34">
        <f t="shared" si="39"/>
        <v>0</v>
      </c>
    </row>
    <row r="606" spans="1:13" x14ac:dyDescent="0.25">
      <c r="A606" s="31"/>
      <c r="B606" s="16" t="str">
        <f>IFERROR(VLOOKUP(A606,Consolidado!$B$1:$L$1500,2,FALSE),"")</f>
        <v/>
      </c>
      <c r="C606" s="16">
        <f>IFERROR(SUMIF(Consolidado!$B$1:$B$1500,VLOOKUP(RegistroPago!A606,Consolidado!$B$1:$L$1500,1,FALSE),Consolidado!$G$1:$G$1500),"")</f>
        <v>0</v>
      </c>
      <c r="D606" s="3"/>
      <c r="E606" s="3"/>
      <c r="F606" s="5" t="str">
        <f t="shared" si="36"/>
        <v/>
      </c>
      <c r="G606" s="16" t="str">
        <f>IF(D606&lt;&gt;"",D606-VLOOKUP(A606,Consolidado!$B$1:$L$1500,8,FALSE),"")</f>
        <v/>
      </c>
      <c r="H606" s="31"/>
      <c r="I606" s="32">
        <f t="shared" si="37"/>
        <v>0</v>
      </c>
      <c r="J606" s="33" t="str">
        <f t="shared" si="38"/>
        <v/>
      </c>
      <c r="K606" s="2"/>
      <c r="L606" s="15"/>
      <c r="M606" s="34">
        <f t="shared" si="39"/>
        <v>0</v>
      </c>
    </row>
    <row r="607" spans="1:13" x14ac:dyDescent="0.25">
      <c r="A607" s="31"/>
      <c r="B607" s="16" t="str">
        <f>IFERROR(VLOOKUP(A607,Consolidado!$B$1:$L$1500,2,FALSE),"")</f>
        <v/>
      </c>
      <c r="C607" s="16">
        <f>IFERROR(SUMIF(Consolidado!$B$1:$B$1500,VLOOKUP(RegistroPago!A607,Consolidado!$B$1:$L$1500,1,FALSE),Consolidado!$G$1:$G$1500),"")</f>
        <v>0</v>
      </c>
      <c r="D607" s="3"/>
      <c r="E607" s="3"/>
      <c r="F607" s="5" t="str">
        <f t="shared" si="36"/>
        <v/>
      </c>
      <c r="G607" s="16" t="str">
        <f>IF(D607&lt;&gt;"",D607-VLOOKUP(A607,Consolidado!$B$1:$L$1500,8,FALSE),"")</f>
        <v/>
      </c>
      <c r="H607" s="31"/>
      <c r="I607" s="32">
        <f t="shared" si="37"/>
        <v>0</v>
      </c>
      <c r="J607" s="33" t="str">
        <f t="shared" si="38"/>
        <v/>
      </c>
      <c r="K607" s="2"/>
      <c r="L607" s="15"/>
      <c r="M607" s="34">
        <f t="shared" si="39"/>
        <v>0</v>
      </c>
    </row>
    <row r="608" spans="1:13" x14ac:dyDescent="0.25">
      <c r="A608" s="31"/>
      <c r="B608" s="16" t="str">
        <f>IFERROR(VLOOKUP(A608,Consolidado!$B$1:$L$1500,2,FALSE),"")</f>
        <v/>
      </c>
      <c r="C608" s="16">
        <f>IFERROR(SUMIF(Consolidado!$B$1:$B$1500,VLOOKUP(RegistroPago!A608,Consolidado!$B$1:$L$1500,1,FALSE),Consolidado!$G$1:$G$1500),"")</f>
        <v>0</v>
      </c>
      <c r="D608" s="3"/>
      <c r="E608" s="3"/>
      <c r="F608" s="5" t="str">
        <f t="shared" si="36"/>
        <v/>
      </c>
      <c r="G608" s="16" t="str">
        <f>IF(D608&lt;&gt;"",D608-VLOOKUP(A608,Consolidado!$B$1:$L$1500,8,FALSE),"")</f>
        <v/>
      </c>
      <c r="H608" s="31"/>
      <c r="I608" s="32">
        <f t="shared" si="37"/>
        <v>0</v>
      </c>
      <c r="J608" s="33" t="str">
        <f t="shared" si="38"/>
        <v/>
      </c>
      <c r="K608" s="2"/>
      <c r="L608" s="15"/>
      <c r="M608" s="34">
        <f t="shared" si="39"/>
        <v>0</v>
      </c>
    </row>
    <row r="609" spans="1:13" x14ac:dyDescent="0.25">
      <c r="A609" s="31"/>
      <c r="B609" s="16" t="str">
        <f>IFERROR(VLOOKUP(A609,Consolidado!$B$1:$L$1500,2,FALSE),"")</f>
        <v/>
      </c>
      <c r="C609" s="16">
        <f>IFERROR(SUMIF(Consolidado!$B$1:$B$1500,VLOOKUP(RegistroPago!A609,Consolidado!$B$1:$L$1500,1,FALSE),Consolidado!$G$1:$G$1500),"")</f>
        <v>0</v>
      </c>
      <c r="D609" s="3"/>
      <c r="E609" s="3"/>
      <c r="F609" s="5" t="str">
        <f t="shared" si="36"/>
        <v/>
      </c>
      <c r="G609" s="16" t="str">
        <f>IF(D609&lt;&gt;"",D609-VLOOKUP(A609,Consolidado!$B$1:$L$1500,8,FALSE),"")</f>
        <v/>
      </c>
      <c r="H609" s="31"/>
      <c r="I609" s="32">
        <f t="shared" si="37"/>
        <v>0</v>
      </c>
      <c r="J609" s="33" t="str">
        <f t="shared" si="38"/>
        <v/>
      </c>
      <c r="K609" s="2"/>
      <c r="L609" s="15"/>
      <c r="M609" s="34">
        <f t="shared" si="39"/>
        <v>0</v>
      </c>
    </row>
    <row r="610" spans="1:13" x14ac:dyDescent="0.25">
      <c r="A610" s="31"/>
      <c r="B610" s="16" t="str">
        <f>IFERROR(VLOOKUP(A610,Consolidado!$B$1:$L$1500,2,FALSE),"")</f>
        <v/>
      </c>
      <c r="C610" s="16">
        <f>IFERROR(SUMIF(Consolidado!$B$1:$B$1500,VLOOKUP(RegistroPago!A610,Consolidado!$B$1:$L$1500,1,FALSE),Consolidado!$G$1:$G$1500),"")</f>
        <v>0</v>
      </c>
      <c r="D610" s="3"/>
      <c r="E610" s="3"/>
      <c r="F610" s="5" t="str">
        <f t="shared" si="36"/>
        <v/>
      </c>
      <c r="G610" s="16" t="str">
        <f>IF(D610&lt;&gt;"",D610-VLOOKUP(A610,Consolidado!$B$1:$L$1500,8,FALSE),"")</f>
        <v/>
      </c>
      <c r="H610" s="31"/>
      <c r="I610" s="32">
        <f t="shared" si="37"/>
        <v>0</v>
      </c>
      <c r="J610" s="33" t="str">
        <f t="shared" si="38"/>
        <v/>
      </c>
      <c r="K610" s="2"/>
      <c r="L610" s="15"/>
      <c r="M610" s="34">
        <f t="shared" si="39"/>
        <v>0</v>
      </c>
    </row>
    <row r="611" spans="1:13" x14ac:dyDescent="0.25">
      <c r="A611" s="31"/>
      <c r="B611" s="16" t="str">
        <f>IFERROR(VLOOKUP(A611,Consolidado!$B$1:$L$1500,2,FALSE),"")</f>
        <v/>
      </c>
      <c r="C611" s="16">
        <f>IFERROR(SUMIF(Consolidado!$B$1:$B$1500,VLOOKUP(RegistroPago!A611,Consolidado!$B$1:$L$1500,1,FALSE),Consolidado!$G$1:$G$1500),"")</f>
        <v>0</v>
      </c>
      <c r="D611" s="3"/>
      <c r="E611" s="3"/>
      <c r="F611" s="5" t="str">
        <f t="shared" si="36"/>
        <v/>
      </c>
      <c r="G611" s="16" t="str">
        <f>IF(D611&lt;&gt;"",D611-VLOOKUP(A611,Consolidado!$B$1:$L$1500,8,FALSE),"")</f>
        <v/>
      </c>
      <c r="H611" s="31"/>
      <c r="I611" s="32">
        <f t="shared" si="37"/>
        <v>0</v>
      </c>
      <c r="J611" s="33" t="str">
        <f t="shared" si="38"/>
        <v/>
      </c>
      <c r="K611" s="2"/>
      <c r="L611" s="15"/>
      <c r="M611" s="34">
        <f t="shared" si="39"/>
        <v>0</v>
      </c>
    </row>
    <row r="612" spans="1:13" x14ac:dyDescent="0.25">
      <c r="A612" s="31"/>
      <c r="B612" s="16" t="str">
        <f>IFERROR(VLOOKUP(A612,Consolidado!$B$1:$L$1500,2,FALSE),"")</f>
        <v/>
      </c>
      <c r="C612" s="16">
        <f>IFERROR(SUMIF(Consolidado!$B$1:$B$1500,VLOOKUP(RegistroPago!A612,Consolidado!$B$1:$L$1500,1,FALSE),Consolidado!$G$1:$G$1500),"")</f>
        <v>0</v>
      </c>
      <c r="D612" s="3"/>
      <c r="E612" s="3"/>
      <c r="F612" s="5" t="str">
        <f t="shared" si="36"/>
        <v/>
      </c>
      <c r="G612" s="16" t="str">
        <f>IF(D612&lt;&gt;"",D612-VLOOKUP(A612,Consolidado!$B$1:$L$1500,8,FALSE),"")</f>
        <v/>
      </c>
      <c r="H612" s="31"/>
      <c r="I612" s="32">
        <f t="shared" si="37"/>
        <v>0</v>
      </c>
      <c r="J612" s="33" t="str">
        <f t="shared" si="38"/>
        <v/>
      </c>
      <c r="K612" s="2"/>
      <c r="L612" s="15"/>
      <c r="M612" s="34">
        <f t="shared" si="39"/>
        <v>0</v>
      </c>
    </row>
    <row r="613" spans="1:13" x14ac:dyDescent="0.25">
      <c r="A613" s="31"/>
      <c r="B613" s="16" t="str">
        <f>IFERROR(VLOOKUP(A613,Consolidado!$B$1:$L$1500,2,FALSE),"")</f>
        <v/>
      </c>
      <c r="C613" s="16">
        <f>IFERROR(SUMIF(Consolidado!$B$1:$B$1500,VLOOKUP(RegistroPago!A613,Consolidado!$B$1:$L$1500,1,FALSE),Consolidado!$G$1:$G$1500),"")</f>
        <v>0</v>
      </c>
      <c r="D613" s="3"/>
      <c r="E613" s="3"/>
      <c r="F613" s="5" t="str">
        <f t="shared" si="36"/>
        <v/>
      </c>
      <c r="G613" s="16" t="str">
        <f>IF(D613&lt;&gt;"",D613-VLOOKUP(A613,Consolidado!$B$1:$L$1500,8,FALSE),"")</f>
        <v/>
      </c>
      <c r="H613" s="31"/>
      <c r="I613" s="32">
        <f t="shared" si="37"/>
        <v>0</v>
      </c>
      <c r="J613" s="33" t="str">
        <f t="shared" si="38"/>
        <v/>
      </c>
      <c r="K613" s="2"/>
      <c r="L613" s="15"/>
      <c r="M613" s="34">
        <f t="shared" si="39"/>
        <v>0</v>
      </c>
    </row>
    <row r="614" spans="1:13" x14ac:dyDescent="0.25">
      <c r="A614" s="31"/>
      <c r="B614" s="16" t="str">
        <f>IFERROR(VLOOKUP(A614,Consolidado!$B$1:$L$1500,2,FALSE),"")</f>
        <v/>
      </c>
      <c r="C614" s="16">
        <f>IFERROR(SUMIF(Consolidado!$B$1:$B$1500,VLOOKUP(RegistroPago!A614,Consolidado!$B$1:$L$1500,1,FALSE),Consolidado!$G$1:$G$1500),"")</f>
        <v>0</v>
      </c>
      <c r="D614" s="3"/>
      <c r="E614" s="3"/>
      <c r="F614" s="5" t="str">
        <f t="shared" si="36"/>
        <v/>
      </c>
      <c r="G614" s="16" t="str">
        <f>IF(D614&lt;&gt;"",D614-VLOOKUP(A614,Consolidado!$B$1:$L$1500,8,FALSE),"")</f>
        <v/>
      </c>
      <c r="H614" s="31"/>
      <c r="I614" s="32">
        <f t="shared" si="37"/>
        <v>0</v>
      </c>
      <c r="J614" s="33" t="str">
        <f t="shared" si="38"/>
        <v/>
      </c>
      <c r="K614" s="2"/>
      <c r="L614" s="15"/>
      <c r="M614" s="34">
        <f t="shared" si="39"/>
        <v>0</v>
      </c>
    </row>
    <row r="615" spans="1:13" x14ac:dyDescent="0.25">
      <c r="A615" s="31"/>
      <c r="B615" s="16" t="str">
        <f>IFERROR(VLOOKUP(A615,Consolidado!$B$1:$L$1500,2,FALSE),"")</f>
        <v/>
      </c>
      <c r="C615" s="16">
        <f>IFERROR(SUMIF(Consolidado!$B$1:$B$1500,VLOOKUP(RegistroPago!A615,Consolidado!$B$1:$L$1500,1,FALSE),Consolidado!$G$1:$G$1500),"")</f>
        <v>0</v>
      </c>
      <c r="D615" s="3"/>
      <c r="E615" s="3"/>
      <c r="F615" s="5" t="str">
        <f t="shared" si="36"/>
        <v/>
      </c>
      <c r="G615" s="16" t="str">
        <f>IF(D615&lt;&gt;"",D615-VLOOKUP(A615,Consolidado!$B$1:$L$1500,8,FALSE),"")</f>
        <v/>
      </c>
      <c r="H615" s="31"/>
      <c r="I615" s="32">
        <f t="shared" si="37"/>
        <v>0</v>
      </c>
      <c r="J615" s="33" t="str">
        <f t="shared" si="38"/>
        <v/>
      </c>
      <c r="K615" s="2"/>
      <c r="L615" s="15"/>
      <c r="M615" s="34">
        <f t="shared" si="39"/>
        <v>0</v>
      </c>
    </row>
    <row r="616" spans="1:13" x14ac:dyDescent="0.25">
      <c r="A616" s="31"/>
      <c r="B616" s="16" t="str">
        <f>IFERROR(VLOOKUP(A616,Consolidado!$B$1:$L$1500,2,FALSE),"")</f>
        <v/>
      </c>
      <c r="C616" s="16">
        <f>IFERROR(SUMIF(Consolidado!$B$1:$B$1500,VLOOKUP(RegistroPago!A616,Consolidado!$B$1:$L$1500,1,FALSE),Consolidado!$G$1:$G$1500),"")</f>
        <v>0</v>
      </c>
      <c r="D616" s="3"/>
      <c r="E616" s="3"/>
      <c r="F616" s="5" t="str">
        <f t="shared" si="36"/>
        <v/>
      </c>
      <c r="G616" s="16" t="str">
        <f>IF(D616&lt;&gt;"",D616-VLOOKUP(A616,Consolidado!$B$1:$L$1500,8,FALSE),"")</f>
        <v/>
      </c>
      <c r="H616" s="31"/>
      <c r="I616" s="32">
        <f t="shared" si="37"/>
        <v>0</v>
      </c>
      <c r="J616" s="33" t="str">
        <f t="shared" si="38"/>
        <v/>
      </c>
      <c r="K616" s="2"/>
      <c r="L616" s="15"/>
      <c r="M616" s="34">
        <f t="shared" si="39"/>
        <v>0</v>
      </c>
    </row>
    <row r="617" spans="1:13" x14ac:dyDescent="0.25">
      <c r="A617" s="31"/>
      <c r="B617" s="16" t="str">
        <f>IFERROR(VLOOKUP(A617,Consolidado!$B$1:$L$1500,2,FALSE),"")</f>
        <v/>
      </c>
      <c r="C617" s="16">
        <f>IFERROR(SUMIF(Consolidado!$B$1:$B$1500,VLOOKUP(RegistroPago!A617,Consolidado!$B$1:$L$1500,1,FALSE),Consolidado!$G$1:$G$1500),"")</f>
        <v>0</v>
      </c>
      <c r="D617" s="3"/>
      <c r="E617" s="3"/>
      <c r="F617" s="5" t="str">
        <f t="shared" si="36"/>
        <v/>
      </c>
      <c r="G617" s="16" t="str">
        <f>IF(D617&lt;&gt;"",D617-VLOOKUP(A617,Consolidado!$B$1:$L$1500,8,FALSE),"")</f>
        <v/>
      </c>
      <c r="H617" s="31"/>
      <c r="I617" s="32">
        <f t="shared" si="37"/>
        <v>0</v>
      </c>
      <c r="J617" s="33" t="str">
        <f t="shared" si="38"/>
        <v/>
      </c>
      <c r="K617" s="2"/>
      <c r="L617" s="15"/>
      <c r="M617" s="34">
        <f t="shared" si="39"/>
        <v>0</v>
      </c>
    </row>
    <row r="618" spans="1:13" x14ac:dyDescent="0.25">
      <c r="A618" s="31"/>
      <c r="B618" s="16" t="str">
        <f>IFERROR(VLOOKUP(A618,Consolidado!$B$1:$L$1500,2,FALSE),"")</f>
        <v/>
      </c>
      <c r="C618" s="16">
        <f>IFERROR(SUMIF(Consolidado!$B$1:$B$1500,VLOOKUP(RegistroPago!A618,Consolidado!$B$1:$L$1500,1,FALSE),Consolidado!$G$1:$G$1500),"")</f>
        <v>0</v>
      </c>
      <c r="D618" s="3"/>
      <c r="E618" s="3"/>
      <c r="F618" s="5" t="str">
        <f t="shared" si="36"/>
        <v/>
      </c>
      <c r="G618" s="16" t="str">
        <f>IF(D618&lt;&gt;"",D618-VLOOKUP(A618,Consolidado!$B$1:$L$1500,8,FALSE),"")</f>
        <v/>
      </c>
      <c r="H618" s="31"/>
      <c r="I618" s="32">
        <f t="shared" si="37"/>
        <v>0</v>
      </c>
      <c r="J618" s="33" t="str">
        <f t="shared" si="38"/>
        <v/>
      </c>
      <c r="K618" s="2"/>
      <c r="L618" s="15"/>
      <c r="M618" s="34">
        <f t="shared" si="39"/>
        <v>0</v>
      </c>
    </row>
    <row r="619" spans="1:13" x14ac:dyDescent="0.25">
      <c r="A619" s="31"/>
      <c r="B619" s="16" t="str">
        <f>IFERROR(VLOOKUP(A619,Consolidado!$B$1:$L$1500,2,FALSE),"")</f>
        <v/>
      </c>
      <c r="C619" s="16">
        <f>IFERROR(SUMIF(Consolidado!$B$1:$B$1500,VLOOKUP(RegistroPago!A619,Consolidado!$B$1:$L$1500,1,FALSE),Consolidado!$G$1:$G$1500),"")</f>
        <v>0</v>
      </c>
      <c r="D619" s="3"/>
      <c r="E619" s="3"/>
      <c r="F619" s="5" t="str">
        <f t="shared" si="36"/>
        <v/>
      </c>
      <c r="G619" s="16" t="str">
        <f>IF(D619&lt;&gt;"",D619-VLOOKUP(A619,Consolidado!$B$1:$L$1500,8,FALSE),"")</f>
        <v/>
      </c>
      <c r="H619" s="31"/>
      <c r="I619" s="32">
        <f t="shared" si="37"/>
        <v>0</v>
      </c>
      <c r="J619" s="33" t="str">
        <f t="shared" si="38"/>
        <v/>
      </c>
      <c r="K619" s="2"/>
      <c r="L619" s="15"/>
      <c r="M619" s="34">
        <f t="shared" si="39"/>
        <v>0</v>
      </c>
    </row>
    <row r="620" spans="1:13" x14ac:dyDescent="0.25">
      <c r="A620" s="31"/>
      <c r="B620" s="16" t="str">
        <f>IFERROR(VLOOKUP(A620,Consolidado!$B$1:$L$1500,2,FALSE),"")</f>
        <v/>
      </c>
      <c r="C620" s="16">
        <f>IFERROR(SUMIF(Consolidado!$B$1:$B$1500,VLOOKUP(RegistroPago!A620,Consolidado!$B$1:$L$1500,1,FALSE),Consolidado!$G$1:$G$1500),"")</f>
        <v>0</v>
      </c>
      <c r="D620" s="3"/>
      <c r="E620" s="3"/>
      <c r="F620" s="5" t="str">
        <f t="shared" si="36"/>
        <v/>
      </c>
      <c r="G620" s="16" t="str">
        <f>IF(D620&lt;&gt;"",D620-VLOOKUP(A620,Consolidado!$B$1:$L$1500,8,FALSE),"")</f>
        <v/>
      </c>
      <c r="H620" s="31"/>
      <c r="I620" s="32">
        <f t="shared" si="37"/>
        <v>0</v>
      </c>
      <c r="J620" s="33" t="str">
        <f t="shared" si="38"/>
        <v/>
      </c>
      <c r="K620" s="2"/>
      <c r="L620" s="15"/>
      <c r="M620" s="34">
        <f t="shared" si="39"/>
        <v>0</v>
      </c>
    </row>
    <row r="621" spans="1:13" x14ac:dyDescent="0.25">
      <c r="A621" s="31"/>
      <c r="B621" s="16" t="str">
        <f>IFERROR(VLOOKUP(A621,Consolidado!$B$1:$L$1500,2,FALSE),"")</f>
        <v/>
      </c>
      <c r="C621" s="16">
        <f>IFERROR(SUMIF(Consolidado!$B$1:$B$1500,VLOOKUP(RegistroPago!A621,Consolidado!$B$1:$L$1500,1,FALSE),Consolidado!$G$1:$G$1500),"")</f>
        <v>0</v>
      </c>
      <c r="D621" s="3"/>
      <c r="E621" s="3"/>
      <c r="F621" s="5" t="str">
        <f t="shared" si="36"/>
        <v/>
      </c>
      <c r="G621" s="16" t="str">
        <f>IF(D621&lt;&gt;"",D621-VLOOKUP(A621,Consolidado!$B$1:$L$1500,8,FALSE),"")</f>
        <v/>
      </c>
      <c r="H621" s="31"/>
      <c r="I621" s="32">
        <f t="shared" si="37"/>
        <v>0</v>
      </c>
      <c r="J621" s="33" t="str">
        <f t="shared" si="38"/>
        <v/>
      </c>
      <c r="K621" s="2"/>
      <c r="L621" s="15"/>
      <c r="M621" s="34">
        <f t="shared" si="39"/>
        <v>0</v>
      </c>
    </row>
    <row r="622" spans="1:13" x14ac:dyDescent="0.25">
      <c r="A622" s="31"/>
      <c r="B622" s="16" t="str">
        <f>IFERROR(VLOOKUP(A622,Consolidado!$B$1:$L$1500,2,FALSE),"")</f>
        <v/>
      </c>
      <c r="C622" s="16">
        <f>IFERROR(SUMIF(Consolidado!$B$1:$B$1500,VLOOKUP(RegistroPago!A622,Consolidado!$B$1:$L$1500,1,FALSE),Consolidado!$G$1:$G$1500),"")</f>
        <v>0</v>
      </c>
      <c r="D622" s="3"/>
      <c r="E622" s="3"/>
      <c r="F622" s="5" t="str">
        <f t="shared" si="36"/>
        <v/>
      </c>
      <c r="G622" s="16" t="str">
        <f>IF(D622&lt;&gt;"",D622-VLOOKUP(A622,Consolidado!$B$1:$L$1500,8,FALSE),"")</f>
        <v/>
      </c>
      <c r="H622" s="31"/>
      <c r="I622" s="32">
        <f t="shared" si="37"/>
        <v>0</v>
      </c>
      <c r="J622" s="33" t="str">
        <f t="shared" si="38"/>
        <v/>
      </c>
      <c r="K622" s="2"/>
      <c r="L622" s="15"/>
      <c r="M622" s="34">
        <f t="shared" si="39"/>
        <v>0</v>
      </c>
    </row>
    <row r="623" spans="1:13" x14ac:dyDescent="0.25">
      <c r="A623" s="31"/>
      <c r="B623" s="16" t="str">
        <f>IFERROR(VLOOKUP(A623,Consolidado!$B$1:$L$1500,2,FALSE),"")</f>
        <v/>
      </c>
      <c r="C623" s="16">
        <f>IFERROR(SUMIF(Consolidado!$B$1:$B$1500,VLOOKUP(RegistroPago!A623,Consolidado!$B$1:$L$1500,1,FALSE),Consolidado!$G$1:$G$1500),"")</f>
        <v>0</v>
      </c>
      <c r="D623" s="3"/>
      <c r="E623" s="3"/>
      <c r="F623" s="5" t="str">
        <f t="shared" si="36"/>
        <v/>
      </c>
      <c r="G623" s="16" t="str">
        <f>IF(D623&lt;&gt;"",D623-VLOOKUP(A623,Consolidado!$B$1:$L$1500,8,FALSE),"")</f>
        <v/>
      </c>
      <c r="H623" s="31"/>
      <c r="I623" s="32">
        <f t="shared" si="37"/>
        <v>0</v>
      </c>
      <c r="J623" s="33" t="str">
        <f t="shared" si="38"/>
        <v/>
      </c>
      <c r="K623" s="2"/>
      <c r="L623" s="15"/>
      <c r="M623" s="34">
        <f t="shared" si="39"/>
        <v>0</v>
      </c>
    </row>
    <row r="624" spans="1:13" x14ac:dyDescent="0.25">
      <c r="A624" s="31"/>
      <c r="B624" s="16" t="str">
        <f>IFERROR(VLOOKUP(A624,Consolidado!$B$1:$L$1500,2,FALSE),"")</f>
        <v/>
      </c>
      <c r="C624" s="16">
        <f>IFERROR(SUMIF(Consolidado!$B$1:$B$1500,VLOOKUP(RegistroPago!A624,Consolidado!$B$1:$L$1500,1,FALSE),Consolidado!$G$1:$G$1500),"")</f>
        <v>0</v>
      </c>
      <c r="D624" s="3"/>
      <c r="E624" s="3"/>
      <c r="F624" s="5" t="str">
        <f t="shared" si="36"/>
        <v/>
      </c>
      <c r="G624" s="16" t="str">
        <f>IF(D624&lt;&gt;"",D624-VLOOKUP(A624,Consolidado!$B$1:$L$1500,8,FALSE),"")</f>
        <v/>
      </c>
      <c r="H624" s="31"/>
      <c r="I624" s="32">
        <f t="shared" si="37"/>
        <v>0</v>
      </c>
      <c r="J624" s="33" t="str">
        <f t="shared" si="38"/>
        <v/>
      </c>
      <c r="K624" s="2"/>
      <c r="L624" s="15"/>
      <c r="M624" s="34">
        <f t="shared" si="39"/>
        <v>0</v>
      </c>
    </row>
    <row r="625" spans="1:13" x14ac:dyDescent="0.25">
      <c r="A625" s="31"/>
      <c r="B625" s="16" t="str">
        <f>IFERROR(VLOOKUP(A625,Consolidado!$B$1:$L$1500,2,FALSE),"")</f>
        <v/>
      </c>
      <c r="C625" s="16">
        <f>IFERROR(SUMIF(Consolidado!$B$1:$B$1500,VLOOKUP(RegistroPago!A625,Consolidado!$B$1:$L$1500,1,FALSE),Consolidado!$G$1:$G$1500),"")</f>
        <v>0</v>
      </c>
      <c r="D625" s="3"/>
      <c r="E625" s="3"/>
      <c r="F625" s="5" t="str">
        <f t="shared" si="36"/>
        <v/>
      </c>
      <c r="G625" s="16" t="str">
        <f>IF(D625&lt;&gt;"",D625-VLOOKUP(A625,Consolidado!$B$1:$L$1500,8,FALSE),"")</f>
        <v/>
      </c>
      <c r="H625" s="31"/>
      <c r="I625" s="32">
        <f t="shared" si="37"/>
        <v>0</v>
      </c>
      <c r="J625" s="33" t="str">
        <f t="shared" si="38"/>
        <v/>
      </c>
      <c r="K625" s="2"/>
      <c r="L625" s="15"/>
      <c r="M625" s="34">
        <f t="shared" si="39"/>
        <v>0</v>
      </c>
    </row>
    <row r="626" spans="1:13" x14ac:dyDescent="0.25">
      <c r="A626" s="31"/>
      <c r="B626" s="16" t="str">
        <f>IFERROR(VLOOKUP(A626,Consolidado!$B$1:$L$1500,2,FALSE),"")</f>
        <v/>
      </c>
      <c r="C626" s="16">
        <f>IFERROR(SUMIF(Consolidado!$B$1:$B$1500,VLOOKUP(RegistroPago!A626,Consolidado!$B$1:$L$1500,1,FALSE),Consolidado!$G$1:$G$1500),"")</f>
        <v>0</v>
      </c>
      <c r="D626" s="3"/>
      <c r="E626" s="3"/>
      <c r="F626" s="5" t="str">
        <f t="shared" si="36"/>
        <v/>
      </c>
      <c r="G626" s="16" t="str">
        <f>IF(D626&lt;&gt;"",D626-VLOOKUP(A626,Consolidado!$B$1:$L$1500,8,FALSE),"")</f>
        <v/>
      </c>
      <c r="H626" s="31"/>
      <c r="I626" s="32">
        <f t="shared" si="37"/>
        <v>0</v>
      </c>
      <c r="J626" s="33" t="str">
        <f t="shared" si="38"/>
        <v/>
      </c>
      <c r="K626" s="2"/>
      <c r="L626" s="15"/>
      <c r="M626" s="34">
        <f t="shared" si="39"/>
        <v>0</v>
      </c>
    </row>
    <row r="627" spans="1:13" x14ac:dyDescent="0.25">
      <c r="A627" s="31"/>
      <c r="B627" s="16" t="str">
        <f>IFERROR(VLOOKUP(A627,Consolidado!$B$1:$L$1500,2,FALSE),"")</f>
        <v/>
      </c>
      <c r="C627" s="16">
        <f>IFERROR(SUMIF(Consolidado!$B$1:$B$1500,VLOOKUP(RegistroPago!A627,Consolidado!$B$1:$L$1500,1,FALSE),Consolidado!$G$1:$G$1500),"")</f>
        <v>0</v>
      </c>
      <c r="D627" s="3"/>
      <c r="E627" s="3"/>
      <c r="F627" s="5" t="str">
        <f t="shared" si="36"/>
        <v/>
      </c>
      <c r="G627" s="16" t="str">
        <f>IF(D627&lt;&gt;"",D627-VLOOKUP(A627,Consolidado!$B$1:$L$1500,8,FALSE),"")</f>
        <v/>
      </c>
      <c r="H627" s="31"/>
      <c r="I627" s="32">
        <f t="shared" si="37"/>
        <v>0</v>
      </c>
      <c r="J627" s="33" t="str">
        <f t="shared" si="38"/>
        <v/>
      </c>
      <c r="K627" s="2"/>
      <c r="L627" s="15"/>
      <c r="M627" s="34">
        <f t="shared" si="39"/>
        <v>0</v>
      </c>
    </row>
    <row r="628" spans="1:13" x14ac:dyDescent="0.25">
      <c r="A628" s="31"/>
      <c r="B628" s="16" t="str">
        <f>IFERROR(VLOOKUP(A628,Consolidado!$B$1:$L$1500,2,FALSE),"")</f>
        <v/>
      </c>
      <c r="C628" s="16">
        <f>IFERROR(SUMIF(Consolidado!$B$1:$B$1500,VLOOKUP(RegistroPago!A628,Consolidado!$B$1:$L$1500,1,FALSE),Consolidado!$G$1:$G$1500),"")</f>
        <v>0</v>
      </c>
      <c r="D628" s="3"/>
      <c r="E628" s="3"/>
      <c r="F628" s="5" t="str">
        <f t="shared" si="36"/>
        <v/>
      </c>
      <c r="G628" s="16" t="str">
        <f>IF(D628&lt;&gt;"",D628-VLOOKUP(A628,Consolidado!$B$1:$L$1500,8,FALSE),"")</f>
        <v/>
      </c>
      <c r="H628" s="31"/>
      <c r="I628" s="32">
        <f t="shared" si="37"/>
        <v>0</v>
      </c>
      <c r="J628" s="33" t="str">
        <f t="shared" si="38"/>
        <v/>
      </c>
      <c r="K628" s="2"/>
      <c r="L628" s="15"/>
      <c r="M628" s="34">
        <f t="shared" si="39"/>
        <v>0</v>
      </c>
    </row>
    <row r="629" spans="1:13" x14ac:dyDescent="0.25">
      <c r="A629" s="31"/>
      <c r="B629" s="16" t="str">
        <f>IFERROR(VLOOKUP(A629,Consolidado!$B$1:$L$1500,2,FALSE),"")</f>
        <v/>
      </c>
      <c r="C629" s="16">
        <f>IFERROR(SUMIF(Consolidado!$B$1:$B$1500,VLOOKUP(RegistroPago!A629,Consolidado!$B$1:$L$1500,1,FALSE),Consolidado!$G$1:$G$1500),"")</f>
        <v>0</v>
      </c>
      <c r="D629" s="3"/>
      <c r="E629" s="3"/>
      <c r="F629" s="5" t="str">
        <f t="shared" si="36"/>
        <v/>
      </c>
      <c r="G629" s="16" t="str">
        <f>IF(D629&lt;&gt;"",D629-VLOOKUP(A629,Consolidado!$B$1:$L$1500,8,FALSE),"")</f>
        <v/>
      </c>
      <c r="H629" s="31"/>
      <c r="I629" s="32">
        <f t="shared" si="37"/>
        <v>0</v>
      </c>
      <c r="J629" s="33" t="str">
        <f t="shared" si="38"/>
        <v/>
      </c>
      <c r="K629" s="2"/>
      <c r="L629" s="15"/>
      <c r="M629" s="34">
        <f t="shared" si="39"/>
        <v>0</v>
      </c>
    </row>
    <row r="630" spans="1:13" x14ac:dyDescent="0.25">
      <c r="A630" s="31"/>
      <c r="B630" s="16" t="str">
        <f>IFERROR(VLOOKUP(A630,Consolidado!$B$1:$L$1500,2,FALSE),"")</f>
        <v/>
      </c>
      <c r="C630" s="16">
        <f>IFERROR(SUMIF(Consolidado!$B$1:$B$1500,VLOOKUP(RegistroPago!A630,Consolidado!$B$1:$L$1500,1,FALSE),Consolidado!$G$1:$G$1500),"")</f>
        <v>0</v>
      </c>
      <c r="D630" s="3"/>
      <c r="E630" s="3"/>
      <c r="F630" s="5" t="str">
        <f t="shared" si="36"/>
        <v/>
      </c>
      <c r="G630" s="16" t="str">
        <f>IF(D630&lt;&gt;"",D630-VLOOKUP(A630,Consolidado!$B$1:$L$1500,8,FALSE),"")</f>
        <v/>
      </c>
      <c r="H630" s="31"/>
      <c r="I630" s="32">
        <f t="shared" si="37"/>
        <v>0</v>
      </c>
      <c r="J630" s="33" t="str">
        <f t="shared" si="38"/>
        <v/>
      </c>
      <c r="K630" s="2"/>
      <c r="L630" s="15"/>
      <c r="M630" s="34">
        <f t="shared" si="39"/>
        <v>0</v>
      </c>
    </row>
    <row r="631" spans="1:13" x14ac:dyDescent="0.25">
      <c r="A631" s="31"/>
      <c r="B631" s="16" t="str">
        <f>IFERROR(VLOOKUP(A631,Consolidado!$B$1:$L$1500,2,FALSE),"")</f>
        <v/>
      </c>
      <c r="C631" s="16">
        <f>IFERROR(SUMIF(Consolidado!$B$1:$B$1500,VLOOKUP(RegistroPago!A631,Consolidado!$B$1:$L$1500,1,FALSE),Consolidado!$G$1:$G$1500),"")</f>
        <v>0</v>
      </c>
      <c r="D631" s="3"/>
      <c r="E631" s="3"/>
      <c r="F631" s="5" t="str">
        <f t="shared" si="36"/>
        <v/>
      </c>
      <c r="G631" s="16" t="str">
        <f>IF(D631&lt;&gt;"",D631-VLOOKUP(A631,Consolidado!$B$1:$L$1500,8,FALSE),"")</f>
        <v/>
      </c>
      <c r="H631" s="31"/>
      <c r="I631" s="32">
        <f t="shared" si="37"/>
        <v>0</v>
      </c>
      <c r="J631" s="33" t="str">
        <f t="shared" si="38"/>
        <v/>
      </c>
      <c r="K631" s="2"/>
      <c r="L631" s="15"/>
      <c r="M631" s="34">
        <f t="shared" si="39"/>
        <v>0</v>
      </c>
    </row>
    <row r="632" spans="1:13" x14ac:dyDescent="0.25">
      <c r="A632" s="31"/>
      <c r="B632" s="16" t="str">
        <f>IFERROR(VLOOKUP(A632,Consolidado!$B$1:$L$1500,2,FALSE),"")</f>
        <v/>
      </c>
      <c r="C632" s="16">
        <f>IFERROR(SUMIF(Consolidado!$B$1:$B$1500,VLOOKUP(RegistroPago!A632,Consolidado!$B$1:$L$1500,1,FALSE),Consolidado!$G$1:$G$1500),"")</f>
        <v>0</v>
      </c>
      <c r="D632" s="3"/>
      <c r="E632" s="3"/>
      <c r="F632" s="5" t="str">
        <f t="shared" si="36"/>
        <v/>
      </c>
      <c r="G632" s="16" t="str">
        <f>IF(D632&lt;&gt;"",D632-VLOOKUP(A632,Consolidado!$B$1:$L$1500,8,FALSE),"")</f>
        <v/>
      </c>
      <c r="H632" s="31"/>
      <c r="I632" s="32">
        <f t="shared" si="37"/>
        <v>0</v>
      </c>
      <c r="J632" s="33" t="str">
        <f t="shared" si="38"/>
        <v/>
      </c>
      <c r="K632" s="2"/>
      <c r="L632" s="15"/>
      <c r="M632" s="34">
        <f t="shared" si="39"/>
        <v>0</v>
      </c>
    </row>
    <row r="633" spans="1:13" x14ac:dyDescent="0.25">
      <c r="A633" s="31"/>
      <c r="B633" s="16" t="str">
        <f>IFERROR(VLOOKUP(A633,Consolidado!$B$1:$L$1500,2,FALSE),"")</f>
        <v/>
      </c>
      <c r="C633" s="16">
        <f>IFERROR(SUMIF(Consolidado!$B$1:$B$1500,VLOOKUP(RegistroPago!A633,Consolidado!$B$1:$L$1500,1,FALSE),Consolidado!$G$1:$G$1500),"")</f>
        <v>0</v>
      </c>
      <c r="D633" s="3"/>
      <c r="E633" s="3"/>
      <c r="F633" s="5" t="str">
        <f t="shared" si="36"/>
        <v/>
      </c>
      <c r="G633" s="16" t="str">
        <f>IF(D633&lt;&gt;"",D633-VLOOKUP(A633,Consolidado!$B$1:$L$1500,8,FALSE),"")</f>
        <v/>
      </c>
      <c r="H633" s="31"/>
      <c r="I633" s="32">
        <f t="shared" si="37"/>
        <v>0</v>
      </c>
      <c r="J633" s="33" t="str">
        <f t="shared" si="38"/>
        <v/>
      </c>
      <c r="K633" s="2"/>
      <c r="L633" s="15"/>
      <c r="M633" s="34">
        <f t="shared" si="39"/>
        <v>0</v>
      </c>
    </row>
    <row r="634" spans="1:13" x14ac:dyDescent="0.25">
      <c r="A634" s="31"/>
      <c r="B634" s="16" t="str">
        <f>IFERROR(VLOOKUP(A634,Consolidado!$B$1:$L$1500,2,FALSE),"")</f>
        <v/>
      </c>
      <c r="C634" s="16">
        <f>IFERROR(SUMIF(Consolidado!$B$1:$B$1500,VLOOKUP(RegistroPago!A634,Consolidado!$B$1:$L$1500,1,FALSE),Consolidado!$G$1:$G$1500),"")</f>
        <v>0</v>
      </c>
      <c r="D634" s="3"/>
      <c r="E634" s="3"/>
      <c r="F634" s="5" t="str">
        <f t="shared" si="36"/>
        <v/>
      </c>
      <c r="G634" s="16" t="str">
        <f>IF(D634&lt;&gt;"",D634-VLOOKUP(A634,Consolidado!$B$1:$L$1500,8,FALSE),"")</f>
        <v/>
      </c>
      <c r="H634" s="31"/>
      <c r="I634" s="32">
        <f t="shared" si="37"/>
        <v>0</v>
      </c>
      <c r="J634" s="33" t="str">
        <f t="shared" si="38"/>
        <v/>
      </c>
      <c r="K634" s="2"/>
      <c r="L634" s="15"/>
      <c r="M634" s="34">
        <f t="shared" si="39"/>
        <v>0</v>
      </c>
    </row>
    <row r="635" spans="1:13" x14ac:dyDescent="0.25">
      <c r="A635" s="31"/>
      <c r="B635" s="16" t="str">
        <f>IFERROR(VLOOKUP(A635,Consolidado!$B$1:$L$1500,2,FALSE),"")</f>
        <v/>
      </c>
      <c r="C635" s="16">
        <f>IFERROR(SUMIF(Consolidado!$B$1:$B$1500,VLOOKUP(RegistroPago!A635,Consolidado!$B$1:$L$1500,1,FALSE),Consolidado!$G$1:$G$1500),"")</f>
        <v>0</v>
      </c>
      <c r="D635" s="3"/>
      <c r="E635" s="3"/>
      <c r="F635" s="5" t="str">
        <f t="shared" si="36"/>
        <v/>
      </c>
      <c r="G635" s="16" t="str">
        <f>IF(D635&lt;&gt;"",D635-VLOOKUP(A635,Consolidado!$B$1:$L$1500,8,FALSE),"")</f>
        <v/>
      </c>
      <c r="H635" s="31"/>
      <c r="I635" s="32">
        <f t="shared" si="37"/>
        <v>0</v>
      </c>
      <c r="J635" s="33" t="str">
        <f t="shared" si="38"/>
        <v/>
      </c>
      <c r="K635" s="2"/>
      <c r="L635" s="15"/>
      <c r="M635" s="34">
        <f t="shared" si="39"/>
        <v>0</v>
      </c>
    </row>
    <row r="636" spans="1:13" x14ac:dyDescent="0.25">
      <c r="A636" s="31"/>
      <c r="B636" s="16" t="str">
        <f>IFERROR(VLOOKUP(A636,Consolidado!$B$1:$L$1500,2,FALSE),"")</f>
        <v/>
      </c>
      <c r="C636" s="16">
        <f>IFERROR(SUMIF(Consolidado!$B$1:$B$1500,VLOOKUP(RegistroPago!A636,Consolidado!$B$1:$L$1500,1,FALSE),Consolidado!$G$1:$G$1500),"")</f>
        <v>0</v>
      </c>
      <c r="D636" s="3"/>
      <c r="E636" s="3"/>
      <c r="F636" s="5" t="str">
        <f t="shared" si="36"/>
        <v/>
      </c>
      <c r="G636" s="16" t="str">
        <f>IF(D636&lt;&gt;"",D636-VLOOKUP(A636,Consolidado!$B$1:$L$1500,8,FALSE),"")</f>
        <v/>
      </c>
      <c r="H636" s="31"/>
      <c r="I636" s="32">
        <f t="shared" si="37"/>
        <v>0</v>
      </c>
      <c r="J636" s="33" t="str">
        <f t="shared" si="38"/>
        <v/>
      </c>
      <c r="K636" s="2"/>
      <c r="L636" s="15"/>
      <c r="M636" s="34">
        <f t="shared" si="39"/>
        <v>0</v>
      </c>
    </row>
    <row r="637" spans="1:13" x14ac:dyDescent="0.25">
      <c r="A637" s="31"/>
      <c r="B637" s="16" t="str">
        <f>IFERROR(VLOOKUP(A637,Consolidado!$B$1:$L$1500,2,FALSE),"")</f>
        <v/>
      </c>
      <c r="C637" s="16">
        <f>IFERROR(SUMIF(Consolidado!$B$1:$B$1500,VLOOKUP(RegistroPago!A637,Consolidado!$B$1:$L$1500,1,FALSE),Consolidado!$G$1:$G$1500),"")</f>
        <v>0</v>
      </c>
      <c r="D637" s="3"/>
      <c r="E637" s="3"/>
      <c r="F637" s="5" t="str">
        <f t="shared" si="36"/>
        <v/>
      </c>
      <c r="G637" s="16" t="str">
        <f>IF(D637&lt;&gt;"",D637-VLOOKUP(A637,Consolidado!$B$1:$L$1500,8,FALSE),"")</f>
        <v/>
      </c>
      <c r="H637" s="31"/>
      <c r="I637" s="32">
        <f t="shared" si="37"/>
        <v>0</v>
      </c>
      <c r="J637" s="33" t="str">
        <f t="shared" si="38"/>
        <v/>
      </c>
      <c r="K637" s="2"/>
      <c r="L637" s="15"/>
      <c r="M637" s="34">
        <f t="shared" si="39"/>
        <v>0</v>
      </c>
    </row>
    <row r="638" spans="1:13" x14ac:dyDescent="0.25">
      <c r="A638" s="31"/>
      <c r="B638" s="16" t="str">
        <f>IFERROR(VLOOKUP(A638,Consolidado!$B$1:$L$1500,2,FALSE),"")</f>
        <v/>
      </c>
      <c r="C638" s="16">
        <f>IFERROR(SUMIF(Consolidado!$B$1:$B$1500,VLOOKUP(RegistroPago!A638,Consolidado!$B$1:$L$1500,1,FALSE),Consolidado!$G$1:$G$1500),"")</f>
        <v>0</v>
      </c>
      <c r="D638" s="3"/>
      <c r="E638" s="3"/>
      <c r="F638" s="5" t="str">
        <f t="shared" si="36"/>
        <v/>
      </c>
      <c r="G638" s="16" t="str">
        <f>IF(D638&lt;&gt;"",D638-VLOOKUP(A638,Consolidado!$B$1:$L$1500,8,FALSE),"")</f>
        <v/>
      </c>
      <c r="H638" s="31"/>
      <c r="I638" s="32">
        <f t="shared" si="37"/>
        <v>0</v>
      </c>
      <c r="J638" s="33" t="str">
        <f t="shared" si="38"/>
        <v/>
      </c>
      <c r="K638" s="2"/>
      <c r="L638" s="15"/>
      <c r="M638" s="34">
        <f t="shared" si="39"/>
        <v>0</v>
      </c>
    </row>
    <row r="639" spans="1:13" x14ac:dyDescent="0.25">
      <c r="A639" s="31"/>
      <c r="B639" s="16" t="str">
        <f>IFERROR(VLOOKUP(A639,Consolidado!$B$1:$L$1500,2,FALSE),"")</f>
        <v/>
      </c>
      <c r="C639" s="16">
        <f>IFERROR(SUMIF(Consolidado!$B$1:$B$1500,VLOOKUP(RegistroPago!A639,Consolidado!$B$1:$L$1500,1,FALSE),Consolidado!$G$1:$G$1500),"")</f>
        <v>0</v>
      </c>
      <c r="D639" s="3"/>
      <c r="E639" s="3"/>
      <c r="F639" s="5" t="str">
        <f t="shared" si="36"/>
        <v/>
      </c>
      <c r="G639" s="16" t="str">
        <f>IF(D639&lt;&gt;"",D639-VLOOKUP(A639,Consolidado!$B$1:$L$1500,8,FALSE),"")</f>
        <v/>
      </c>
      <c r="H639" s="31"/>
      <c r="I639" s="32">
        <f t="shared" si="37"/>
        <v>0</v>
      </c>
      <c r="J639" s="33" t="str">
        <f t="shared" si="38"/>
        <v/>
      </c>
      <c r="K639" s="2"/>
      <c r="L639" s="15"/>
      <c r="M639" s="34">
        <f t="shared" si="39"/>
        <v>0</v>
      </c>
    </row>
    <row r="640" spans="1:13" x14ac:dyDescent="0.25">
      <c r="A640" s="31"/>
      <c r="B640" s="16" t="str">
        <f>IFERROR(VLOOKUP(A640,Consolidado!$B$1:$L$1500,2,FALSE),"")</f>
        <v/>
      </c>
      <c r="C640" s="16">
        <f>IFERROR(SUMIF(Consolidado!$B$1:$B$1500,VLOOKUP(RegistroPago!A640,Consolidado!$B$1:$L$1500,1,FALSE),Consolidado!$G$1:$G$1500),"")</f>
        <v>0</v>
      </c>
      <c r="D640" s="3"/>
      <c r="E640" s="3"/>
      <c r="F640" s="5" t="str">
        <f t="shared" si="36"/>
        <v/>
      </c>
      <c r="G640" s="16" t="str">
        <f>IF(D640&lt;&gt;"",D640-VLOOKUP(A640,Consolidado!$B$1:$L$1500,8,FALSE),"")</f>
        <v/>
      </c>
      <c r="H640" s="31"/>
      <c r="I640" s="32">
        <f t="shared" si="37"/>
        <v>0</v>
      </c>
      <c r="J640" s="33" t="str">
        <f t="shared" si="38"/>
        <v/>
      </c>
      <c r="K640" s="2"/>
      <c r="L640" s="15"/>
      <c r="M640" s="34">
        <f t="shared" si="39"/>
        <v>0</v>
      </c>
    </row>
    <row r="641" spans="1:13" x14ac:dyDescent="0.25">
      <c r="A641" s="31"/>
      <c r="B641" s="16" t="str">
        <f>IFERROR(VLOOKUP(A641,Consolidado!$B$1:$L$1500,2,FALSE),"")</f>
        <v/>
      </c>
      <c r="C641" s="16">
        <f>IFERROR(SUMIF(Consolidado!$B$1:$B$1500,VLOOKUP(RegistroPago!A641,Consolidado!$B$1:$L$1500,1,FALSE),Consolidado!$G$1:$G$1500),"")</f>
        <v>0</v>
      </c>
      <c r="D641" s="3"/>
      <c r="E641" s="3"/>
      <c r="F641" s="5" t="str">
        <f t="shared" si="36"/>
        <v/>
      </c>
      <c r="G641" s="16" t="str">
        <f>IF(D641&lt;&gt;"",D641-VLOOKUP(A641,Consolidado!$B$1:$L$1500,8,FALSE),"")</f>
        <v/>
      </c>
      <c r="H641" s="31"/>
      <c r="I641" s="32">
        <f t="shared" si="37"/>
        <v>0</v>
      </c>
      <c r="J641" s="33" t="str">
        <f t="shared" si="38"/>
        <v/>
      </c>
      <c r="K641" s="2"/>
      <c r="L641" s="15"/>
      <c r="M641" s="34">
        <f t="shared" si="39"/>
        <v>0</v>
      </c>
    </row>
    <row r="642" spans="1:13" x14ac:dyDescent="0.25">
      <c r="A642" s="31"/>
      <c r="B642" s="16" t="str">
        <f>IFERROR(VLOOKUP(A642,Consolidado!$B$1:$L$1500,2,FALSE),"")</f>
        <v/>
      </c>
      <c r="C642" s="16">
        <f>IFERROR(SUMIF(Consolidado!$B$1:$B$1500,VLOOKUP(RegistroPago!A642,Consolidado!$B$1:$L$1500,1,FALSE),Consolidado!$G$1:$G$1500),"")</f>
        <v>0</v>
      </c>
      <c r="D642" s="3"/>
      <c r="E642" s="3"/>
      <c r="F642" s="5" t="str">
        <f t="shared" si="36"/>
        <v/>
      </c>
      <c r="G642" s="16" t="str">
        <f>IF(D642&lt;&gt;"",D642-VLOOKUP(A642,Consolidado!$B$1:$L$1500,8,FALSE),"")</f>
        <v/>
      </c>
      <c r="H642" s="31"/>
      <c r="I642" s="32">
        <f t="shared" si="37"/>
        <v>0</v>
      </c>
      <c r="J642" s="33" t="str">
        <f t="shared" si="38"/>
        <v/>
      </c>
      <c r="K642" s="2"/>
      <c r="L642" s="15"/>
      <c r="M642" s="34">
        <f t="shared" si="39"/>
        <v>0</v>
      </c>
    </row>
    <row r="643" spans="1:13" x14ac:dyDescent="0.25">
      <c r="A643" s="31"/>
      <c r="B643" s="16" t="str">
        <f>IFERROR(VLOOKUP(A643,Consolidado!$B$1:$L$1500,2,FALSE),"")</f>
        <v/>
      </c>
      <c r="C643" s="16">
        <f>IFERROR(SUMIF(Consolidado!$B$1:$B$1500,VLOOKUP(RegistroPago!A643,Consolidado!$B$1:$L$1500,1,FALSE),Consolidado!$G$1:$G$1500),"")</f>
        <v>0</v>
      </c>
      <c r="D643" s="3"/>
      <c r="E643" s="3"/>
      <c r="F643" s="5" t="str">
        <f t="shared" ref="F643:F706" si="40">IF(COUNTIF($E$2:$E$2000,E643)&gt;1,"Ya registrado","")</f>
        <v/>
      </c>
      <c r="G643" s="16" t="str">
        <f>IF(D643&lt;&gt;"",D643-VLOOKUP(A643,Consolidado!$B$1:$L$1500,8,FALSE),"")</f>
        <v/>
      </c>
      <c r="H643" s="31"/>
      <c r="I643" s="32">
        <f t="shared" ref="I643:I706" si="41">IFERROR(SUMIF($E$1:$E$2000,H643,$C$1:$C$2000)-SUMIF($E$1:$E$2000,H643,$F$1:$F$2000),"")</f>
        <v>0</v>
      </c>
      <c r="J643" s="33" t="str">
        <f t="shared" ref="J643:J706" si="42">IFERROR(I643/SUMIF($E$1:$E$2000,H643,$C$1:$C$2000),"")</f>
        <v/>
      </c>
      <c r="K643" s="2"/>
      <c r="L643" s="15"/>
      <c r="M643" s="34">
        <f t="shared" ref="M643:M706" si="43">IFERROR(L643*SUMIF($E$1:$E$2000,H643,$F$1:$F$2000),"")</f>
        <v>0</v>
      </c>
    </row>
    <row r="644" spans="1:13" x14ac:dyDescent="0.25">
      <c r="A644" s="31"/>
      <c r="B644" s="16" t="str">
        <f>IFERROR(VLOOKUP(A644,Consolidado!$B$1:$L$1500,2,FALSE),"")</f>
        <v/>
      </c>
      <c r="C644" s="16">
        <f>IFERROR(SUMIF(Consolidado!$B$1:$B$1500,VLOOKUP(RegistroPago!A644,Consolidado!$B$1:$L$1500,1,FALSE),Consolidado!$G$1:$G$1500),"")</f>
        <v>0</v>
      </c>
      <c r="D644" s="3"/>
      <c r="E644" s="3"/>
      <c r="F644" s="5" t="str">
        <f t="shared" si="40"/>
        <v/>
      </c>
      <c r="G644" s="16" t="str">
        <f>IF(D644&lt;&gt;"",D644-VLOOKUP(A644,Consolidado!$B$1:$L$1500,8,FALSE),"")</f>
        <v/>
      </c>
      <c r="H644" s="31"/>
      <c r="I644" s="32">
        <f t="shared" si="41"/>
        <v>0</v>
      </c>
      <c r="J644" s="33" t="str">
        <f t="shared" si="42"/>
        <v/>
      </c>
      <c r="K644" s="2"/>
      <c r="L644" s="15"/>
      <c r="M644" s="34">
        <f t="shared" si="43"/>
        <v>0</v>
      </c>
    </row>
    <row r="645" spans="1:13" x14ac:dyDescent="0.25">
      <c r="A645" s="31"/>
      <c r="B645" s="16" t="str">
        <f>IFERROR(VLOOKUP(A645,Consolidado!$B$1:$L$1500,2,FALSE),"")</f>
        <v/>
      </c>
      <c r="C645" s="16">
        <f>IFERROR(SUMIF(Consolidado!$B$1:$B$1500,VLOOKUP(RegistroPago!A645,Consolidado!$B$1:$L$1500,1,FALSE),Consolidado!$G$1:$G$1500),"")</f>
        <v>0</v>
      </c>
      <c r="D645" s="3"/>
      <c r="E645" s="3"/>
      <c r="F645" s="5" t="str">
        <f t="shared" si="40"/>
        <v/>
      </c>
      <c r="G645" s="16" t="str">
        <f>IF(D645&lt;&gt;"",D645-VLOOKUP(A645,Consolidado!$B$1:$L$1500,8,FALSE),"")</f>
        <v/>
      </c>
      <c r="H645" s="31"/>
      <c r="I645" s="32">
        <f t="shared" si="41"/>
        <v>0</v>
      </c>
      <c r="J645" s="33" t="str">
        <f t="shared" si="42"/>
        <v/>
      </c>
      <c r="K645" s="2"/>
      <c r="L645" s="15"/>
      <c r="M645" s="34">
        <f t="shared" si="43"/>
        <v>0</v>
      </c>
    </row>
    <row r="646" spans="1:13" x14ac:dyDescent="0.25">
      <c r="A646" s="31"/>
      <c r="B646" s="16" t="str">
        <f>IFERROR(VLOOKUP(A646,Consolidado!$B$1:$L$1500,2,FALSE),"")</f>
        <v/>
      </c>
      <c r="C646" s="16">
        <f>IFERROR(SUMIF(Consolidado!$B$1:$B$1500,VLOOKUP(RegistroPago!A646,Consolidado!$B$1:$L$1500,1,FALSE),Consolidado!$G$1:$G$1500),"")</f>
        <v>0</v>
      </c>
      <c r="D646" s="3"/>
      <c r="E646" s="3"/>
      <c r="F646" s="5" t="str">
        <f t="shared" si="40"/>
        <v/>
      </c>
      <c r="G646" s="16" t="str">
        <f>IF(D646&lt;&gt;"",D646-VLOOKUP(A646,Consolidado!$B$1:$L$1500,8,FALSE),"")</f>
        <v/>
      </c>
      <c r="H646" s="31"/>
      <c r="I646" s="32">
        <f t="shared" si="41"/>
        <v>0</v>
      </c>
      <c r="J646" s="33" t="str">
        <f t="shared" si="42"/>
        <v/>
      </c>
      <c r="K646" s="2"/>
      <c r="L646" s="15"/>
      <c r="M646" s="34">
        <f t="shared" si="43"/>
        <v>0</v>
      </c>
    </row>
    <row r="647" spans="1:13" x14ac:dyDescent="0.25">
      <c r="A647" s="31"/>
      <c r="B647" s="16" t="str">
        <f>IFERROR(VLOOKUP(A647,Consolidado!$B$1:$L$1500,2,FALSE),"")</f>
        <v/>
      </c>
      <c r="C647" s="16">
        <f>IFERROR(SUMIF(Consolidado!$B$1:$B$1500,VLOOKUP(RegistroPago!A647,Consolidado!$B$1:$L$1500,1,FALSE),Consolidado!$G$1:$G$1500),"")</f>
        <v>0</v>
      </c>
      <c r="D647" s="3"/>
      <c r="E647" s="3"/>
      <c r="F647" s="5" t="str">
        <f t="shared" si="40"/>
        <v/>
      </c>
      <c r="G647" s="16" t="str">
        <f>IF(D647&lt;&gt;"",D647-VLOOKUP(A647,Consolidado!$B$1:$L$1500,8,FALSE),"")</f>
        <v/>
      </c>
      <c r="H647" s="31"/>
      <c r="I647" s="32">
        <f t="shared" si="41"/>
        <v>0</v>
      </c>
      <c r="J647" s="33" t="str">
        <f t="shared" si="42"/>
        <v/>
      </c>
      <c r="K647" s="2"/>
      <c r="L647" s="15"/>
      <c r="M647" s="34">
        <f t="shared" si="43"/>
        <v>0</v>
      </c>
    </row>
    <row r="648" spans="1:13" x14ac:dyDescent="0.25">
      <c r="A648" s="31"/>
      <c r="B648" s="16" t="str">
        <f>IFERROR(VLOOKUP(A648,Consolidado!$B$1:$L$1500,2,FALSE),"")</f>
        <v/>
      </c>
      <c r="C648" s="16">
        <f>IFERROR(SUMIF(Consolidado!$B$1:$B$1500,VLOOKUP(RegistroPago!A648,Consolidado!$B$1:$L$1500,1,FALSE),Consolidado!$G$1:$G$1500),"")</f>
        <v>0</v>
      </c>
      <c r="D648" s="3"/>
      <c r="E648" s="3"/>
      <c r="F648" s="5" t="str">
        <f t="shared" si="40"/>
        <v/>
      </c>
      <c r="G648" s="16" t="str">
        <f>IF(D648&lt;&gt;"",D648-VLOOKUP(A648,Consolidado!$B$1:$L$1500,8,FALSE),"")</f>
        <v/>
      </c>
      <c r="H648" s="31"/>
      <c r="I648" s="32">
        <f t="shared" si="41"/>
        <v>0</v>
      </c>
      <c r="J648" s="33" t="str">
        <f t="shared" si="42"/>
        <v/>
      </c>
      <c r="K648" s="2"/>
      <c r="L648" s="15"/>
      <c r="M648" s="34">
        <f t="shared" si="43"/>
        <v>0</v>
      </c>
    </row>
    <row r="649" spans="1:13" x14ac:dyDescent="0.25">
      <c r="A649" s="31"/>
      <c r="B649" s="16" t="str">
        <f>IFERROR(VLOOKUP(A649,Consolidado!$B$1:$L$1500,2,FALSE),"")</f>
        <v/>
      </c>
      <c r="C649" s="16">
        <f>IFERROR(SUMIF(Consolidado!$B$1:$B$1500,VLOOKUP(RegistroPago!A649,Consolidado!$B$1:$L$1500,1,FALSE),Consolidado!$G$1:$G$1500),"")</f>
        <v>0</v>
      </c>
      <c r="D649" s="3"/>
      <c r="E649" s="3"/>
      <c r="F649" s="5" t="str">
        <f t="shared" si="40"/>
        <v/>
      </c>
      <c r="G649" s="16" t="str">
        <f>IF(D649&lt;&gt;"",D649-VLOOKUP(A649,Consolidado!$B$1:$L$1500,8,FALSE),"")</f>
        <v/>
      </c>
      <c r="H649" s="31"/>
      <c r="I649" s="32">
        <f t="shared" si="41"/>
        <v>0</v>
      </c>
      <c r="J649" s="33" t="str">
        <f t="shared" si="42"/>
        <v/>
      </c>
      <c r="K649" s="2"/>
      <c r="L649" s="15"/>
      <c r="M649" s="34">
        <f t="shared" si="43"/>
        <v>0</v>
      </c>
    </row>
    <row r="650" spans="1:13" x14ac:dyDescent="0.25">
      <c r="A650" s="31"/>
      <c r="B650" s="16" t="str">
        <f>IFERROR(VLOOKUP(A650,Consolidado!$B$1:$L$1500,2,FALSE),"")</f>
        <v/>
      </c>
      <c r="C650" s="16">
        <f>IFERROR(SUMIF(Consolidado!$B$1:$B$1500,VLOOKUP(RegistroPago!A650,Consolidado!$B$1:$L$1500,1,FALSE),Consolidado!$G$1:$G$1500),"")</f>
        <v>0</v>
      </c>
      <c r="D650" s="3"/>
      <c r="E650" s="3"/>
      <c r="F650" s="5" t="str">
        <f t="shared" si="40"/>
        <v/>
      </c>
      <c r="G650" s="16" t="str">
        <f>IF(D650&lt;&gt;"",D650-VLOOKUP(A650,Consolidado!$B$1:$L$1500,8,FALSE),"")</f>
        <v/>
      </c>
      <c r="H650" s="31"/>
      <c r="I650" s="32">
        <f t="shared" si="41"/>
        <v>0</v>
      </c>
      <c r="J650" s="33" t="str">
        <f t="shared" si="42"/>
        <v/>
      </c>
      <c r="K650" s="2"/>
      <c r="L650" s="15"/>
      <c r="M650" s="34">
        <f t="shared" si="43"/>
        <v>0</v>
      </c>
    </row>
    <row r="651" spans="1:13" x14ac:dyDescent="0.25">
      <c r="A651" s="31"/>
      <c r="B651" s="16" t="str">
        <f>IFERROR(VLOOKUP(A651,Consolidado!$B$1:$L$1500,2,FALSE),"")</f>
        <v/>
      </c>
      <c r="C651" s="16">
        <f>IFERROR(SUMIF(Consolidado!$B$1:$B$1500,VLOOKUP(RegistroPago!A651,Consolidado!$B$1:$L$1500,1,FALSE),Consolidado!$G$1:$G$1500),"")</f>
        <v>0</v>
      </c>
      <c r="D651" s="3"/>
      <c r="E651" s="3"/>
      <c r="F651" s="5" t="str">
        <f t="shared" si="40"/>
        <v/>
      </c>
      <c r="G651" s="16" t="str">
        <f>IF(D651&lt;&gt;"",D651-VLOOKUP(A651,Consolidado!$B$1:$L$1500,8,FALSE),"")</f>
        <v/>
      </c>
      <c r="H651" s="31"/>
      <c r="I651" s="32">
        <f t="shared" si="41"/>
        <v>0</v>
      </c>
      <c r="J651" s="33" t="str">
        <f t="shared" si="42"/>
        <v/>
      </c>
      <c r="K651" s="2"/>
      <c r="L651" s="15"/>
      <c r="M651" s="34">
        <f t="shared" si="43"/>
        <v>0</v>
      </c>
    </row>
    <row r="652" spans="1:13" x14ac:dyDescent="0.25">
      <c r="A652" s="31"/>
      <c r="B652" s="16" t="str">
        <f>IFERROR(VLOOKUP(A652,Consolidado!$B$1:$L$1500,2,FALSE),"")</f>
        <v/>
      </c>
      <c r="C652" s="16">
        <f>IFERROR(SUMIF(Consolidado!$B$1:$B$1500,VLOOKUP(RegistroPago!A652,Consolidado!$B$1:$L$1500,1,FALSE),Consolidado!$G$1:$G$1500),"")</f>
        <v>0</v>
      </c>
      <c r="D652" s="3"/>
      <c r="E652" s="3"/>
      <c r="F652" s="5" t="str">
        <f t="shared" si="40"/>
        <v/>
      </c>
      <c r="G652" s="16" t="str">
        <f>IF(D652&lt;&gt;"",D652-VLOOKUP(A652,Consolidado!$B$1:$L$1500,8,FALSE),"")</f>
        <v/>
      </c>
      <c r="H652" s="31"/>
      <c r="I652" s="32">
        <f t="shared" si="41"/>
        <v>0</v>
      </c>
      <c r="J652" s="33" t="str">
        <f t="shared" si="42"/>
        <v/>
      </c>
      <c r="K652" s="2"/>
      <c r="L652" s="15"/>
      <c r="M652" s="34">
        <f t="shared" si="43"/>
        <v>0</v>
      </c>
    </row>
    <row r="653" spans="1:13" x14ac:dyDescent="0.25">
      <c r="A653" s="31"/>
      <c r="B653" s="16" t="str">
        <f>IFERROR(VLOOKUP(A653,Consolidado!$B$1:$L$1500,2,FALSE),"")</f>
        <v/>
      </c>
      <c r="C653" s="16">
        <f>IFERROR(SUMIF(Consolidado!$B$1:$B$1500,VLOOKUP(RegistroPago!A653,Consolidado!$B$1:$L$1500,1,FALSE),Consolidado!$G$1:$G$1500),"")</f>
        <v>0</v>
      </c>
      <c r="D653" s="3"/>
      <c r="E653" s="3"/>
      <c r="F653" s="5" t="str">
        <f t="shared" si="40"/>
        <v/>
      </c>
      <c r="G653" s="16" t="str">
        <f>IF(D653&lt;&gt;"",D653-VLOOKUP(A653,Consolidado!$B$1:$L$1500,8,FALSE),"")</f>
        <v/>
      </c>
      <c r="H653" s="31"/>
      <c r="I653" s="32">
        <f t="shared" si="41"/>
        <v>0</v>
      </c>
      <c r="J653" s="33" t="str">
        <f t="shared" si="42"/>
        <v/>
      </c>
      <c r="K653" s="2"/>
      <c r="L653" s="15"/>
      <c r="M653" s="34">
        <f t="shared" si="43"/>
        <v>0</v>
      </c>
    </row>
    <row r="654" spans="1:13" x14ac:dyDescent="0.25">
      <c r="A654" s="31"/>
      <c r="B654" s="16" t="str">
        <f>IFERROR(VLOOKUP(A654,Consolidado!$B$1:$L$1500,2,FALSE),"")</f>
        <v/>
      </c>
      <c r="C654" s="16">
        <f>IFERROR(SUMIF(Consolidado!$B$1:$B$1500,VLOOKUP(RegistroPago!A654,Consolidado!$B$1:$L$1500,1,FALSE),Consolidado!$G$1:$G$1500),"")</f>
        <v>0</v>
      </c>
      <c r="D654" s="3"/>
      <c r="E654" s="3"/>
      <c r="F654" s="5" t="str">
        <f t="shared" si="40"/>
        <v/>
      </c>
      <c r="G654" s="16" t="str">
        <f>IF(D654&lt;&gt;"",D654-VLOOKUP(A654,Consolidado!$B$1:$L$1500,8,FALSE),"")</f>
        <v/>
      </c>
      <c r="H654" s="31"/>
      <c r="I654" s="32">
        <f t="shared" si="41"/>
        <v>0</v>
      </c>
      <c r="J654" s="33" t="str">
        <f t="shared" si="42"/>
        <v/>
      </c>
      <c r="K654" s="2"/>
      <c r="L654" s="15"/>
      <c r="M654" s="34">
        <f t="shared" si="43"/>
        <v>0</v>
      </c>
    </row>
    <row r="655" spans="1:13" x14ac:dyDescent="0.25">
      <c r="A655" s="31"/>
      <c r="B655" s="16" t="str">
        <f>IFERROR(VLOOKUP(A655,Consolidado!$B$1:$L$1500,2,FALSE),"")</f>
        <v/>
      </c>
      <c r="C655" s="16">
        <f>IFERROR(SUMIF(Consolidado!$B$1:$B$1500,VLOOKUP(RegistroPago!A655,Consolidado!$B$1:$L$1500,1,FALSE),Consolidado!$G$1:$G$1500),"")</f>
        <v>0</v>
      </c>
      <c r="D655" s="3"/>
      <c r="E655" s="3"/>
      <c r="F655" s="5" t="str">
        <f t="shared" si="40"/>
        <v/>
      </c>
      <c r="G655" s="16" t="str">
        <f>IF(D655&lt;&gt;"",D655-VLOOKUP(A655,Consolidado!$B$1:$L$1500,8,FALSE),"")</f>
        <v/>
      </c>
      <c r="H655" s="31"/>
      <c r="I655" s="32">
        <f t="shared" si="41"/>
        <v>0</v>
      </c>
      <c r="J655" s="33" t="str">
        <f t="shared" si="42"/>
        <v/>
      </c>
      <c r="K655" s="2"/>
      <c r="L655" s="15"/>
      <c r="M655" s="34">
        <f t="shared" si="43"/>
        <v>0</v>
      </c>
    </row>
    <row r="656" spans="1:13" x14ac:dyDescent="0.25">
      <c r="A656" s="31"/>
      <c r="B656" s="16" t="str">
        <f>IFERROR(VLOOKUP(A656,Consolidado!$B$1:$L$1500,2,FALSE),"")</f>
        <v/>
      </c>
      <c r="C656" s="16">
        <f>IFERROR(SUMIF(Consolidado!$B$1:$B$1500,VLOOKUP(RegistroPago!A656,Consolidado!$B$1:$L$1500,1,FALSE),Consolidado!$G$1:$G$1500),"")</f>
        <v>0</v>
      </c>
      <c r="D656" s="3"/>
      <c r="E656" s="3"/>
      <c r="F656" s="5" t="str">
        <f t="shared" si="40"/>
        <v/>
      </c>
      <c r="G656" s="16" t="str">
        <f>IF(D656&lt;&gt;"",D656-VLOOKUP(A656,Consolidado!$B$1:$L$1500,8,FALSE),"")</f>
        <v/>
      </c>
      <c r="H656" s="31"/>
      <c r="I656" s="32">
        <f t="shared" si="41"/>
        <v>0</v>
      </c>
      <c r="J656" s="33" t="str">
        <f t="shared" si="42"/>
        <v/>
      </c>
      <c r="K656" s="2"/>
      <c r="L656" s="15"/>
      <c r="M656" s="34">
        <f t="shared" si="43"/>
        <v>0</v>
      </c>
    </row>
    <row r="657" spans="1:13" x14ac:dyDescent="0.25">
      <c r="A657" s="31"/>
      <c r="B657" s="16" t="str">
        <f>IFERROR(VLOOKUP(A657,Consolidado!$B$1:$L$1500,2,FALSE),"")</f>
        <v/>
      </c>
      <c r="C657" s="16">
        <f>IFERROR(SUMIF(Consolidado!$B$1:$B$1500,VLOOKUP(RegistroPago!A657,Consolidado!$B$1:$L$1500,1,FALSE),Consolidado!$G$1:$G$1500),"")</f>
        <v>0</v>
      </c>
      <c r="D657" s="3"/>
      <c r="E657" s="3"/>
      <c r="F657" s="5" t="str">
        <f t="shared" si="40"/>
        <v/>
      </c>
      <c r="G657" s="16" t="str">
        <f>IF(D657&lt;&gt;"",D657-VLOOKUP(A657,Consolidado!$B$1:$L$1500,8,FALSE),"")</f>
        <v/>
      </c>
      <c r="H657" s="31"/>
      <c r="I657" s="32">
        <f t="shared" si="41"/>
        <v>0</v>
      </c>
      <c r="J657" s="33" t="str">
        <f t="shared" si="42"/>
        <v/>
      </c>
      <c r="K657" s="2"/>
      <c r="L657" s="15"/>
      <c r="M657" s="34">
        <f t="shared" si="43"/>
        <v>0</v>
      </c>
    </row>
    <row r="658" spans="1:13" x14ac:dyDescent="0.25">
      <c r="A658" s="31"/>
      <c r="B658" s="16" t="str">
        <f>IFERROR(VLOOKUP(A658,Consolidado!$B$1:$L$1500,2,FALSE),"")</f>
        <v/>
      </c>
      <c r="C658" s="16">
        <f>IFERROR(SUMIF(Consolidado!$B$1:$B$1500,VLOOKUP(RegistroPago!A658,Consolidado!$B$1:$L$1500,1,FALSE),Consolidado!$G$1:$G$1500),"")</f>
        <v>0</v>
      </c>
      <c r="D658" s="3"/>
      <c r="E658" s="3"/>
      <c r="F658" s="5" t="str">
        <f t="shared" si="40"/>
        <v/>
      </c>
      <c r="G658" s="16" t="str">
        <f>IF(D658&lt;&gt;"",D658-VLOOKUP(A658,Consolidado!$B$1:$L$1500,8,FALSE),"")</f>
        <v/>
      </c>
      <c r="H658" s="31"/>
      <c r="I658" s="32">
        <f t="shared" si="41"/>
        <v>0</v>
      </c>
      <c r="J658" s="33" t="str">
        <f t="shared" si="42"/>
        <v/>
      </c>
      <c r="K658" s="2"/>
      <c r="L658" s="15"/>
      <c r="M658" s="34">
        <f t="shared" si="43"/>
        <v>0</v>
      </c>
    </row>
    <row r="659" spans="1:13" x14ac:dyDescent="0.25">
      <c r="A659" s="31"/>
      <c r="B659" s="16" t="str">
        <f>IFERROR(VLOOKUP(A659,Consolidado!$B$1:$L$1500,2,FALSE),"")</f>
        <v/>
      </c>
      <c r="C659" s="16">
        <f>IFERROR(SUMIF(Consolidado!$B$1:$B$1500,VLOOKUP(RegistroPago!A659,Consolidado!$B$1:$L$1500,1,FALSE),Consolidado!$G$1:$G$1500),"")</f>
        <v>0</v>
      </c>
      <c r="D659" s="3"/>
      <c r="E659" s="3"/>
      <c r="F659" s="5" t="str">
        <f t="shared" si="40"/>
        <v/>
      </c>
      <c r="G659" s="16" t="str">
        <f>IF(D659&lt;&gt;"",D659-VLOOKUP(A659,Consolidado!$B$1:$L$1500,8,FALSE),"")</f>
        <v/>
      </c>
      <c r="H659" s="31"/>
      <c r="I659" s="32">
        <f t="shared" si="41"/>
        <v>0</v>
      </c>
      <c r="J659" s="33" t="str">
        <f t="shared" si="42"/>
        <v/>
      </c>
      <c r="K659" s="2"/>
      <c r="L659" s="15"/>
      <c r="M659" s="34">
        <f t="shared" si="43"/>
        <v>0</v>
      </c>
    </row>
    <row r="660" spans="1:13" x14ac:dyDescent="0.25">
      <c r="A660" s="31"/>
      <c r="B660" s="16" t="str">
        <f>IFERROR(VLOOKUP(A660,Consolidado!$B$1:$L$1500,2,FALSE),"")</f>
        <v/>
      </c>
      <c r="C660" s="16">
        <f>IFERROR(SUMIF(Consolidado!$B$1:$B$1500,VLOOKUP(RegistroPago!A660,Consolidado!$B$1:$L$1500,1,FALSE),Consolidado!$G$1:$G$1500),"")</f>
        <v>0</v>
      </c>
      <c r="D660" s="3"/>
      <c r="E660" s="3"/>
      <c r="F660" s="5" t="str">
        <f t="shared" si="40"/>
        <v/>
      </c>
      <c r="G660" s="16" t="str">
        <f>IF(D660&lt;&gt;"",D660-VLOOKUP(A660,Consolidado!$B$1:$L$1500,8,FALSE),"")</f>
        <v/>
      </c>
      <c r="H660" s="31"/>
      <c r="I660" s="32">
        <f t="shared" si="41"/>
        <v>0</v>
      </c>
      <c r="J660" s="33" t="str">
        <f t="shared" si="42"/>
        <v/>
      </c>
      <c r="K660" s="2"/>
      <c r="L660" s="15"/>
      <c r="M660" s="34">
        <f t="shared" si="43"/>
        <v>0</v>
      </c>
    </row>
    <row r="661" spans="1:13" x14ac:dyDescent="0.25">
      <c r="A661" s="31"/>
      <c r="B661" s="16" t="str">
        <f>IFERROR(VLOOKUP(A661,Consolidado!$B$1:$L$1500,2,FALSE),"")</f>
        <v/>
      </c>
      <c r="C661" s="16">
        <f>IFERROR(SUMIF(Consolidado!$B$1:$B$1500,VLOOKUP(RegistroPago!A661,Consolidado!$B$1:$L$1500,1,FALSE),Consolidado!$G$1:$G$1500),"")</f>
        <v>0</v>
      </c>
      <c r="D661" s="3"/>
      <c r="E661" s="3"/>
      <c r="F661" s="5" t="str">
        <f t="shared" si="40"/>
        <v/>
      </c>
      <c r="G661" s="16" t="str">
        <f>IF(D661&lt;&gt;"",D661-VLOOKUP(A661,Consolidado!$B$1:$L$1500,8,FALSE),"")</f>
        <v/>
      </c>
      <c r="H661" s="31"/>
      <c r="I661" s="32">
        <f t="shared" si="41"/>
        <v>0</v>
      </c>
      <c r="J661" s="33" t="str">
        <f t="shared" si="42"/>
        <v/>
      </c>
      <c r="K661" s="2"/>
      <c r="L661" s="15"/>
      <c r="M661" s="34">
        <f t="shared" si="43"/>
        <v>0</v>
      </c>
    </row>
    <row r="662" spans="1:13" x14ac:dyDescent="0.25">
      <c r="A662" s="31"/>
      <c r="B662" s="16" t="str">
        <f>IFERROR(VLOOKUP(A662,Consolidado!$B$1:$L$1500,2,FALSE),"")</f>
        <v/>
      </c>
      <c r="C662" s="16">
        <f>IFERROR(SUMIF(Consolidado!$B$1:$B$1500,VLOOKUP(RegistroPago!A662,Consolidado!$B$1:$L$1500,1,FALSE),Consolidado!$G$1:$G$1500),"")</f>
        <v>0</v>
      </c>
      <c r="D662" s="3"/>
      <c r="E662" s="3"/>
      <c r="F662" s="5" t="str">
        <f t="shared" si="40"/>
        <v/>
      </c>
      <c r="G662" s="16" t="str">
        <f>IF(D662&lt;&gt;"",D662-VLOOKUP(A662,Consolidado!$B$1:$L$1500,8,FALSE),"")</f>
        <v/>
      </c>
      <c r="H662" s="31"/>
      <c r="I662" s="32">
        <f t="shared" si="41"/>
        <v>0</v>
      </c>
      <c r="J662" s="33" t="str">
        <f t="shared" si="42"/>
        <v/>
      </c>
      <c r="K662" s="2"/>
      <c r="L662" s="15"/>
      <c r="M662" s="34">
        <f t="shared" si="43"/>
        <v>0</v>
      </c>
    </row>
    <row r="663" spans="1:13" x14ac:dyDescent="0.25">
      <c r="A663" s="31"/>
      <c r="B663" s="16" t="str">
        <f>IFERROR(VLOOKUP(A663,Consolidado!$B$1:$L$1500,2,FALSE),"")</f>
        <v/>
      </c>
      <c r="C663" s="16">
        <f>IFERROR(SUMIF(Consolidado!$B$1:$B$1500,VLOOKUP(RegistroPago!A663,Consolidado!$B$1:$L$1500,1,FALSE),Consolidado!$G$1:$G$1500),"")</f>
        <v>0</v>
      </c>
      <c r="D663" s="3"/>
      <c r="E663" s="3"/>
      <c r="F663" s="5" t="str">
        <f t="shared" si="40"/>
        <v/>
      </c>
      <c r="G663" s="16" t="str">
        <f>IF(D663&lt;&gt;"",D663-VLOOKUP(A663,Consolidado!$B$1:$L$1500,8,FALSE),"")</f>
        <v/>
      </c>
      <c r="H663" s="31"/>
      <c r="I663" s="32">
        <f t="shared" si="41"/>
        <v>0</v>
      </c>
      <c r="J663" s="33" t="str">
        <f t="shared" si="42"/>
        <v/>
      </c>
      <c r="K663" s="2"/>
      <c r="L663" s="15"/>
      <c r="M663" s="34">
        <f t="shared" si="43"/>
        <v>0</v>
      </c>
    </row>
    <row r="664" spans="1:13" x14ac:dyDescent="0.25">
      <c r="A664" s="31"/>
      <c r="B664" s="16" t="str">
        <f>IFERROR(VLOOKUP(A664,Consolidado!$B$1:$L$1500,2,FALSE),"")</f>
        <v/>
      </c>
      <c r="C664" s="16">
        <f>IFERROR(SUMIF(Consolidado!$B$1:$B$1500,VLOOKUP(RegistroPago!A664,Consolidado!$B$1:$L$1500,1,FALSE),Consolidado!$G$1:$G$1500),"")</f>
        <v>0</v>
      </c>
      <c r="D664" s="3"/>
      <c r="E664" s="3"/>
      <c r="F664" s="5" t="str">
        <f t="shared" si="40"/>
        <v/>
      </c>
      <c r="G664" s="16" t="str">
        <f>IF(D664&lt;&gt;"",D664-VLOOKUP(A664,Consolidado!$B$1:$L$1500,8,FALSE),"")</f>
        <v/>
      </c>
      <c r="H664" s="31"/>
      <c r="I664" s="32">
        <f t="shared" si="41"/>
        <v>0</v>
      </c>
      <c r="J664" s="33" t="str">
        <f t="shared" si="42"/>
        <v/>
      </c>
      <c r="K664" s="2"/>
      <c r="L664" s="15"/>
      <c r="M664" s="34">
        <f t="shared" si="43"/>
        <v>0</v>
      </c>
    </row>
    <row r="665" spans="1:13" x14ac:dyDescent="0.25">
      <c r="A665" s="31"/>
      <c r="B665" s="16" t="str">
        <f>IFERROR(VLOOKUP(A665,Consolidado!$B$1:$L$1500,2,FALSE),"")</f>
        <v/>
      </c>
      <c r="C665" s="16">
        <f>IFERROR(SUMIF(Consolidado!$B$1:$B$1500,VLOOKUP(RegistroPago!A665,Consolidado!$B$1:$L$1500,1,FALSE),Consolidado!$G$1:$G$1500),"")</f>
        <v>0</v>
      </c>
      <c r="D665" s="3"/>
      <c r="E665" s="3"/>
      <c r="F665" s="5" t="str">
        <f t="shared" si="40"/>
        <v/>
      </c>
      <c r="G665" s="16" t="str">
        <f>IF(D665&lt;&gt;"",D665-VLOOKUP(A665,Consolidado!$B$1:$L$1500,8,FALSE),"")</f>
        <v/>
      </c>
      <c r="H665" s="31"/>
      <c r="I665" s="32">
        <f t="shared" si="41"/>
        <v>0</v>
      </c>
      <c r="J665" s="33" t="str">
        <f t="shared" si="42"/>
        <v/>
      </c>
      <c r="K665" s="2"/>
      <c r="L665" s="15"/>
      <c r="M665" s="34">
        <f t="shared" si="43"/>
        <v>0</v>
      </c>
    </row>
    <row r="666" spans="1:13" x14ac:dyDescent="0.25">
      <c r="A666" s="31"/>
      <c r="B666" s="16" t="str">
        <f>IFERROR(VLOOKUP(A666,Consolidado!$B$1:$L$1500,2,FALSE),"")</f>
        <v/>
      </c>
      <c r="C666" s="16">
        <f>IFERROR(SUMIF(Consolidado!$B$1:$B$1500,VLOOKUP(RegistroPago!A666,Consolidado!$B$1:$L$1500,1,FALSE),Consolidado!$G$1:$G$1500),"")</f>
        <v>0</v>
      </c>
      <c r="D666" s="3"/>
      <c r="E666" s="3"/>
      <c r="F666" s="5" t="str">
        <f t="shared" si="40"/>
        <v/>
      </c>
      <c r="G666" s="16" t="str">
        <f>IF(D666&lt;&gt;"",D666-VLOOKUP(A666,Consolidado!$B$1:$L$1500,8,FALSE),"")</f>
        <v/>
      </c>
      <c r="H666" s="31"/>
      <c r="I666" s="32">
        <f t="shared" si="41"/>
        <v>0</v>
      </c>
      <c r="J666" s="33" t="str">
        <f t="shared" si="42"/>
        <v/>
      </c>
      <c r="K666" s="2"/>
      <c r="L666" s="15"/>
      <c r="M666" s="34">
        <f t="shared" si="43"/>
        <v>0</v>
      </c>
    </row>
    <row r="667" spans="1:13" x14ac:dyDescent="0.25">
      <c r="A667" s="31"/>
      <c r="B667" s="16" t="str">
        <f>IFERROR(VLOOKUP(A667,Consolidado!$B$1:$L$1500,2,FALSE),"")</f>
        <v/>
      </c>
      <c r="C667" s="16">
        <f>IFERROR(SUMIF(Consolidado!$B$1:$B$1500,VLOOKUP(RegistroPago!A667,Consolidado!$B$1:$L$1500,1,FALSE),Consolidado!$G$1:$G$1500),"")</f>
        <v>0</v>
      </c>
      <c r="D667" s="3"/>
      <c r="E667" s="3"/>
      <c r="F667" s="5" t="str">
        <f t="shared" si="40"/>
        <v/>
      </c>
      <c r="G667" s="16" t="str">
        <f>IF(D667&lt;&gt;"",D667-VLOOKUP(A667,Consolidado!$B$1:$L$1500,8,FALSE),"")</f>
        <v/>
      </c>
      <c r="H667" s="31"/>
      <c r="I667" s="32">
        <f t="shared" si="41"/>
        <v>0</v>
      </c>
      <c r="J667" s="33" t="str">
        <f t="shared" si="42"/>
        <v/>
      </c>
      <c r="K667" s="2"/>
      <c r="L667" s="15"/>
      <c r="M667" s="34">
        <f t="shared" si="43"/>
        <v>0</v>
      </c>
    </row>
    <row r="668" spans="1:13" x14ac:dyDescent="0.25">
      <c r="A668" s="31"/>
      <c r="B668" s="16" t="str">
        <f>IFERROR(VLOOKUP(A668,Consolidado!$B$1:$L$1500,2,FALSE),"")</f>
        <v/>
      </c>
      <c r="C668" s="16">
        <f>IFERROR(SUMIF(Consolidado!$B$1:$B$1500,VLOOKUP(RegistroPago!A668,Consolidado!$B$1:$L$1500,1,FALSE),Consolidado!$G$1:$G$1500),"")</f>
        <v>0</v>
      </c>
      <c r="D668" s="3"/>
      <c r="E668" s="3"/>
      <c r="F668" s="5" t="str">
        <f t="shared" si="40"/>
        <v/>
      </c>
      <c r="G668" s="16" t="str">
        <f>IF(D668&lt;&gt;"",D668-VLOOKUP(A668,Consolidado!$B$1:$L$1500,8,FALSE),"")</f>
        <v/>
      </c>
      <c r="H668" s="31"/>
      <c r="I668" s="32">
        <f t="shared" si="41"/>
        <v>0</v>
      </c>
      <c r="J668" s="33" t="str">
        <f t="shared" si="42"/>
        <v/>
      </c>
      <c r="K668" s="2"/>
      <c r="L668" s="15"/>
      <c r="M668" s="34">
        <f t="shared" si="43"/>
        <v>0</v>
      </c>
    </row>
    <row r="669" spans="1:13" x14ac:dyDescent="0.25">
      <c r="A669" s="31"/>
      <c r="B669" s="16" t="str">
        <f>IFERROR(VLOOKUP(A669,Consolidado!$B$1:$L$1500,2,FALSE),"")</f>
        <v/>
      </c>
      <c r="C669" s="16">
        <f>IFERROR(SUMIF(Consolidado!$B$1:$B$1500,VLOOKUP(RegistroPago!A669,Consolidado!$B$1:$L$1500,1,FALSE),Consolidado!$G$1:$G$1500),"")</f>
        <v>0</v>
      </c>
      <c r="D669" s="3"/>
      <c r="E669" s="3"/>
      <c r="F669" s="5" t="str">
        <f t="shared" si="40"/>
        <v/>
      </c>
      <c r="G669" s="16" t="str">
        <f>IF(D669&lt;&gt;"",D669-VLOOKUP(A669,Consolidado!$B$1:$L$1500,8,FALSE),"")</f>
        <v/>
      </c>
      <c r="H669" s="31"/>
      <c r="I669" s="32">
        <f t="shared" si="41"/>
        <v>0</v>
      </c>
      <c r="J669" s="33" t="str">
        <f t="shared" si="42"/>
        <v/>
      </c>
      <c r="K669" s="2"/>
      <c r="L669" s="15"/>
      <c r="M669" s="34">
        <f t="shared" si="43"/>
        <v>0</v>
      </c>
    </row>
    <row r="670" spans="1:13" x14ac:dyDescent="0.25">
      <c r="A670" s="31"/>
      <c r="B670" s="16" t="str">
        <f>IFERROR(VLOOKUP(A670,Consolidado!$B$1:$L$1500,2,FALSE),"")</f>
        <v/>
      </c>
      <c r="C670" s="16">
        <f>IFERROR(SUMIF(Consolidado!$B$1:$B$1500,VLOOKUP(RegistroPago!A670,Consolidado!$B$1:$L$1500,1,FALSE),Consolidado!$G$1:$G$1500),"")</f>
        <v>0</v>
      </c>
      <c r="D670" s="3"/>
      <c r="E670" s="3"/>
      <c r="F670" s="5" t="str">
        <f t="shared" si="40"/>
        <v/>
      </c>
      <c r="G670" s="16" t="str">
        <f>IF(D670&lt;&gt;"",D670-VLOOKUP(A670,Consolidado!$B$1:$L$1500,8,FALSE),"")</f>
        <v/>
      </c>
      <c r="H670" s="31"/>
      <c r="I670" s="32">
        <f t="shared" si="41"/>
        <v>0</v>
      </c>
      <c r="J670" s="33" t="str">
        <f t="shared" si="42"/>
        <v/>
      </c>
      <c r="K670" s="2"/>
      <c r="L670" s="15"/>
      <c r="M670" s="34">
        <f t="shared" si="43"/>
        <v>0</v>
      </c>
    </row>
    <row r="671" spans="1:13" x14ac:dyDescent="0.25">
      <c r="A671" s="31"/>
      <c r="B671" s="16" t="str">
        <f>IFERROR(VLOOKUP(A671,Consolidado!$B$1:$L$1500,2,FALSE),"")</f>
        <v/>
      </c>
      <c r="C671" s="16">
        <f>IFERROR(SUMIF(Consolidado!$B$1:$B$1500,VLOOKUP(RegistroPago!A671,Consolidado!$B$1:$L$1500,1,FALSE),Consolidado!$G$1:$G$1500),"")</f>
        <v>0</v>
      </c>
      <c r="D671" s="3"/>
      <c r="E671" s="3"/>
      <c r="F671" s="5" t="str">
        <f t="shared" si="40"/>
        <v/>
      </c>
      <c r="G671" s="16" t="str">
        <f>IF(D671&lt;&gt;"",D671-VLOOKUP(A671,Consolidado!$B$1:$L$1500,8,FALSE),"")</f>
        <v/>
      </c>
      <c r="H671" s="31"/>
      <c r="I671" s="32">
        <f t="shared" si="41"/>
        <v>0</v>
      </c>
      <c r="J671" s="33" t="str">
        <f t="shared" si="42"/>
        <v/>
      </c>
      <c r="K671" s="2"/>
      <c r="L671" s="15"/>
      <c r="M671" s="34">
        <f t="shared" si="43"/>
        <v>0</v>
      </c>
    </row>
    <row r="672" spans="1:13" x14ac:dyDescent="0.25">
      <c r="A672" s="31"/>
      <c r="B672" s="16" t="str">
        <f>IFERROR(VLOOKUP(A672,Consolidado!$B$1:$L$1500,2,FALSE),"")</f>
        <v/>
      </c>
      <c r="C672" s="16">
        <f>IFERROR(SUMIF(Consolidado!$B$1:$B$1500,VLOOKUP(RegistroPago!A672,Consolidado!$B$1:$L$1500,1,FALSE),Consolidado!$G$1:$G$1500),"")</f>
        <v>0</v>
      </c>
      <c r="D672" s="3"/>
      <c r="E672" s="3"/>
      <c r="F672" s="5" t="str">
        <f t="shared" si="40"/>
        <v/>
      </c>
      <c r="G672" s="16" t="str">
        <f>IF(D672&lt;&gt;"",D672-VLOOKUP(A672,Consolidado!$B$1:$L$1500,8,FALSE),"")</f>
        <v/>
      </c>
      <c r="H672" s="31"/>
      <c r="I672" s="32">
        <f t="shared" si="41"/>
        <v>0</v>
      </c>
      <c r="J672" s="33" t="str">
        <f t="shared" si="42"/>
        <v/>
      </c>
      <c r="K672" s="2"/>
      <c r="L672" s="15"/>
      <c r="M672" s="34">
        <f t="shared" si="43"/>
        <v>0</v>
      </c>
    </row>
    <row r="673" spans="1:13" x14ac:dyDescent="0.25">
      <c r="A673" s="31"/>
      <c r="B673" s="16" t="str">
        <f>IFERROR(VLOOKUP(A673,Consolidado!$B$1:$L$1500,2,FALSE),"")</f>
        <v/>
      </c>
      <c r="C673" s="16">
        <f>IFERROR(SUMIF(Consolidado!$B$1:$B$1500,VLOOKUP(RegistroPago!A673,Consolidado!$B$1:$L$1500,1,FALSE),Consolidado!$G$1:$G$1500),"")</f>
        <v>0</v>
      </c>
      <c r="D673" s="3"/>
      <c r="E673" s="3"/>
      <c r="F673" s="5" t="str">
        <f t="shared" si="40"/>
        <v/>
      </c>
      <c r="G673" s="16" t="str">
        <f>IF(D673&lt;&gt;"",D673-VLOOKUP(A673,Consolidado!$B$1:$L$1500,8,FALSE),"")</f>
        <v/>
      </c>
      <c r="H673" s="31"/>
      <c r="I673" s="32">
        <f t="shared" si="41"/>
        <v>0</v>
      </c>
      <c r="J673" s="33" t="str">
        <f t="shared" si="42"/>
        <v/>
      </c>
      <c r="K673" s="2"/>
      <c r="L673" s="15"/>
      <c r="M673" s="34">
        <f t="shared" si="43"/>
        <v>0</v>
      </c>
    </row>
    <row r="674" spans="1:13" x14ac:dyDescent="0.25">
      <c r="A674" s="31"/>
      <c r="B674" s="16" t="str">
        <f>IFERROR(VLOOKUP(A674,Consolidado!$B$1:$L$1500,2,FALSE),"")</f>
        <v/>
      </c>
      <c r="C674" s="16">
        <f>IFERROR(SUMIF(Consolidado!$B$1:$B$1500,VLOOKUP(RegistroPago!A674,Consolidado!$B$1:$L$1500,1,FALSE),Consolidado!$G$1:$G$1500),"")</f>
        <v>0</v>
      </c>
      <c r="D674" s="3"/>
      <c r="E674" s="3"/>
      <c r="F674" s="5" t="str">
        <f t="shared" si="40"/>
        <v/>
      </c>
      <c r="G674" s="16" t="str">
        <f>IF(D674&lt;&gt;"",D674-VLOOKUP(A674,Consolidado!$B$1:$L$1500,8,FALSE),"")</f>
        <v/>
      </c>
      <c r="H674" s="31"/>
      <c r="I674" s="32">
        <f t="shared" si="41"/>
        <v>0</v>
      </c>
      <c r="J674" s="33" t="str">
        <f t="shared" si="42"/>
        <v/>
      </c>
      <c r="K674" s="2"/>
      <c r="L674" s="15"/>
      <c r="M674" s="34">
        <f t="shared" si="43"/>
        <v>0</v>
      </c>
    </row>
    <row r="675" spans="1:13" x14ac:dyDescent="0.25">
      <c r="A675" s="31"/>
      <c r="B675" s="16" t="str">
        <f>IFERROR(VLOOKUP(A675,Consolidado!$B$1:$L$1500,2,FALSE),"")</f>
        <v/>
      </c>
      <c r="C675" s="16">
        <f>IFERROR(SUMIF(Consolidado!$B$1:$B$1500,VLOOKUP(RegistroPago!A675,Consolidado!$B$1:$L$1500,1,FALSE),Consolidado!$G$1:$G$1500),"")</f>
        <v>0</v>
      </c>
      <c r="D675" s="3"/>
      <c r="E675" s="3"/>
      <c r="F675" s="5" t="str">
        <f t="shared" si="40"/>
        <v/>
      </c>
      <c r="G675" s="16" t="str">
        <f>IF(D675&lt;&gt;"",D675-VLOOKUP(A675,Consolidado!$B$1:$L$1500,8,FALSE),"")</f>
        <v/>
      </c>
      <c r="H675" s="31"/>
      <c r="I675" s="32">
        <f t="shared" si="41"/>
        <v>0</v>
      </c>
      <c r="J675" s="33" t="str">
        <f t="shared" si="42"/>
        <v/>
      </c>
      <c r="K675" s="2"/>
      <c r="L675" s="15"/>
      <c r="M675" s="34">
        <f t="shared" si="43"/>
        <v>0</v>
      </c>
    </row>
    <row r="676" spans="1:13" x14ac:dyDescent="0.25">
      <c r="A676" s="31"/>
      <c r="B676" s="16" t="str">
        <f>IFERROR(VLOOKUP(A676,Consolidado!$B$1:$L$1500,2,FALSE),"")</f>
        <v/>
      </c>
      <c r="C676" s="16">
        <f>IFERROR(SUMIF(Consolidado!$B$1:$B$1500,VLOOKUP(RegistroPago!A676,Consolidado!$B$1:$L$1500,1,FALSE),Consolidado!$G$1:$G$1500),"")</f>
        <v>0</v>
      </c>
      <c r="D676" s="3"/>
      <c r="E676" s="3"/>
      <c r="F676" s="5" t="str">
        <f t="shared" si="40"/>
        <v/>
      </c>
      <c r="G676" s="16" t="str">
        <f>IF(D676&lt;&gt;"",D676-VLOOKUP(A676,Consolidado!$B$1:$L$1500,8,FALSE),"")</f>
        <v/>
      </c>
      <c r="H676" s="31"/>
      <c r="I676" s="32">
        <f t="shared" si="41"/>
        <v>0</v>
      </c>
      <c r="J676" s="33" t="str">
        <f t="shared" si="42"/>
        <v/>
      </c>
      <c r="K676" s="2"/>
      <c r="L676" s="15"/>
      <c r="M676" s="34">
        <f t="shared" si="43"/>
        <v>0</v>
      </c>
    </row>
    <row r="677" spans="1:13" x14ac:dyDescent="0.25">
      <c r="A677" s="31"/>
      <c r="B677" s="16" t="str">
        <f>IFERROR(VLOOKUP(A677,Consolidado!$B$1:$L$1500,2,FALSE),"")</f>
        <v/>
      </c>
      <c r="C677" s="16">
        <f>IFERROR(SUMIF(Consolidado!$B$1:$B$1500,VLOOKUP(RegistroPago!A677,Consolidado!$B$1:$L$1500,1,FALSE),Consolidado!$G$1:$G$1500),"")</f>
        <v>0</v>
      </c>
      <c r="D677" s="3"/>
      <c r="E677" s="3"/>
      <c r="F677" s="5" t="str">
        <f t="shared" si="40"/>
        <v/>
      </c>
      <c r="G677" s="16" t="str">
        <f>IF(D677&lt;&gt;"",D677-VLOOKUP(A677,Consolidado!$B$1:$L$1500,8,FALSE),"")</f>
        <v/>
      </c>
      <c r="H677" s="31"/>
      <c r="I677" s="32">
        <f t="shared" si="41"/>
        <v>0</v>
      </c>
      <c r="J677" s="33" t="str">
        <f t="shared" si="42"/>
        <v/>
      </c>
      <c r="K677" s="2"/>
      <c r="L677" s="15"/>
      <c r="M677" s="34">
        <f t="shared" si="43"/>
        <v>0</v>
      </c>
    </row>
    <row r="678" spans="1:13" x14ac:dyDescent="0.25">
      <c r="A678" s="31"/>
      <c r="B678" s="16" t="str">
        <f>IFERROR(VLOOKUP(A678,Consolidado!$B$1:$L$1500,2,FALSE),"")</f>
        <v/>
      </c>
      <c r="C678" s="16">
        <f>IFERROR(SUMIF(Consolidado!$B$1:$B$1500,VLOOKUP(RegistroPago!A678,Consolidado!$B$1:$L$1500,1,FALSE),Consolidado!$G$1:$G$1500),"")</f>
        <v>0</v>
      </c>
      <c r="D678" s="3"/>
      <c r="E678" s="3"/>
      <c r="F678" s="5" t="str">
        <f t="shared" si="40"/>
        <v/>
      </c>
      <c r="G678" s="16" t="str">
        <f>IF(D678&lt;&gt;"",D678-VLOOKUP(A678,Consolidado!$B$1:$L$1500,8,FALSE),"")</f>
        <v/>
      </c>
      <c r="H678" s="31"/>
      <c r="I678" s="32">
        <f t="shared" si="41"/>
        <v>0</v>
      </c>
      <c r="J678" s="33" t="str">
        <f t="shared" si="42"/>
        <v/>
      </c>
      <c r="K678" s="2"/>
      <c r="L678" s="15"/>
      <c r="M678" s="34">
        <f t="shared" si="43"/>
        <v>0</v>
      </c>
    </row>
    <row r="679" spans="1:13" x14ac:dyDescent="0.25">
      <c r="A679" s="31"/>
      <c r="B679" s="16" t="str">
        <f>IFERROR(VLOOKUP(A679,Consolidado!$B$1:$L$1500,2,FALSE),"")</f>
        <v/>
      </c>
      <c r="C679" s="16">
        <f>IFERROR(SUMIF(Consolidado!$B$1:$B$1500,VLOOKUP(RegistroPago!A679,Consolidado!$B$1:$L$1500,1,FALSE),Consolidado!$G$1:$G$1500),"")</f>
        <v>0</v>
      </c>
      <c r="D679" s="3"/>
      <c r="E679" s="3"/>
      <c r="F679" s="5" t="str">
        <f t="shared" si="40"/>
        <v/>
      </c>
      <c r="G679" s="16" t="str">
        <f>IF(D679&lt;&gt;"",D679-VLOOKUP(A679,Consolidado!$B$1:$L$1500,8,FALSE),"")</f>
        <v/>
      </c>
      <c r="H679" s="31"/>
      <c r="I679" s="32">
        <f t="shared" si="41"/>
        <v>0</v>
      </c>
      <c r="J679" s="33" t="str">
        <f t="shared" si="42"/>
        <v/>
      </c>
      <c r="K679" s="2"/>
      <c r="L679" s="15"/>
      <c r="M679" s="34">
        <f t="shared" si="43"/>
        <v>0</v>
      </c>
    </row>
    <row r="680" spans="1:13" x14ac:dyDescent="0.25">
      <c r="A680" s="31"/>
      <c r="B680" s="16" t="str">
        <f>IFERROR(VLOOKUP(A680,Consolidado!$B$1:$L$1500,2,FALSE),"")</f>
        <v/>
      </c>
      <c r="C680" s="16">
        <f>IFERROR(SUMIF(Consolidado!$B$1:$B$1500,VLOOKUP(RegistroPago!A680,Consolidado!$B$1:$L$1500,1,FALSE),Consolidado!$G$1:$G$1500),"")</f>
        <v>0</v>
      </c>
      <c r="D680" s="3"/>
      <c r="E680" s="3"/>
      <c r="F680" s="5" t="str">
        <f t="shared" si="40"/>
        <v/>
      </c>
      <c r="G680" s="16" t="str">
        <f>IF(D680&lt;&gt;"",D680-VLOOKUP(A680,Consolidado!$B$1:$L$1500,8,FALSE),"")</f>
        <v/>
      </c>
      <c r="H680" s="31"/>
      <c r="I680" s="32">
        <f t="shared" si="41"/>
        <v>0</v>
      </c>
      <c r="J680" s="33" t="str">
        <f t="shared" si="42"/>
        <v/>
      </c>
      <c r="K680" s="2"/>
      <c r="L680" s="15"/>
      <c r="M680" s="34">
        <f t="shared" si="43"/>
        <v>0</v>
      </c>
    </row>
    <row r="681" spans="1:13" x14ac:dyDescent="0.25">
      <c r="A681" s="31"/>
      <c r="B681" s="16" t="str">
        <f>IFERROR(VLOOKUP(A681,Consolidado!$B$1:$L$1500,2,FALSE),"")</f>
        <v/>
      </c>
      <c r="C681" s="16">
        <f>IFERROR(SUMIF(Consolidado!$B$1:$B$1500,VLOOKUP(RegistroPago!A681,Consolidado!$B$1:$L$1500,1,FALSE),Consolidado!$G$1:$G$1500),"")</f>
        <v>0</v>
      </c>
      <c r="D681" s="3"/>
      <c r="E681" s="3"/>
      <c r="F681" s="5" t="str">
        <f t="shared" si="40"/>
        <v/>
      </c>
      <c r="G681" s="16" t="str">
        <f>IF(D681&lt;&gt;"",D681-VLOOKUP(A681,Consolidado!$B$1:$L$1500,8,FALSE),"")</f>
        <v/>
      </c>
      <c r="H681" s="31"/>
      <c r="I681" s="32">
        <f t="shared" si="41"/>
        <v>0</v>
      </c>
      <c r="J681" s="33" t="str">
        <f t="shared" si="42"/>
        <v/>
      </c>
      <c r="K681" s="2"/>
      <c r="L681" s="15"/>
      <c r="M681" s="34">
        <f t="shared" si="43"/>
        <v>0</v>
      </c>
    </row>
    <row r="682" spans="1:13" x14ac:dyDescent="0.25">
      <c r="A682" s="31"/>
      <c r="B682" s="16" t="str">
        <f>IFERROR(VLOOKUP(A682,Consolidado!$B$1:$L$1500,2,FALSE),"")</f>
        <v/>
      </c>
      <c r="C682" s="16">
        <f>IFERROR(SUMIF(Consolidado!$B$1:$B$1500,VLOOKUP(RegistroPago!A682,Consolidado!$B$1:$L$1500,1,FALSE),Consolidado!$G$1:$G$1500),"")</f>
        <v>0</v>
      </c>
      <c r="D682" s="3"/>
      <c r="E682" s="3"/>
      <c r="F682" s="5" t="str">
        <f t="shared" si="40"/>
        <v/>
      </c>
      <c r="G682" s="16" t="str">
        <f>IF(D682&lt;&gt;"",D682-VLOOKUP(A682,Consolidado!$B$1:$L$1500,8,FALSE),"")</f>
        <v/>
      </c>
      <c r="H682" s="31"/>
      <c r="I682" s="32">
        <f t="shared" si="41"/>
        <v>0</v>
      </c>
      <c r="J682" s="33" t="str">
        <f t="shared" si="42"/>
        <v/>
      </c>
      <c r="K682" s="2"/>
      <c r="L682" s="15"/>
      <c r="M682" s="34">
        <f t="shared" si="43"/>
        <v>0</v>
      </c>
    </row>
    <row r="683" spans="1:13" x14ac:dyDescent="0.25">
      <c r="A683" s="31"/>
      <c r="B683" s="16" t="str">
        <f>IFERROR(VLOOKUP(A683,Consolidado!$B$1:$L$1500,2,FALSE),"")</f>
        <v/>
      </c>
      <c r="C683" s="16">
        <f>IFERROR(SUMIF(Consolidado!$B$1:$B$1500,VLOOKUP(RegistroPago!A683,Consolidado!$B$1:$L$1500,1,FALSE),Consolidado!$G$1:$G$1500),"")</f>
        <v>0</v>
      </c>
      <c r="D683" s="3"/>
      <c r="E683" s="3"/>
      <c r="F683" s="5" t="str">
        <f t="shared" si="40"/>
        <v/>
      </c>
      <c r="G683" s="16" t="str">
        <f>IF(D683&lt;&gt;"",D683-VLOOKUP(A683,Consolidado!$B$1:$L$1500,8,FALSE),"")</f>
        <v/>
      </c>
      <c r="H683" s="31"/>
      <c r="I683" s="32">
        <f t="shared" si="41"/>
        <v>0</v>
      </c>
      <c r="J683" s="33" t="str">
        <f t="shared" si="42"/>
        <v/>
      </c>
      <c r="K683" s="2"/>
      <c r="L683" s="15"/>
      <c r="M683" s="34">
        <f t="shared" si="43"/>
        <v>0</v>
      </c>
    </row>
    <row r="684" spans="1:13" x14ac:dyDescent="0.25">
      <c r="A684" s="31"/>
      <c r="B684" s="16" t="str">
        <f>IFERROR(VLOOKUP(A684,Consolidado!$B$1:$L$1500,2,FALSE),"")</f>
        <v/>
      </c>
      <c r="C684" s="16">
        <f>IFERROR(SUMIF(Consolidado!$B$1:$B$1500,VLOOKUP(RegistroPago!A684,Consolidado!$B$1:$L$1500,1,FALSE),Consolidado!$G$1:$G$1500),"")</f>
        <v>0</v>
      </c>
      <c r="D684" s="3"/>
      <c r="E684" s="3"/>
      <c r="F684" s="5" t="str">
        <f t="shared" si="40"/>
        <v/>
      </c>
      <c r="G684" s="16" t="str">
        <f>IF(D684&lt;&gt;"",D684-VLOOKUP(A684,Consolidado!$B$1:$L$1500,8,FALSE),"")</f>
        <v/>
      </c>
      <c r="H684" s="31"/>
      <c r="I684" s="32">
        <f t="shared" si="41"/>
        <v>0</v>
      </c>
      <c r="J684" s="33" t="str">
        <f t="shared" si="42"/>
        <v/>
      </c>
      <c r="K684" s="2"/>
      <c r="L684" s="15"/>
      <c r="M684" s="34">
        <f t="shared" si="43"/>
        <v>0</v>
      </c>
    </row>
    <row r="685" spans="1:13" x14ac:dyDescent="0.25">
      <c r="A685" s="31"/>
      <c r="B685" s="16" t="str">
        <f>IFERROR(VLOOKUP(A685,Consolidado!$B$1:$L$1500,2,FALSE),"")</f>
        <v/>
      </c>
      <c r="C685" s="16">
        <f>IFERROR(SUMIF(Consolidado!$B$1:$B$1500,VLOOKUP(RegistroPago!A685,Consolidado!$B$1:$L$1500,1,FALSE),Consolidado!$G$1:$G$1500),"")</f>
        <v>0</v>
      </c>
      <c r="D685" s="3"/>
      <c r="E685" s="3"/>
      <c r="F685" s="5" t="str">
        <f t="shared" si="40"/>
        <v/>
      </c>
      <c r="G685" s="16" t="str">
        <f>IF(D685&lt;&gt;"",D685-VLOOKUP(A685,Consolidado!$B$1:$L$1500,8,FALSE),"")</f>
        <v/>
      </c>
      <c r="H685" s="31"/>
      <c r="I685" s="32">
        <f t="shared" si="41"/>
        <v>0</v>
      </c>
      <c r="J685" s="33" t="str">
        <f t="shared" si="42"/>
        <v/>
      </c>
      <c r="K685" s="2"/>
      <c r="L685" s="15"/>
      <c r="M685" s="34">
        <f t="shared" si="43"/>
        <v>0</v>
      </c>
    </row>
    <row r="686" spans="1:13" x14ac:dyDescent="0.25">
      <c r="A686" s="31"/>
      <c r="B686" s="16" t="str">
        <f>IFERROR(VLOOKUP(A686,Consolidado!$B$1:$L$1500,2,FALSE),"")</f>
        <v/>
      </c>
      <c r="C686" s="16">
        <f>IFERROR(SUMIF(Consolidado!$B$1:$B$1500,VLOOKUP(RegistroPago!A686,Consolidado!$B$1:$L$1500,1,FALSE),Consolidado!$G$1:$G$1500),"")</f>
        <v>0</v>
      </c>
      <c r="D686" s="3"/>
      <c r="E686" s="3"/>
      <c r="F686" s="5" t="str">
        <f t="shared" si="40"/>
        <v/>
      </c>
      <c r="G686" s="16" t="str">
        <f>IF(D686&lt;&gt;"",D686-VLOOKUP(A686,Consolidado!$B$1:$L$1500,8,FALSE),"")</f>
        <v/>
      </c>
      <c r="H686" s="31"/>
      <c r="I686" s="32">
        <f t="shared" si="41"/>
        <v>0</v>
      </c>
      <c r="J686" s="33" t="str">
        <f t="shared" si="42"/>
        <v/>
      </c>
      <c r="K686" s="2"/>
      <c r="L686" s="15"/>
      <c r="M686" s="34">
        <f t="shared" si="43"/>
        <v>0</v>
      </c>
    </row>
    <row r="687" spans="1:13" x14ac:dyDescent="0.25">
      <c r="A687" s="31"/>
      <c r="B687" s="16" t="str">
        <f>IFERROR(VLOOKUP(A687,Consolidado!$B$1:$L$1500,2,FALSE),"")</f>
        <v/>
      </c>
      <c r="C687" s="16">
        <f>IFERROR(SUMIF(Consolidado!$B$1:$B$1500,VLOOKUP(RegistroPago!A687,Consolidado!$B$1:$L$1500,1,FALSE),Consolidado!$G$1:$G$1500),"")</f>
        <v>0</v>
      </c>
      <c r="D687" s="3"/>
      <c r="E687" s="3"/>
      <c r="F687" s="5" t="str">
        <f t="shared" si="40"/>
        <v/>
      </c>
      <c r="G687" s="16" t="str">
        <f>IF(D687&lt;&gt;"",D687-VLOOKUP(A687,Consolidado!$B$1:$L$1500,8,FALSE),"")</f>
        <v/>
      </c>
      <c r="H687" s="31"/>
      <c r="I687" s="32">
        <f t="shared" si="41"/>
        <v>0</v>
      </c>
      <c r="J687" s="33" t="str">
        <f t="shared" si="42"/>
        <v/>
      </c>
      <c r="K687" s="2"/>
      <c r="L687" s="15"/>
      <c r="M687" s="34">
        <f t="shared" si="43"/>
        <v>0</v>
      </c>
    </row>
    <row r="688" spans="1:13" x14ac:dyDescent="0.25">
      <c r="A688" s="31"/>
      <c r="B688" s="16" t="str">
        <f>IFERROR(VLOOKUP(A688,Consolidado!$B$1:$L$1500,2,FALSE),"")</f>
        <v/>
      </c>
      <c r="C688" s="16">
        <f>IFERROR(SUMIF(Consolidado!$B$1:$B$1500,VLOOKUP(RegistroPago!A688,Consolidado!$B$1:$L$1500,1,FALSE),Consolidado!$G$1:$G$1500),"")</f>
        <v>0</v>
      </c>
      <c r="D688" s="3"/>
      <c r="E688" s="3"/>
      <c r="F688" s="5" t="str">
        <f t="shared" si="40"/>
        <v/>
      </c>
      <c r="G688" s="16" t="str">
        <f>IF(D688&lt;&gt;"",D688-VLOOKUP(A688,Consolidado!$B$1:$L$1500,8,FALSE),"")</f>
        <v/>
      </c>
      <c r="H688" s="31"/>
      <c r="I688" s="32">
        <f t="shared" si="41"/>
        <v>0</v>
      </c>
      <c r="J688" s="33" t="str">
        <f t="shared" si="42"/>
        <v/>
      </c>
      <c r="K688" s="2"/>
      <c r="L688" s="15"/>
      <c r="M688" s="34">
        <f t="shared" si="43"/>
        <v>0</v>
      </c>
    </row>
    <row r="689" spans="1:13" x14ac:dyDescent="0.25">
      <c r="A689" s="31"/>
      <c r="B689" s="16" t="str">
        <f>IFERROR(VLOOKUP(A689,Consolidado!$B$1:$L$1500,2,FALSE),"")</f>
        <v/>
      </c>
      <c r="C689" s="16">
        <f>IFERROR(SUMIF(Consolidado!$B$1:$B$1500,VLOOKUP(RegistroPago!A689,Consolidado!$B$1:$L$1500,1,FALSE),Consolidado!$G$1:$G$1500),"")</f>
        <v>0</v>
      </c>
      <c r="D689" s="3"/>
      <c r="E689" s="3"/>
      <c r="F689" s="5" t="str">
        <f t="shared" si="40"/>
        <v/>
      </c>
      <c r="G689" s="16" t="str">
        <f>IF(D689&lt;&gt;"",D689-VLOOKUP(A689,Consolidado!$B$1:$L$1500,8,FALSE),"")</f>
        <v/>
      </c>
      <c r="H689" s="31"/>
      <c r="I689" s="32">
        <f t="shared" si="41"/>
        <v>0</v>
      </c>
      <c r="J689" s="33" t="str">
        <f t="shared" si="42"/>
        <v/>
      </c>
      <c r="K689" s="2"/>
      <c r="L689" s="15"/>
      <c r="M689" s="34">
        <f t="shared" si="43"/>
        <v>0</v>
      </c>
    </row>
    <row r="690" spans="1:13" x14ac:dyDescent="0.25">
      <c r="A690" s="31"/>
      <c r="B690" s="16" t="str">
        <f>IFERROR(VLOOKUP(A690,Consolidado!$B$1:$L$1500,2,FALSE),"")</f>
        <v/>
      </c>
      <c r="C690" s="16">
        <f>IFERROR(SUMIF(Consolidado!$B$1:$B$1500,VLOOKUP(RegistroPago!A690,Consolidado!$B$1:$L$1500,1,FALSE),Consolidado!$G$1:$G$1500),"")</f>
        <v>0</v>
      </c>
      <c r="D690" s="3"/>
      <c r="E690" s="3"/>
      <c r="F690" s="5" t="str">
        <f t="shared" si="40"/>
        <v/>
      </c>
      <c r="G690" s="16" t="str">
        <f>IF(D690&lt;&gt;"",D690-VLOOKUP(A690,Consolidado!$B$1:$L$1500,8,FALSE),"")</f>
        <v/>
      </c>
      <c r="H690" s="31"/>
      <c r="I690" s="32">
        <f t="shared" si="41"/>
        <v>0</v>
      </c>
      <c r="J690" s="33" t="str">
        <f t="shared" si="42"/>
        <v/>
      </c>
      <c r="K690" s="2"/>
      <c r="L690" s="15"/>
      <c r="M690" s="34">
        <f t="shared" si="43"/>
        <v>0</v>
      </c>
    </row>
    <row r="691" spans="1:13" x14ac:dyDescent="0.25">
      <c r="A691" s="31"/>
      <c r="B691" s="16" t="str">
        <f>IFERROR(VLOOKUP(A691,Consolidado!$B$1:$L$1500,2,FALSE),"")</f>
        <v/>
      </c>
      <c r="C691" s="16">
        <f>IFERROR(SUMIF(Consolidado!$B$1:$B$1500,VLOOKUP(RegistroPago!A691,Consolidado!$B$1:$L$1500,1,FALSE),Consolidado!$G$1:$G$1500),"")</f>
        <v>0</v>
      </c>
      <c r="D691" s="3"/>
      <c r="E691" s="3"/>
      <c r="F691" s="5" t="str">
        <f t="shared" si="40"/>
        <v/>
      </c>
      <c r="G691" s="16" t="str">
        <f>IF(D691&lt;&gt;"",D691-VLOOKUP(A691,Consolidado!$B$1:$L$1500,8,FALSE),"")</f>
        <v/>
      </c>
      <c r="H691" s="31"/>
      <c r="I691" s="32">
        <f t="shared" si="41"/>
        <v>0</v>
      </c>
      <c r="J691" s="33" t="str">
        <f t="shared" si="42"/>
        <v/>
      </c>
      <c r="K691" s="2"/>
      <c r="L691" s="15"/>
      <c r="M691" s="34">
        <f t="shared" si="43"/>
        <v>0</v>
      </c>
    </row>
    <row r="692" spans="1:13" x14ac:dyDescent="0.25">
      <c r="A692" s="31"/>
      <c r="B692" s="16" t="str">
        <f>IFERROR(VLOOKUP(A692,Consolidado!$B$1:$L$1500,2,FALSE),"")</f>
        <v/>
      </c>
      <c r="C692" s="16">
        <f>IFERROR(SUMIF(Consolidado!$B$1:$B$1500,VLOOKUP(RegistroPago!A692,Consolidado!$B$1:$L$1500,1,FALSE),Consolidado!$G$1:$G$1500),"")</f>
        <v>0</v>
      </c>
      <c r="D692" s="3"/>
      <c r="E692" s="3"/>
      <c r="F692" s="5" t="str">
        <f t="shared" si="40"/>
        <v/>
      </c>
      <c r="G692" s="16" t="str">
        <f>IF(D692&lt;&gt;"",D692-VLOOKUP(A692,Consolidado!$B$1:$L$1500,8,FALSE),"")</f>
        <v/>
      </c>
      <c r="H692" s="31"/>
      <c r="I692" s="32">
        <f t="shared" si="41"/>
        <v>0</v>
      </c>
      <c r="J692" s="33" t="str">
        <f t="shared" si="42"/>
        <v/>
      </c>
      <c r="K692" s="2"/>
      <c r="L692" s="15"/>
      <c r="M692" s="34">
        <f t="shared" si="43"/>
        <v>0</v>
      </c>
    </row>
    <row r="693" spans="1:13" x14ac:dyDescent="0.25">
      <c r="A693" s="31"/>
      <c r="B693" s="16" t="str">
        <f>IFERROR(VLOOKUP(A693,Consolidado!$B$1:$L$1500,2,FALSE),"")</f>
        <v/>
      </c>
      <c r="C693" s="16">
        <f>IFERROR(SUMIF(Consolidado!$B$1:$B$1500,VLOOKUP(RegistroPago!A693,Consolidado!$B$1:$L$1500,1,FALSE),Consolidado!$G$1:$G$1500),"")</f>
        <v>0</v>
      </c>
      <c r="D693" s="3"/>
      <c r="E693" s="3"/>
      <c r="F693" s="5" t="str">
        <f t="shared" si="40"/>
        <v/>
      </c>
      <c r="G693" s="16" t="str">
        <f>IF(D693&lt;&gt;"",D693-VLOOKUP(A693,Consolidado!$B$1:$L$1500,8,FALSE),"")</f>
        <v/>
      </c>
      <c r="H693" s="31"/>
      <c r="I693" s="32">
        <f t="shared" si="41"/>
        <v>0</v>
      </c>
      <c r="J693" s="33" t="str">
        <f t="shared" si="42"/>
        <v/>
      </c>
      <c r="K693" s="2"/>
      <c r="L693" s="15"/>
      <c r="M693" s="34">
        <f t="shared" si="43"/>
        <v>0</v>
      </c>
    </row>
    <row r="694" spans="1:13" x14ac:dyDescent="0.25">
      <c r="A694" s="31"/>
      <c r="B694" s="16" t="str">
        <f>IFERROR(VLOOKUP(A694,Consolidado!$B$1:$L$1500,2,FALSE),"")</f>
        <v/>
      </c>
      <c r="C694" s="16">
        <f>IFERROR(SUMIF(Consolidado!$B$1:$B$1500,VLOOKUP(RegistroPago!A694,Consolidado!$B$1:$L$1500,1,FALSE),Consolidado!$G$1:$G$1500),"")</f>
        <v>0</v>
      </c>
      <c r="D694" s="3"/>
      <c r="E694" s="3"/>
      <c r="F694" s="5" t="str">
        <f t="shared" si="40"/>
        <v/>
      </c>
      <c r="G694" s="16" t="str">
        <f>IF(D694&lt;&gt;"",D694-VLOOKUP(A694,Consolidado!$B$1:$L$1500,8,FALSE),"")</f>
        <v/>
      </c>
      <c r="H694" s="31"/>
      <c r="I694" s="32">
        <f t="shared" si="41"/>
        <v>0</v>
      </c>
      <c r="J694" s="33" t="str">
        <f t="shared" si="42"/>
        <v/>
      </c>
      <c r="K694" s="2"/>
      <c r="L694" s="15"/>
      <c r="M694" s="34">
        <f t="shared" si="43"/>
        <v>0</v>
      </c>
    </row>
    <row r="695" spans="1:13" x14ac:dyDescent="0.25">
      <c r="A695" s="31"/>
      <c r="B695" s="16" t="str">
        <f>IFERROR(VLOOKUP(A695,Consolidado!$B$1:$L$1500,2,FALSE),"")</f>
        <v/>
      </c>
      <c r="C695" s="16">
        <f>IFERROR(SUMIF(Consolidado!$B$1:$B$1500,VLOOKUP(RegistroPago!A695,Consolidado!$B$1:$L$1500,1,FALSE),Consolidado!$G$1:$G$1500),"")</f>
        <v>0</v>
      </c>
      <c r="D695" s="3"/>
      <c r="E695" s="3"/>
      <c r="F695" s="5" t="str">
        <f t="shared" si="40"/>
        <v/>
      </c>
      <c r="G695" s="16" t="str">
        <f>IF(D695&lt;&gt;"",D695-VLOOKUP(A695,Consolidado!$B$1:$L$1500,8,FALSE),"")</f>
        <v/>
      </c>
      <c r="H695" s="31"/>
      <c r="I695" s="32">
        <f t="shared" si="41"/>
        <v>0</v>
      </c>
      <c r="J695" s="33" t="str">
        <f t="shared" si="42"/>
        <v/>
      </c>
      <c r="K695" s="2"/>
      <c r="L695" s="15"/>
      <c r="M695" s="34">
        <f t="shared" si="43"/>
        <v>0</v>
      </c>
    </row>
    <row r="696" spans="1:13" x14ac:dyDescent="0.25">
      <c r="A696" s="31"/>
      <c r="B696" s="16" t="str">
        <f>IFERROR(VLOOKUP(A696,Consolidado!$B$1:$L$1500,2,FALSE),"")</f>
        <v/>
      </c>
      <c r="C696" s="16">
        <f>IFERROR(SUMIF(Consolidado!$B$1:$B$1500,VLOOKUP(RegistroPago!A696,Consolidado!$B$1:$L$1500,1,FALSE),Consolidado!$G$1:$G$1500),"")</f>
        <v>0</v>
      </c>
      <c r="D696" s="3"/>
      <c r="E696" s="3"/>
      <c r="F696" s="5" t="str">
        <f t="shared" si="40"/>
        <v/>
      </c>
      <c r="G696" s="16" t="str">
        <f>IF(D696&lt;&gt;"",D696-VLOOKUP(A696,Consolidado!$B$1:$L$1500,8,FALSE),"")</f>
        <v/>
      </c>
      <c r="H696" s="31"/>
      <c r="I696" s="32">
        <f t="shared" si="41"/>
        <v>0</v>
      </c>
      <c r="J696" s="33" t="str">
        <f t="shared" si="42"/>
        <v/>
      </c>
      <c r="K696" s="2"/>
      <c r="L696" s="15"/>
      <c r="M696" s="34">
        <f t="shared" si="43"/>
        <v>0</v>
      </c>
    </row>
    <row r="697" spans="1:13" x14ac:dyDescent="0.25">
      <c r="A697" s="31"/>
      <c r="B697" s="16" t="str">
        <f>IFERROR(VLOOKUP(A697,Consolidado!$B$1:$L$1500,2,FALSE),"")</f>
        <v/>
      </c>
      <c r="C697" s="16">
        <f>IFERROR(SUMIF(Consolidado!$B$1:$B$1500,VLOOKUP(RegistroPago!A697,Consolidado!$B$1:$L$1500,1,FALSE),Consolidado!$G$1:$G$1500),"")</f>
        <v>0</v>
      </c>
      <c r="D697" s="3"/>
      <c r="E697" s="3"/>
      <c r="F697" s="5" t="str">
        <f t="shared" si="40"/>
        <v/>
      </c>
      <c r="G697" s="16" t="str">
        <f>IF(D697&lt;&gt;"",D697-VLOOKUP(A697,Consolidado!$B$1:$L$1500,8,FALSE),"")</f>
        <v/>
      </c>
      <c r="H697" s="31"/>
      <c r="I697" s="32">
        <f t="shared" si="41"/>
        <v>0</v>
      </c>
      <c r="J697" s="33" t="str">
        <f t="shared" si="42"/>
        <v/>
      </c>
      <c r="K697" s="2"/>
      <c r="L697" s="15"/>
      <c r="M697" s="34">
        <f t="shared" si="43"/>
        <v>0</v>
      </c>
    </row>
    <row r="698" spans="1:13" x14ac:dyDescent="0.25">
      <c r="A698" s="31"/>
      <c r="B698" s="16" t="str">
        <f>IFERROR(VLOOKUP(A698,Consolidado!$B$1:$L$1500,2,FALSE),"")</f>
        <v/>
      </c>
      <c r="C698" s="16">
        <f>IFERROR(SUMIF(Consolidado!$B$1:$B$1500,VLOOKUP(RegistroPago!A698,Consolidado!$B$1:$L$1500,1,FALSE),Consolidado!$G$1:$G$1500),"")</f>
        <v>0</v>
      </c>
      <c r="D698" s="3"/>
      <c r="E698" s="3"/>
      <c r="F698" s="5" t="str">
        <f t="shared" si="40"/>
        <v/>
      </c>
      <c r="G698" s="16" t="str">
        <f>IF(D698&lt;&gt;"",D698-VLOOKUP(A698,Consolidado!$B$1:$L$1500,8,FALSE),"")</f>
        <v/>
      </c>
      <c r="H698" s="31"/>
      <c r="I698" s="32">
        <f t="shared" si="41"/>
        <v>0</v>
      </c>
      <c r="J698" s="33" t="str">
        <f t="shared" si="42"/>
        <v/>
      </c>
      <c r="K698" s="2"/>
      <c r="L698" s="15"/>
      <c r="M698" s="34">
        <f t="shared" si="43"/>
        <v>0</v>
      </c>
    </row>
    <row r="699" spans="1:13" x14ac:dyDescent="0.25">
      <c r="A699" s="31"/>
      <c r="B699" s="16" t="str">
        <f>IFERROR(VLOOKUP(A699,Consolidado!$B$1:$L$1500,2,FALSE),"")</f>
        <v/>
      </c>
      <c r="C699" s="16">
        <f>IFERROR(SUMIF(Consolidado!$B$1:$B$1500,VLOOKUP(RegistroPago!A699,Consolidado!$B$1:$L$1500,1,FALSE),Consolidado!$G$1:$G$1500),"")</f>
        <v>0</v>
      </c>
      <c r="D699" s="3"/>
      <c r="E699" s="3"/>
      <c r="F699" s="5" t="str">
        <f t="shared" si="40"/>
        <v/>
      </c>
      <c r="G699" s="16" t="str">
        <f>IF(D699&lt;&gt;"",D699-VLOOKUP(A699,Consolidado!$B$1:$L$1500,8,FALSE),"")</f>
        <v/>
      </c>
      <c r="H699" s="31"/>
      <c r="I699" s="32">
        <f t="shared" si="41"/>
        <v>0</v>
      </c>
      <c r="J699" s="33" t="str">
        <f t="shared" si="42"/>
        <v/>
      </c>
      <c r="K699" s="2"/>
      <c r="L699" s="15"/>
      <c r="M699" s="34">
        <f t="shared" si="43"/>
        <v>0</v>
      </c>
    </row>
    <row r="700" spans="1:13" x14ac:dyDescent="0.25">
      <c r="A700" s="31"/>
      <c r="B700" s="16" t="str">
        <f>IFERROR(VLOOKUP(A700,Consolidado!$B$1:$L$1500,2,FALSE),"")</f>
        <v/>
      </c>
      <c r="C700" s="16">
        <f>IFERROR(SUMIF(Consolidado!$B$1:$B$1500,VLOOKUP(RegistroPago!A700,Consolidado!$B$1:$L$1500,1,FALSE),Consolidado!$G$1:$G$1500),"")</f>
        <v>0</v>
      </c>
      <c r="D700" s="3"/>
      <c r="E700" s="3"/>
      <c r="F700" s="5" t="str">
        <f t="shared" si="40"/>
        <v/>
      </c>
      <c r="G700" s="16" t="str">
        <f>IF(D700&lt;&gt;"",D700-VLOOKUP(A700,Consolidado!$B$1:$L$1500,8,FALSE),"")</f>
        <v/>
      </c>
      <c r="H700" s="31"/>
      <c r="I700" s="32">
        <f t="shared" si="41"/>
        <v>0</v>
      </c>
      <c r="J700" s="33" t="str">
        <f t="shared" si="42"/>
        <v/>
      </c>
      <c r="K700" s="2"/>
      <c r="L700" s="15"/>
      <c r="M700" s="34">
        <f t="shared" si="43"/>
        <v>0</v>
      </c>
    </row>
    <row r="701" spans="1:13" x14ac:dyDescent="0.25">
      <c r="A701" s="31"/>
      <c r="B701" s="16" t="str">
        <f>IFERROR(VLOOKUP(A701,Consolidado!$B$1:$L$1500,2,FALSE),"")</f>
        <v/>
      </c>
      <c r="C701" s="16">
        <f>IFERROR(SUMIF(Consolidado!$B$1:$B$1500,VLOOKUP(RegistroPago!A701,Consolidado!$B$1:$L$1500,1,FALSE),Consolidado!$G$1:$G$1500),"")</f>
        <v>0</v>
      </c>
      <c r="D701" s="3"/>
      <c r="E701" s="3"/>
      <c r="F701" s="5" t="str">
        <f t="shared" si="40"/>
        <v/>
      </c>
      <c r="G701" s="16" t="str">
        <f>IF(D701&lt;&gt;"",D701-VLOOKUP(A701,Consolidado!$B$1:$L$1500,8,FALSE),"")</f>
        <v/>
      </c>
      <c r="H701" s="31"/>
      <c r="I701" s="32">
        <f t="shared" si="41"/>
        <v>0</v>
      </c>
      <c r="J701" s="33" t="str">
        <f t="shared" si="42"/>
        <v/>
      </c>
      <c r="K701" s="2"/>
      <c r="L701" s="15"/>
      <c r="M701" s="34">
        <f t="shared" si="43"/>
        <v>0</v>
      </c>
    </row>
    <row r="702" spans="1:13" x14ac:dyDescent="0.25">
      <c r="A702" s="31"/>
      <c r="B702" s="16" t="str">
        <f>IFERROR(VLOOKUP(A702,Consolidado!$B$1:$L$1500,2,FALSE),"")</f>
        <v/>
      </c>
      <c r="C702" s="16">
        <f>IFERROR(SUMIF(Consolidado!$B$1:$B$1500,VLOOKUP(RegistroPago!A702,Consolidado!$B$1:$L$1500,1,FALSE),Consolidado!$G$1:$G$1500),"")</f>
        <v>0</v>
      </c>
      <c r="D702" s="3"/>
      <c r="E702" s="3"/>
      <c r="F702" s="5" t="str">
        <f t="shared" si="40"/>
        <v/>
      </c>
      <c r="G702" s="16" t="str">
        <f>IF(D702&lt;&gt;"",D702-VLOOKUP(A702,Consolidado!$B$1:$L$1500,8,FALSE),"")</f>
        <v/>
      </c>
      <c r="H702" s="31"/>
      <c r="I702" s="32">
        <f t="shared" si="41"/>
        <v>0</v>
      </c>
      <c r="J702" s="33" t="str">
        <f t="shared" si="42"/>
        <v/>
      </c>
      <c r="K702" s="2"/>
      <c r="L702" s="15"/>
      <c r="M702" s="34">
        <f t="shared" si="43"/>
        <v>0</v>
      </c>
    </row>
    <row r="703" spans="1:13" x14ac:dyDescent="0.25">
      <c r="A703" s="31"/>
      <c r="B703" s="16" t="str">
        <f>IFERROR(VLOOKUP(A703,Consolidado!$B$1:$L$1500,2,FALSE),"")</f>
        <v/>
      </c>
      <c r="C703" s="16">
        <f>IFERROR(SUMIF(Consolidado!$B$1:$B$1500,VLOOKUP(RegistroPago!A703,Consolidado!$B$1:$L$1500,1,FALSE),Consolidado!$G$1:$G$1500),"")</f>
        <v>0</v>
      </c>
      <c r="D703" s="3"/>
      <c r="E703" s="3"/>
      <c r="F703" s="5" t="str">
        <f t="shared" si="40"/>
        <v/>
      </c>
      <c r="G703" s="16" t="str">
        <f>IF(D703&lt;&gt;"",D703-VLOOKUP(A703,Consolidado!$B$1:$L$1500,8,FALSE),"")</f>
        <v/>
      </c>
      <c r="H703" s="31"/>
      <c r="I703" s="32">
        <f t="shared" si="41"/>
        <v>0</v>
      </c>
      <c r="J703" s="33" t="str">
        <f t="shared" si="42"/>
        <v/>
      </c>
      <c r="K703" s="2"/>
      <c r="L703" s="15"/>
      <c r="M703" s="34">
        <f t="shared" si="43"/>
        <v>0</v>
      </c>
    </row>
    <row r="704" spans="1:13" x14ac:dyDescent="0.25">
      <c r="A704" s="31"/>
      <c r="B704" s="16" t="str">
        <f>IFERROR(VLOOKUP(A704,Consolidado!$B$1:$L$1500,2,FALSE),"")</f>
        <v/>
      </c>
      <c r="C704" s="16">
        <f>IFERROR(SUMIF(Consolidado!$B$1:$B$1500,VLOOKUP(RegistroPago!A704,Consolidado!$B$1:$L$1500,1,FALSE),Consolidado!$G$1:$G$1500),"")</f>
        <v>0</v>
      </c>
      <c r="D704" s="3"/>
      <c r="E704" s="3"/>
      <c r="F704" s="5" t="str">
        <f t="shared" si="40"/>
        <v/>
      </c>
      <c r="G704" s="16" t="str">
        <f>IF(D704&lt;&gt;"",D704-VLOOKUP(A704,Consolidado!$B$1:$L$1500,8,FALSE),"")</f>
        <v/>
      </c>
      <c r="H704" s="31"/>
      <c r="I704" s="32">
        <f t="shared" si="41"/>
        <v>0</v>
      </c>
      <c r="J704" s="33" t="str">
        <f t="shared" si="42"/>
        <v/>
      </c>
      <c r="K704" s="2"/>
      <c r="L704" s="15"/>
      <c r="M704" s="34">
        <f t="shared" si="43"/>
        <v>0</v>
      </c>
    </row>
    <row r="705" spans="1:13" x14ac:dyDescent="0.25">
      <c r="A705" s="31"/>
      <c r="B705" s="16" t="str">
        <f>IFERROR(VLOOKUP(A705,Consolidado!$B$1:$L$1500,2,FALSE),"")</f>
        <v/>
      </c>
      <c r="C705" s="16">
        <f>IFERROR(SUMIF(Consolidado!$B$1:$B$1500,VLOOKUP(RegistroPago!A705,Consolidado!$B$1:$L$1500,1,FALSE),Consolidado!$G$1:$G$1500),"")</f>
        <v>0</v>
      </c>
      <c r="D705" s="3"/>
      <c r="E705" s="3"/>
      <c r="F705" s="5" t="str">
        <f t="shared" si="40"/>
        <v/>
      </c>
      <c r="G705" s="16" t="str">
        <f>IF(D705&lt;&gt;"",D705-VLOOKUP(A705,Consolidado!$B$1:$L$1500,8,FALSE),"")</f>
        <v/>
      </c>
      <c r="H705" s="31"/>
      <c r="I705" s="32">
        <f t="shared" si="41"/>
        <v>0</v>
      </c>
      <c r="J705" s="33" t="str">
        <f t="shared" si="42"/>
        <v/>
      </c>
      <c r="K705" s="2"/>
      <c r="L705" s="15"/>
      <c r="M705" s="34">
        <f t="shared" si="43"/>
        <v>0</v>
      </c>
    </row>
    <row r="706" spans="1:13" x14ac:dyDescent="0.25">
      <c r="A706" s="31"/>
      <c r="B706" s="16" t="str">
        <f>IFERROR(VLOOKUP(A706,Consolidado!$B$1:$L$1500,2,FALSE),"")</f>
        <v/>
      </c>
      <c r="C706" s="16">
        <f>IFERROR(SUMIF(Consolidado!$B$1:$B$1500,VLOOKUP(RegistroPago!A706,Consolidado!$B$1:$L$1500,1,FALSE),Consolidado!$G$1:$G$1500),"")</f>
        <v>0</v>
      </c>
      <c r="D706" s="3"/>
      <c r="E706" s="3"/>
      <c r="F706" s="5" t="str">
        <f t="shared" si="40"/>
        <v/>
      </c>
      <c r="G706" s="16" t="str">
        <f>IF(D706&lt;&gt;"",D706-VLOOKUP(A706,Consolidado!$B$1:$L$1500,8,FALSE),"")</f>
        <v/>
      </c>
      <c r="H706" s="31"/>
      <c r="I706" s="32">
        <f t="shared" si="41"/>
        <v>0</v>
      </c>
      <c r="J706" s="33" t="str">
        <f t="shared" si="42"/>
        <v/>
      </c>
      <c r="K706" s="2"/>
      <c r="L706" s="15"/>
      <c r="M706" s="34">
        <f t="shared" si="43"/>
        <v>0</v>
      </c>
    </row>
    <row r="707" spans="1:13" x14ac:dyDescent="0.25">
      <c r="A707" s="31"/>
      <c r="B707" s="16" t="str">
        <f>IFERROR(VLOOKUP(A707,Consolidado!$B$1:$L$1500,2,FALSE),"")</f>
        <v/>
      </c>
      <c r="C707" s="16">
        <f>IFERROR(SUMIF(Consolidado!$B$1:$B$1500,VLOOKUP(RegistroPago!A707,Consolidado!$B$1:$L$1500,1,FALSE),Consolidado!$G$1:$G$1500),"")</f>
        <v>0</v>
      </c>
      <c r="D707" s="3"/>
      <c r="E707" s="3"/>
      <c r="F707" s="5" t="str">
        <f t="shared" ref="F707:F770" si="44">IF(COUNTIF($E$2:$E$2000,E707)&gt;1,"Ya registrado","")</f>
        <v/>
      </c>
      <c r="G707" s="16" t="str">
        <f>IF(D707&lt;&gt;"",D707-VLOOKUP(A707,Consolidado!$B$1:$L$1500,8,FALSE),"")</f>
        <v/>
      </c>
      <c r="H707" s="31"/>
      <c r="I707" s="32">
        <f t="shared" ref="I707:I770" si="45">IFERROR(SUMIF($E$1:$E$2000,H707,$C$1:$C$2000)-SUMIF($E$1:$E$2000,H707,$F$1:$F$2000),"")</f>
        <v>0</v>
      </c>
      <c r="J707" s="33" t="str">
        <f t="shared" ref="J707:J770" si="46">IFERROR(I707/SUMIF($E$1:$E$2000,H707,$C$1:$C$2000),"")</f>
        <v/>
      </c>
      <c r="K707" s="2"/>
      <c r="L707" s="15"/>
      <c r="M707" s="34">
        <f t="shared" ref="M707:M770" si="47">IFERROR(L707*SUMIF($E$1:$E$2000,H707,$F$1:$F$2000),"")</f>
        <v>0</v>
      </c>
    </row>
    <row r="708" spans="1:13" x14ac:dyDescent="0.25">
      <c r="A708" s="31"/>
      <c r="B708" s="16" t="str">
        <f>IFERROR(VLOOKUP(A708,Consolidado!$B$1:$L$1500,2,FALSE),"")</f>
        <v/>
      </c>
      <c r="C708" s="16">
        <f>IFERROR(SUMIF(Consolidado!$B$1:$B$1500,VLOOKUP(RegistroPago!A708,Consolidado!$B$1:$L$1500,1,FALSE),Consolidado!$G$1:$G$1500),"")</f>
        <v>0</v>
      </c>
      <c r="D708" s="3"/>
      <c r="E708" s="3"/>
      <c r="F708" s="5" t="str">
        <f t="shared" si="44"/>
        <v/>
      </c>
      <c r="G708" s="16" t="str">
        <f>IF(D708&lt;&gt;"",D708-VLOOKUP(A708,Consolidado!$B$1:$L$1500,8,FALSE),"")</f>
        <v/>
      </c>
      <c r="H708" s="31"/>
      <c r="I708" s="32">
        <f t="shared" si="45"/>
        <v>0</v>
      </c>
      <c r="J708" s="33" t="str">
        <f t="shared" si="46"/>
        <v/>
      </c>
      <c r="K708" s="2"/>
      <c r="L708" s="15"/>
      <c r="M708" s="34">
        <f t="shared" si="47"/>
        <v>0</v>
      </c>
    </row>
    <row r="709" spans="1:13" x14ac:dyDescent="0.25">
      <c r="A709" s="31"/>
      <c r="B709" s="16" t="str">
        <f>IFERROR(VLOOKUP(A709,Consolidado!$B$1:$L$1500,2,FALSE),"")</f>
        <v/>
      </c>
      <c r="C709" s="16">
        <f>IFERROR(SUMIF(Consolidado!$B$1:$B$1500,VLOOKUP(RegistroPago!A709,Consolidado!$B$1:$L$1500,1,FALSE),Consolidado!$G$1:$G$1500),"")</f>
        <v>0</v>
      </c>
      <c r="D709" s="3"/>
      <c r="E709" s="3"/>
      <c r="F709" s="5" t="str">
        <f t="shared" si="44"/>
        <v/>
      </c>
      <c r="G709" s="16" t="str">
        <f>IF(D709&lt;&gt;"",D709-VLOOKUP(A709,Consolidado!$B$1:$L$1500,8,FALSE),"")</f>
        <v/>
      </c>
      <c r="H709" s="31"/>
      <c r="I709" s="32">
        <f t="shared" si="45"/>
        <v>0</v>
      </c>
      <c r="J709" s="33" t="str">
        <f t="shared" si="46"/>
        <v/>
      </c>
      <c r="K709" s="2"/>
      <c r="L709" s="15"/>
      <c r="M709" s="34">
        <f t="shared" si="47"/>
        <v>0</v>
      </c>
    </row>
    <row r="710" spans="1:13" x14ac:dyDescent="0.25">
      <c r="A710" s="31"/>
      <c r="B710" s="16" t="str">
        <f>IFERROR(VLOOKUP(A710,Consolidado!$B$1:$L$1500,2,FALSE),"")</f>
        <v/>
      </c>
      <c r="C710" s="16">
        <f>IFERROR(SUMIF(Consolidado!$B$1:$B$1500,VLOOKUP(RegistroPago!A710,Consolidado!$B$1:$L$1500,1,FALSE),Consolidado!$G$1:$G$1500),"")</f>
        <v>0</v>
      </c>
      <c r="D710" s="3"/>
      <c r="E710" s="3"/>
      <c r="F710" s="5" t="str">
        <f t="shared" si="44"/>
        <v/>
      </c>
      <c r="G710" s="16" t="str">
        <f>IF(D710&lt;&gt;"",D710-VLOOKUP(A710,Consolidado!$B$1:$L$1500,8,FALSE),"")</f>
        <v/>
      </c>
      <c r="H710" s="31"/>
      <c r="I710" s="32">
        <f t="shared" si="45"/>
        <v>0</v>
      </c>
      <c r="J710" s="33" t="str">
        <f t="shared" si="46"/>
        <v/>
      </c>
      <c r="K710" s="2"/>
      <c r="L710" s="15"/>
      <c r="M710" s="34">
        <f t="shared" si="47"/>
        <v>0</v>
      </c>
    </row>
    <row r="711" spans="1:13" x14ac:dyDescent="0.25">
      <c r="A711" s="31"/>
      <c r="B711" s="16" t="str">
        <f>IFERROR(VLOOKUP(A711,Consolidado!$B$1:$L$1500,2,FALSE),"")</f>
        <v/>
      </c>
      <c r="C711" s="16">
        <f>IFERROR(SUMIF(Consolidado!$B$1:$B$1500,VLOOKUP(RegistroPago!A711,Consolidado!$B$1:$L$1500,1,FALSE),Consolidado!$G$1:$G$1500),"")</f>
        <v>0</v>
      </c>
      <c r="D711" s="3"/>
      <c r="E711" s="3"/>
      <c r="F711" s="5" t="str">
        <f t="shared" si="44"/>
        <v/>
      </c>
      <c r="G711" s="16" t="str">
        <f>IF(D711&lt;&gt;"",D711-VLOOKUP(A711,Consolidado!$B$1:$L$1500,8,FALSE),"")</f>
        <v/>
      </c>
      <c r="H711" s="31"/>
      <c r="I711" s="32">
        <f t="shared" si="45"/>
        <v>0</v>
      </c>
      <c r="J711" s="33" t="str">
        <f t="shared" si="46"/>
        <v/>
      </c>
      <c r="K711" s="2"/>
      <c r="L711" s="15"/>
      <c r="M711" s="34">
        <f t="shared" si="47"/>
        <v>0</v>
      </c>
    </row>
    <row r="712" spans="1:13" x14ac:dyDescent="0.25">
      <c r="A712" s="31"/>
      <c r="B712" s="16" t="str">
        <f>IFERROR(VLOOKUP(A712,Consolidado!$B$1:$L$1500,2,FALSE),"")</f>
        <v/>
      </c>
      <c r="C712" s="16">
        <f>IFERROR(SUMIF(Consolidado!$B$1:$B$1500,VLOOKUP(RegistroPago!A712,Consolidado!$B$1:$L$1500,1,FALSE),Consolidado!$G$1:$G$1500),"")</f>
        <v>0</v>
      </c>
      <c r="D712" s="3"/>
      <c r="E712" s="3"/>
      <c r="F712" s="5" t="str">
        <f t="shared" si="44"/>
        <v/>
      </c>
      <c r="G712" s="16" t="str">
        <f>IF(D712&lt;&gt;"",D712-VLOOKUP(A712,Consolidado!$B$1:$L$1500,8,FALSE),"")</f>
        <v/>
      </c>
      <c r="H712" s="31"/>
      <c r="I712" s="32">
        <f t="shared" si="45"/>
        <v>0</v>
      </c>
      <c r="J712" s="33" t="str">
        <f t="shared" si="46"/>
        <v/>
      </c>
      <c r="K712" s="2"/>
      <c r="L712" s="15"/>
      <c r="M712" s="34">
        <f t="shared" si="47"/>
        <v>0</v>
      </c>
    </row>
    <row r="713" spans="1:13" x14ac:dyDescent="0.25">
      <c r="A713" s="31"/>
      <c r="B713" s="16" t="str">
        <f>IFERROR(VLOOKUP(A713,Consolidado!$B$1:$L$1500,2,FALSE),"")</f>
        <v/>
      </c>
      <c r="C713" s="16">
        <f>IFERROR(SUMIF(Consolidado!$B$1:$B$1500,VLOOKUP(RegistroPago!A713,Consolidado!$B$1:$L$1500,1,FALSE),Consolidado!$G$1:$G$1500),"")</f>
        <v>0</v>
      </c>
      <c r="D713" s="3"/>
      <c r="E713" s="3"/>
      <c r="F713" s="5" t="str">
        <f t="shared" si="44"/>
        <v/>
      </c>
      <c r="G713" s="16" t="str">
        <f>IF(D713&lt;&gt;"",D713-VLOOKUP(A713,Consolidado!$B$1:$L$1500,8,FALSE),"")</f>
        <v/>
      </c>
      <c r="H713" s="31"/>
      <c r="I713" s="32">
        <f t="shared" si="45"/>
        <v>0</v>
      </c>
      <c r="J713" s="33" t="str">
        <f t="shared" si="46"/>
        <v/>
      </c>
      <c r="K713" s="2"/>
      <c r="L713" s="15"/>
      <c r="M713" s="34">
        <f t="shared" si="47"/>
        <v>0</v>
      </c>
    </row>
    <row r="714" spans="1:13" x14ac:dyDescent="0.25">
      <c r="A714" s="31"/>
      <c r="B714" s="16" t="str">
        <f>IFERROR(VLOOKUP(A714,Consolidado!$B$1:$L$1500,2,FALSE),"")</f>
        <v/>
      </c>
      <c r="C714" s="16">
        <f>IFERROR(SUMIF(Consolidado!$B$1:$B$1500,VLOOKUP(RegistroPago!A714,Consolidado!$B$1:$L$1500,1,FALSE),Consolidado!$G$1:$G$1500),"")</f>
        <v>0</v>
      </c>
      <c r="D714" s="3"/>
      <c r="E714" s="3"/>
      <c r="F714" s="5" t="str">
        <f t="shared" si="44"/>
        <v/>
      </c>
      <c r="G714" s="16" t="str">
        <f>IF(D714&lt;&gt;"",D714-VLOOKUP(A714,Consolidado!$B$1:$L$1500,8,FALSE),"")</f>
        <v/>
      </c>
      <c r="H714" s="31"/>
      <c r="I714" s="32">
        <f t="shared" si="45"/>
        <v>0</v>
      </c>
      <c r="J714" s="33" t="str">
        <f t="shared" si="46"/>
        <v/>
      </c>
      <c r="K714" s="2"/>
      <c r="L714" s="15"/>
      <c r="M714" s="34">
        <f t="shared" si="47"/>
        <v>0</v>
      </c>
    </row>
    <row r="715" spans="1:13" x14ac:dyDescent="0.25">
      <c r="A715" s="31"/>
      <c r="B715" s="16" t="str">
        <f>IFERROR(VLOOKUP(A715,Consolidado!$B$1:$L$1500,2,FALSE),"")</f>
        <v/>
      </c>
      <c r="C715" s="16">
        <f>IFERROR(SUMIF(Consolidado!$B$1:$B$1500,VLOOKUP(RegistroPago!A715,Consolidado!$B$1:$L$1500,1,FALSE),Consolidado!$G$1:$G$1500),"")</f>
        <v>0</v>
      </c>
      <c r="D715" s="3"/>
      <c r="E715" s="3"/>
      <c r="F715" s="5" t="str">
        <f t="shared" si="44"/>
        <v/>
      </c>
      <c r="G715" s="16" t="str">
        <f>IF(D715&lt;&gt;"",D715-VLOOKUP(A715,Consolidado!$B$1:$L$1500,8,FALSE),"")</f>
        <v/>
      </c>
      <c r="H715" s="31"/>
      <c r="I715" s="32">
        <f t="shared" si="45"/>
        <v>0</v>
      </c>
      <c r="J715" s="33" t="str">
        <f t="shared" si="46"/>
        <v/>
      </c>
      <c r="K715" s="2"/>
      <c r="L715" s="15"/>
      <c r="M715" s="34">
        <f t="shared" si="47"/>
        <v>0</v>
      </c>
    </row>
    <row r="716" spans="1:13" x14ac:dyDescent="0.25">
      <c r="A716" s="31"/>
      <c r="B716" s="16" t="str">
        <f>IFERROR(VLOOKUP(A716,Consolidado!$B$1:$L$1500,2,FALSE),"")</f>
        <v/>
      </c>
      <c r="C716" s="16">
        <f>IFERROR(SUMIF(Consolidado!$B$1:$B$1500,VLOOKUP(RegistroPago!A716,Consolidado!$B$1:$L$1500,1,FALSE),Consolidado!$G$1:$G$1500),"")</f>
        <v>0</v>
      </c>
      <c r="D716" s="3"/>
      <c r="E716" s="3"/>
      <c r="F716" s="5" t="str">
        <f t="shared" si="44"/>
        <v/>
      </c>
      <c r="G716" s="16" t="str">
        <f>IF(D716&lt;&gt;"",D716-VLOOKUP(A716,Consolidado!$B$1:$L$1500,8,FALSE),"")</f>
        <v/>
      </c>
      <c r="H716" s="31"/>
      <c r="I716" s="32">
        <f t="shared" si="45"/>
        <v>0</v>
      </c>
      <c r="J716" s="33" t="str">
        <f t="shared" si="46"/>
        <v/>
      </c>
      <c r="K716" s="2"/>
      <c r="L716" s="15"/>
      <c r="M716" s="34">
        <f t="shared" si="47"/>
        <v>0</v>
      </c>
    </row>
    <row r="717" spans="1:13" x14ac:dyDescent="0.25">
      <c r="A717" s="31"/>
      <c r="B717" s="16" t="str">
        <f>IFERROR(VLOOKUP(A717,Consolidado!$B$1:$L$1500,2,FALSE),"")</f>
        <v/>
      </c>
      <c r="C717" s="16">
        <f>IFERROR(SUMIF(Consolidado!$B$1:$B$1500,VLOOKUP(RegistroPago!A717,Consolidado!$B$1:$L$1500,1,FALSE),Consolidado!$G$1:$G$1500),"")</f>
        <v>0</v>
      </c>
      <c r="D717" s="3"/>
      <c r="E717" s="3"/>
      <c r="F717" s="5" t="str">
        <f t="shared" si="44"/>
        <v/>
      </c>
      <c r="G717" s="16" t="str">
        <f>IF(D717&lt;&gt;"",D717-VLOOKUP(A717,Consolidado!$B$1:$L$1500,8,FALSE),"")</f>
        <v/>
      </c>
      <c r="H717" s="31"/>
      <c r="I717" s="32">
        <f t="shared" si="45"/>
        <v>0</v>
      </c>
      <c r="J717" s="33" t="str">
        <f t="shared" si="46"/>
        <v/>
      </c>
      <c r="K717" s="2"/>
      <c r="L717" s="15"/>
      <c r="M717" s="34">
        <f t="shared" si="47"/>
        <v>0</v>
      </c>
    </row>
    <row r="718" spans="1:13" x14ac:dyDescent="0.25">
      <c r="A718" s="31"/>
      <c r="B718" s="16" t="str">
        <f>IFERROR(VLOOKUP(A718,Consolidado!$B$1:$L$1500,2,FALSE),"")</f>
        <v/>
      </c>
      <c r="C718" s="16">
        <f>IFERROR(SUMIF(Consolidado!$B$1:$B$1500,VLOOKUP(RegistroPago!A718,Consolidado!$B$1:$L$1500,1,FALSE),Consolidado!$G$1:$G$1500),"")</f>
        <v>0</v>
      </c>
      <c r="D718" s="3"/>
      <c r="E718" s="3"/>
      <c r="F718" s="5" t="str">
        <f t="shared" si="44"/>
        <v/>
      </c>
      <c r="G718" s="16" t="str">
        <f>IF(D718&lt;&gt;"",D718-VLOOKUP(A718,Consolidado!$B$1:$L$1500,8,FALSE),"")</f>
        <v/>
      </c>
      <c r="H718" s="31"/>
      <c r="I718" s="32">
        <f t="shared" si="45"/>
        <v>0</v>
      </c>
      <c r="J718" s="33" t="str">
        <f t="shared" si="46"/>
        <v/>
      </c>
      <c r="K718" s="2"/>
      <c r="L718" s="15"/>
      <c r="M718" s="34">
        <f t="shared" si="47"/>
        <v>0</v>
      </c>
    </row>
    <row r="719" spans="1:13" x14ac:dyDescent="0.25">
      <c r="A719" s="31"/>
      <c r="B719" s="16" t="str">
        <f>IFERROR(VLOOKUP(A719,Consolidado!$B$1:$L$1500,2,FALSE),"")</f>
        <v/>
      </c>
      <c r="C719" s="16">
        <f>IFERROR(SUMIF(Consolidado!$B$1:$B$1500,VLOOKUP(RegistroPago!A719,Consolidado!$B$1:$L$1500,1,FALSE),Consolidado!$G$1:$G$1500),"")</f>
        <v>0</v>
      </c>
      <c r="D719" s="3"/>
      <c r="E719" s="3"/>
      <c r="F719" s="5" t="str">
        <f t="shared" si="44"/>
        <v/>
      </c>
      <c r="G719" s="16" t="str">
        <f>IF(D719&lt;&gt;"",D719-VLOOKUP(A719,Consolidado!$B$1:$L$1500,8,FALSE),"")</f>
        <v/>
      </c>
      <c r="H719" s="31"/>
      <c r="I719" s="32">
        <f t="shared" si="45"/>
        <v>0</v>
      </c>
      <c r="J719" s="33" t="str">
        <f t="shared" si="46"/>
        <v/>
      </c>
      <c r="K719" s="2"/>
      <c r="L719" s="15"/>
      <c r="M719" s="34">
        <f t="shared" si="47"/>
        <v>0</v>
      </c>
    </row>
    <row r="720" spans="1:13" x14ac:dyDescent="0.25">
      <c r="A720" s="31"/>
      <c r="B720" s="16" t="str">
        <f>IFERROR(VLOOKUP(A720,Consolidado!$B$1:$L$1500,2,FALSE),"")</f>
        <v/>
      </c>
      <c r="C720" s="16">
        <f>IFERROR(SUMIF(Consolidado!$B$1:$B$1500,VLOOKUP(RegistroPago!A720,Consolidado!$B$1:$L$1500,1,FALSE),Consolidado!$G$1:$G$1500),"")</f>
        <v>0</v>
      </c>
      <c r="D720" s="3"/>
      <c r="E720" s="3"/>
      <c r="F720" s="5" t="str">
        <f t="shared" si="44"/>
        <v/>
      </c>
      <c r="G720" s="16" t="str">
        <f>IF(D720&lt;&gt;"",D720-VLOOKUP(A720,Consolidado!$B$1:$L$1500,8,FALSE),"")</f>
        <v/>
      </c>
      <c r="H720" s="31"/>
      <c r="I720" s="32">
        <f t="shared" si="45"/>
        <v>0</v>
      </c>
      <c r="J720" s="33" t="str">
        <f t="shared" si="46"/>
        <v/>
      </c>
      <c r="K720" s="2"/>
      <c r="L720" s="15"/>
      <c r="M720" s="34">
        <f t="shared" si="47"/>
        <v>0</v>
      </c>
    </row>
    <row r="721" spans="1:13" x14ac:dyDescent="0.25">
      <c r="A721" s="31"/>
      <c r="B721" s="16" t="str">
        <f>IFERROR(VLOOKUP(A721,Consolidado!$B$1:$L$1500,2,FALSE),"")</f>
        <v/>
      </c>
      <c r="C721" s="16">
        <f>IFERROR(SUMIF(Consolidado!$B$1:$B$1500,VLOOKUP(RegistroPago!A721,Consolidado!$B$1:$L$1500,1,FALSE),Consolidado!$G$1:$G$1500),"")</f>
        <v>0</v>
      </c>
      <c r="D721" s="3"/>
      <c r="E721" s="3"/>
      <c r="F721" s="5" t="str">
        <f t="shared" si="44"/>
        <v/>
      </c>
      <c r="G721" s="16" t="str">
        <f>IF(D721&lt;&gt;"",D721-VLOOKUP(A721,Consolidado!$B$1:$L$1500,8,FALSE),"")</f>
        <v/>
      </c>
      <c r="H721" s="31"/>
      <c r="I721" s="32">
        <f t="shared" si="45"/>
        <v>0</v>
      </c>
      <c r="J721" s="33" t="str">
        <f t="shared" si="46"/>
        <v/>
      </c>
      <c r="K721" s="2"/>
      <c r="L721" s="15"/>
      <c r="M721" s="34">
        <f t="shared" si="47"/>
        <v>0</v>
      </c>
    </row>
    <row r="722" spans="1:13" x14ac:dyDescent="0.25">
      <c r="A722" s="31"/>
      <c r="B722" s="16" t="str">
        <f>IFERROR(VLOOKUP(A722,Consolidado!$B$1:$L$1500,2,FALSE),"")</f>
        <v/>
      </c>
      <c r="C722" s="16">
        <f>IFERROR(SUMIF(Consolidado!$B$1:$B$1500,VLOOKUP(RegistroPago!A722,Consolidado!$B$1:$L$1500,1,FALSE),Consolidado!$G$1:$G$1500),"")</f>
        <v>0</v>
      </c>
      <c r="D722" s="3"/>
      <c r="E722" s="3"/>
      <c r="F722" s="5" t="str">
        <f t="shared" si="44"/>
        <v/>
      </c>
      <c r="G722" s="16" t="str">
        <f>IF(D722&lt;&gt;"",D722-VLOOKUP(A722,Consolidado!$B$1:$L$1500,8,FALSE),"")</f>
        <v/>
      </c>
      <c r="H722" s="31"/>
      <c r="I722" s="32">
        <f t="shared" si="45"/>
        <v>0</v>
      </c>
      <c r="J722" s="33" t="str">
        <f t="shared" si="46"/>
        <v/>
      </c>
      <c r="K722" s="2"/>
      <c r="L722" s="15"/>
      <c r="M722" s="34">
        <f t="shared" si="47"/>
        <v>0</v>
      </c>
    </row>
    <row r="723" spans="1:13" x14ac:dyDescent="0.25">
      <c r="A723" s="31"/>
      <c r="B723" s="16" t="str">
        <f>IFERROR(VLOOKUP(A723,Consolidado!$B$1:$L$1500,2,FALSE),"")</f>
        <v/>
      </c>
      <c r="C723" s="16">
        <f>IFERROR(SUMIF(Consolidado!$B$1:$B$1500,VLOOKUP(RegistroPago!A723,Consolidado!$B$1:$L$1500,1,FALSE),Consolidado!$G$1:$G$1500),"")</f>
        <v>0</v>
      </c>
      <c r="D723" s="3"/>
      <c r="E723" s="3"/>
      <c r="F723" s="5" t="str">
        <f t="shared" si="44"/>
        <v/>
      </c>
      <c r="G723" s="16" t="str">
        <f>IF(D723&lt;&gt;"",D723-VLOOKUP(A723,Consolidado!$B$1:$L$1500,8,FALSE),"")</f>
        <v/>
      </c>
      <c r="H723" s="31"/>
      <c r="I723" s="32">
        <f t="shared" si="45"/>
        <v>0</v>
      </c>
      <c r="J723" s="33" t="str">
        <f t="shared" si="46"/>
        <v/>
      </c>
      <c r="K723" s="2"/>
      <c r="L723" s="15"/>
      <c r="M723" s="34">
        <f t="shared" si="47"/>
        <v>0</v>
      </c>
    </row>
    <row r="724" spans="1:13" x14ac:dyDescent="0.25">
      <c r="A724" s="31"/>
      <c r="B724" s="16" t="str">
        <f>IFERROR(VLOOKUP(A724,Consolidado!$B$1:$L$1500,2,FALSE),"")</f>
        <v/>
      </c>
      <c r="C724" s="16">
        <f>IFERROR(SUMIF(Consolidado!$B$1:$B$1500,VLOOKUP(RegistroPago!A724,Consolidado!$B$1:$L$1500,1,FALSE),Consolidado!$G$1:$G$1500),"")</f>
        <v>0</v>
      </c>
      <c r="D724" s="3"/>
      <c r="E724" s="3"/>
      <c r="F724" s="5" t="str">
        <f t="shared" si="44"/>
        <v/>
      </c>
      <c r="G724" s="16" t="str">
        <f>IF(D724&lt;&gt;"",D724-VLOOKUP(A724,Consolidado!$B$1:$L$1500,8,FALSE),"")</f>
        <v/>
      </c>
      <c r="H724" s="31"/>
      <c r="I724" s="32">
        <f t="shared" si="45"/>
        <v>0</v>
      </c>
      <c r="J724" s="33" t="str">
        <f t="shared" si="46"/>
        <v/>
      </c>
      <c r="K724" s="2"/>
      <c r="L724" s="15"/>
      <c r="M724" s="34">
        <f t="shared" si="47"/>
        <v>0</v>
      </c>
    </row>
    <row r="725" spans="1:13" x14ac:dyDescent="0.25">
      <c r="A725" s="31"/>
      <c r="B725" s="16" t="str">
        <f>IFERROR(VLOOKUP(A725,Consolidado!$B$1:$L$1500,2,FALSE),"")</f>
        <v/>
      </c>
      <c r="C725" s="16">
        <f>IFERROR(SUMIF(Consolidado!$B$1:$B$1500,VLOOKUP(RegistroPago!A725,Consolidado!$B$1:$L$1500,1,FALSE),Consolidado!$G$1:$G$1500),"")</f>
        <v>0</v>
      </c>
      <c r="D725" s="3"/>
      <c r="E725" s="3"/>
      <c r="F725" s="5" t="str">
        <f t="shared" si="44"/>
        <v/>
      </c>
      <c r="G725" s="16" t="str">
        <f>IF(D725&lt;&gt;"",D725-VLOOKUP(A725,Consolidado!$B$1:$L$1500,8,FALSE),"")</f>
        <v/>
      </c>
      <c r="H725" s="31"/>
      <c r="I725" s="32">
        <f t="shared" si="45"/>
        <v>0</v>
      </c>
      <c r="J725" s="33" t="str">
        <f t="shared" si="46"/>
        <v/>
      </c>
      <c r="K725" s="2"/>
      <c r="L725" s="15"/>
      <c r="M725" s="34">
        <f t="shared" si="47"/>
        <v>0</v>
      </c>
    </row>
    <row r="726" spans="1:13" x14ac:dyDescent="0.25">
      <c r="A726" s="31"/>
      <c r="B726" s="16" t="str">
        <f>IFERROR(VLOOKUP(A726,Consolidado!$B$1:$L$1500,2,FALSE),"")</f>
        <v/>
      </c>
      <c r="C726" s="16">
        <f>IFERROR(SUMIF(Consolidado!$B$1:$B$1500,VLOOKUP(RegistroPago!A726,Consolidado!$B$1:$L$1500,1,FALSE),Consolidado!$G$1:$G$1500),"")</f>
        <v>0</v>
      </c>
      <c r="D726" s="3"/>
      <c r="E726" s="3"/>
      <c r="F726" s="5" t="str">
        <f t="shared" si="44"/>
        <v/>
      </c>
      <c r="G726" s="16" t="str">
        <f>IF(D726&lt;&gt;"",D726-VLOOKUP(A726,Consolidado!$B$1:$L$1500,8,FALSE),"")</f>
        <v/>
      </c>
      <c r="H726" s="31"/>
      <c r="I726" s="32">
        <f t="shared" si="45"/>
        <v>0</v>
      </c>
      <c r="J726" s="33" t="str">
        <f t="shared" si="46"/>
        <v/>
      </c>
      <c r="K726" s="2"/>
      <c r="L726" s="15"/>
      <c r="M726" s="34">
        <f t="shared" si="47"/>
        <v>0</v>
      </c>
    </row>
    <row r="727" spans="1:13" x14ac:dyDescent="0.25">
      <c r="A727" s="31"/>
      <c r="B727" s="16" t="str">
        <f>IFERROR(VLOOKUP(A727,Consolidado!$B$1:$L$1500,2,FALSE),"")</f>
        <v/>
      </c>
      <c r="C727" s="16">
        <f>IFERROR(SUMIF(Consolidado!$B$1:$B$1500,VLOOKUP(RegistroPago!A727,Consolidado!$B$1:$L$1500,1,FALSE),Consolidado!$G$1:$G$1500),"")</f>
        <v>0</v>
      </c>
      <c r="D727" s="3"/>
      <c r="E727" s="3"/>
      <c r="F727" s="5" t="str">
        <f t="shared" si="44"/>
        <v/>
      </c>
      <c r="G727" s="16" t="str">
        <f>IF(D727&lt;&gt;"",D727-VLOOKUP(A727,Consolidado!$B$1:$L$1500,8,FALSE),"")</f>
        <v/>
      </c>
      <c r="H727" s="31"/>
      <c r="I727" s="32">
        <f t="shared" si="45"/>
        <v>0</v>
      </c>
      <c r="J727" s="33" t="str">
        <f t="shared" si="46"/>
        <v/>
      </c>
      <c r="K727" s="2"/>
      <c r="L727" s="15"/>
      <c r="M727" s="34">
        <f t="shared" si="47"/>
        <v>0</v>
      </c>
    </row>
    <row r="728" spans="1:13" x14ac:dyDescent="0.25">
      <c r="A728" s="31"/>
      <c r="B728" s="16" t="str">
        <f>IFERROR(VLOOKUP(A728,Consolidado!$B$1:$L$1500,2,FALSE),"")</f>
        <v/>
      </c>
      <c r="C728" s="16">
        <f>IFERROR(SUMIF(Consolidado!$B$1:$B$1500,VLOOKUP(RegistroPago!A728,Consolidado!$B$1:$L$1500,1,FALSE),Consolidado!$G$1:$G$1500),"")</f>
        <v>0</v>
      </c>
      <c r="D728" s="3"/>
      <c r="E728" s="3"/>
      <c r="F728" s="5" t="str">
        <f t="shared" si="44"/>
        <v/>
      </c>
      <c r="G728" s="16" t="str">
        <f>IF(D728&lt;&gt;"",D728-VLOOKUP(A728,Consolidado!$B$1:$L$1500,8,FALSE),"")</f>
        <v/>
      </c>
      <c r="H728" s="31"/>
      <c r="I728" s="32">
        <f t="shared" si="45"/>
        <v>0</v>
      </c>
      <c r="J728" s="33" t="str">
        <f t="shared" si="46"/>
        <v/>
      </c>
      <c r="K728" s="2"/>
      <c r="L728" s="15"/>
      <c r="M728" s="34">
        <f t="shared" si="47"/>
        <v>0</v>
      </c>
    </row>
    <row r="729" spans="1:13" x14ac:dyDescent="0.25">
      <c r="A729" s="31"/>
      <c r="B729" s="16" t="str">
        <f>IFERROR(VLOOKUP(A729,Consolidado!$B$1:$L$1500,2,FALSE),"")</f>
        <v/>
      </c>
      <c r="C729" s="16">
        <f>IFERROR(SUMIF(Consolidado!$B$1:$B$1500,VLOOKUP(RegistroPago!A729,Consolidado!$B$1:$L$1500,1,FALSE),Consolidado!$G$1:$G$1500),"")</f>
        <v>0</v>
      </c>
      <c r="D729" s="3"/>
      <c r="E729" s="3"/>
      <c r="F729" s="5" t="str">
        <f t="shared" si="44"/>
        <v/>
      </c>
      <c r="G729" s="16" t="str">
        <f>IF(D729&lt;&gt;"",D729-VLOOKUP(A729,Consolidado!$B$1:$L$1500,8,FALSE),"")</f>
        <v/>
      </c>
      <c r="H729" s="31"/>
      <c r="I729" s="32">
        <f t="shared" si="45"/>
        <v>0</v>
      </c>
      <c r="J729" s="33" t="str">
        <f t="shared" si="46"/>
        <v/>
      </c>
      <c r="K729" s="2"/>
      <c r="L729" s="15"/>
      <c r="M729" s="34">
        <f t="shared" si="47"/>
        <v>0</v>
      </c>
    </row>
    <row r="730" spans="1:13" x14ac:dyDescent="0.25">
      <c r="A730" s="31"/>
      <c r="B730" s="16" t="str">
        <f>IFERROR(VLOOKUP(A730,Consolidado!$B$1:$L$1500,2,FALSE),"")</f>
        <v/>
      </c>
      <c r="C730" s="16">
        <f>IFERROR(SUMIF(Consolidado!$B$1:$B$1500,VLOOKUP(RegistroPago!A730,Consolidado!$B$1:$L$1500,1,FALSE),Consolidado!$G$1:$G$1500),"")</f>
        <v>0</v>
      </c>
      <c r="D730" s="3"/>
      <c r="E730" s="3"/>
      <c r="F730" s="5" t="str">
        <f t="shared" si="44"/>
        <v/>
      </c>
      <c r="G730" s="16" t="str">
        <f>IF(D730&lt;&gt;"",D730-VLOOKUP(A730,Consolidado!$B$1:$L$1500,8,FALSE),"")</f>
        <v/>
      </c>
      <c r="H730" s="31"/>
      <c r="I730" s="32">
        <f t="shared" si="45"/>
        <v>0</v>
      </c>
      <c r="J730" s="33" t="str">
        <f t="shared" si="46"/>
        <v/>
      </c>
      <c r="K730" s="2"/>
      <c r="L730" s="15"/>
      <c r="M730" s="34">
        <f t="shared" si="47"/>
        <v>0</v>
      </c>
    </row>
    <row r="731" spans="1:13" x14ac:dyDescent="0.25">
      <c r="A731" s="31"/>
      <c r="B731" s="16" t="str">
        <f>IFERROR(VLOOKUP(A731,Consolidado!$B$1:$L$1500,2,FALSE),"")</f>
        <v/>
      </c>
      <c r="C731" s="16">
        <f>IFERROR(SUMIF(Consolidado!$B$1:$B$1500,VLOOKUP(RegistroPago!A731,Consolidado!$B$1:$L$1500,1,FALSE),Consolidado!$G$1:$G$1500),"")</f>
        <v>0</v>
      </c>
      <c r="D731" s="3"/>
      <c r="E731" s="3"/>
      <c r="F731" s="5" t="str">
        <f t="shared" si="44"/>
        <v/>
      </c>
      <c r="G731" s="16" t="str">
        <f>IF(D731&lt;&gt;"",D731-VLOOKUP(A731,Consolidado!$B$1:$L$1500,8,FALSE),"")</f>
        <v/>
      </c>
      <c r="H731" s="31"/>
      <c r="I731" s="32">
        <f t="shared" si="45"/>
        <v>0</v>
      </c>
      <c r="J731" s="33" t="str">
        <f t="shared" si="46"/>
        <v/>
      </c>
      <c r="K731" s="2"/>
      <c r="L731" s="15"/>
      <c r="M731" s="34">
        <f t="shared" si="47"/>
        <v>0</v>
      </c>
    </row>
    <row r="732" spans="1:13" x14ac:dyDescent="0.25">
      <c r="A732" s="31"/>
      <c r="B732" s="16" t="str">
        <f>IFERROR(VLOOKUP(A732,Consolidado!$B$1:$L$1500,2,FALSE),"")</f>
        <v/>
      </c>
      <c r="C732" s="16">
        <f>IFERROR(SUMIF(Consolidado!$B$1:$B$1500,VLOOKUP(RegistroPago!A732,Consolidado!$B$1:$L$1500,1,FALSE),Consolidado!$G$1:$G$1500),"")</f>
        <v>0</v>
      </c>
      <c r="D732" s="3"/>
      <c r="E732" s="3"/>
      <c r="F732" s="5" t="str">
        <f t="shared" si="44"/>
        <v/>
      </c>
      <c r="G732" s="16" t="str">
        <f>IF(D732&lt;&gt;"",D732-VLOOKUP(A732,Consolidado!$B$1:$L$1500,8,FALSE),"")</f>
        <v/>
      </c>
      <c r="H732" s="31"/>
      <c r="I732" s="32">
        <f t="shared" si="45"/>
        <v>0</v>
      </c>
      <c r="J732" s="33" t="str">
        <f t="shared" si="46"/>
        <v/>
      </c>
      <c r="K732" s="2"/>
      <c r="L732" s="15"/>
      <c r="M732" s="34">
        <f t="shared" si="47"/>
        <v>0</v>
      </c>
    </row>
    <row r="733" spans="1:13" x14ac:dyDescent="0.25">
      <c r="A733" s="31"/>
      <c r="B733" s="16" t="str">
        <f>IFERROR(VLOOKUP(A733,Consolidado!$B$1:$L$1500,2,FALSE),"")</f>
        <v/>
      </c>
      <c r="C733" s="16">
        <f>IFERROR(SUMIF(Consolidado!$B$1:$B$1500,VLOOKUP(RegistroPago!A733,Consolidado!$B$1:$L$1500,1,FALSE),Consolidado!$G$1:$G$1500),"")</f>
        <v>0</v>
      </c>
      <c r="D733" s="3"/>
      <c r="E733" s="3"/>
      <c r="F733" s="5" t="str">
        <f t="shared" si="44"/>
        <v/>
      </c>
      <c r="G733" s="16" t="str">
        <f>IF(D733&lt;&gt;"",D733-VLOOKUP(A733,Consolidado!$B$1:$L$1500,8,FALSE),"")</f>
        <v/>
      </c>
      <c r="H733" s="31"/>
      <c r="I733" s="32">
        <f t="shared" si="45"/>
        <v>0</v>
      </c>
      <c r="J733" s="33" t="str">
        <f t="shared" si="46"/>
        <v/>
      </c>
      <c r="K733" s="2"/>
      <c r="L733" s="15"/>
      <c r="M733" s="34">
        <f t="shared" si="47"/>
        <v>0</v>
      </c>
    </row>
    <row r="734" spans="1:13" x14ac:dyDescent="0.25">
      <c r="A734" s="31"/>
      <c r="B734" s="16" t="str">
        <f>IFERROR(VLOOKUP(A734,Consolidado!$B$1:$L$1500,2,FALSE),"")</f>
        <v/>
      </c>
      <c r="C734" s="16">
        <f>IFERROR(SUMIF(Consolidado!$B$1:$B$1500,VLOOKUP(RegistroPago!A734,Consolidado!$B$1:$L$1500,1,FALSE),Consolidado!$G$1:$G$1500),"")</f>
        <v>0</v>
      </c>
      <c r="D734" s="3"/>
      <c r="E734" s="3"/>
      <c r="F734" s="5" t="str">
        <f t="shared" si="44"/>
        <v/>
      </c>
      <c r="G734" s="16" t="str">
        <f>IF(D734&lt;&gt;"",D734-VLOOKUP(A734,Consolidado!$B$1:$L$1500,8,FALSE),"")</f>
        <v/>
      </c>
      <c r="H734" s="31"/>
      <c r="I734" s="32">
        <f t="shared" si="45"/>
        <v>0</v>
      </c>
      <c r="J734" s="33" t="str">
        <f t="shared" si="46"/>
        <v/>
      </c>
      <c r="K734" s="2"/>
      <c r="L734" s="15"/>
      <c r="M734" s="34">
        <f t="shared" si="47"/>
        <v>0</v>
      </c>
    </row>
    <row r="735" spans="1:13" x14ac:dyDescent="0.25">
      <c r="A735" s="31"/>
      <c r="B735" s="16" t="str">
        <f>IFERROR(VLOOKUP(A735,Consolidado!$B$1:$L$1500,2,FALSE),"")</f>
        <v/>
      </c>
      <c r="C735" s="16">
        <f>IFERROR(SUMIF(Consolidado!$B$1:$B$1500,VLOOKUP(RegistroPago!A735,Consolidado!$B$1:$L$1500,1,FALSE),Consolidado!$G$1:$G$1500),"")</f>
        <v>0</v>
      </c>
      <c r="D735" s="3"/>
      <c r="E735" s="3"/>
      <c r="F735" s="5" t="str">
        <f t="shared" si="44"/>
        <v/>
      </c>
      <c r="G735" s="16" t="str">
        <f>IF(D735&lt;&gt;"",D735-VLOOKUP(A735,Consolidado!$B$1:$L$1500,8,FALSE),"")</f>
        <v/>
      </c>
      <c r="H735" s="31"/>
      <c r="I735" s="32">
        <f t="shared" si="45"/>
        <v>0</v>
      </c>
      <c r="J735" s="33" t="str">
        <f t="shared" si="46"/>
        <v/>
      </c>
      <c r="K735" s="2"/>
      <c r="L735" s="15"/>
      <c r="M735" s="34">
        <f t="shared" si="47"/>
        <v>0</v>
      </c>
    </row>
    <row r="736" spans="1:13" x14ac:dyDescent="0.25">
      <c r="A736" s="31"/>
      <c r="B736" s="16" t="str">
        <f>IFERROR(VLOOKUP(A736,Consolidado!$B$1:$L$1500,2,FALSE),"")</f>
        <v/>
      </c>
      <c r="C736" s="16">
        <f>IFERROR(SUMIF(Consolidado!$B$1:$B$1500,VLOOKUP(RegistroPago!A736,Consolidado!$B$1:$L$1500,1,FALSE),Consolidado!$G$1:$G$1500),"")</f>
        <v>0</v>
      </c>
      <c r="D736" s="3"/>
      <c r="E736" s="3"/>
      <c r="F736" s="5" t="str">
        <f t="shared" si="44"/>
        <v/>
      </c>
      <c r="G736" s="16" t="str">
        <f>IF(D736&lt;&gt;"",D736-VLOOKUP(A736,Consolidado!$B$1:$L$1500,8,FALSE),"")</f>
        <v/>
      </c>
      <c r="H736" s="31"/>
      <c r="I736" s="32">
        <f t="shared" si="45"/>
        <v>0</v>
      </c>
      <c r="J736" s="33" t="str">
        <f t="shared" si="46"/>
        <v/>
      </c>
      <c r="K736" s="2"/>
      <c r="L736" s="15"/>
      <c r="M736" s="34">
        <f t="shared" si="47"/>
        <v>0</v>
      </c>
    </row>
    <row r="737" spans="1:13" x14ac:dyDescent="0.25">
      <c r="A737" s="31"/>
      <c r="B737" s="16" t="str">
        <f>IFERROR(VLOOKUP(A737,Consolidado!$B$1:$L$1500,2,FALSE),"")</f>
        <v/>
      </c>
      <c r="C737" s="16">
        <f>IFERROR(SUMIF(Consolidado!$B$1:$B$1500,VLOOKUP(RegistroPago!A737,Consolidado!$B$1:$L$1500,1,FALSE),Consolidado!$G$1:$G$1500),"")</f>
        <v>0</v>
      </c>
      <c r="D737" s="3"/>
      <c r="E737" s="3"/>
      <c r="F737" s="5" t="str">
        <f t="shared" si="44"/>
        <v/>
      </c>
      <c r="G737" s="16" t="str">
        <f>IF(D737&lt;&gt;"",D737-VLOOKUP(A737,Consolidado!$B$1:$L$1500,8,FALSE),"")</f>
        <v/>
      </c>
      <c r="H737" s="31"/>
      <c r="I737" s="32">
        <f t="shared" si="45"/>
        <v>0</v>
      </c>
      <c r="J737" s="33" t="str">
        <f t="shared" si="46"/>
        <v/>
      </c>
      <c r="K737" s="2"/>
      <c r="L737" s="15"/>
      <c r="M737" s="34">
        <f t="shared" si="47"/>
        <v>0</v>
      </c>
    </row>
    <row r="738" spans="1:13" x14ac:dyDescent="0.25">
      <c r="A738" s="31"/>
      <c r="B738" s="16" t="str">
        <f>IFERROR(VLOOKUP(A738,Consolidado!$B$1:$L$1500,2,FALSE),"")</f>
        <v/>
      </c>
      <c r="C738" s="16">
        <f>IFERROR(SUMIF(Consolidado!$B$1:$B$1500,VLOOKUP(RegistroPago!A738,Consolidado!$B$1:$L$1500,1,FALSE),Consolidado!$G$1:$G$1500),"")</f>
        <v>0</v>
      </c>
      <c r="D738" s="3"/>
      <c r="E738" s="3"/>
      <c r="F738" s="5" t="str">
        <f t="shared" si="44"/>
        <v/>
      </c>
      <c r="G738" s="16" t="str">
        <f>IF(D738&lt;&gt;"",D738-VLOOKUP(A738,Consolidado!$B$1:$L$1500,8,FALSE),"")</f>
        <v/>
      </c>
      <c r="H738" s="31"/>
      <c r="I738" s="32">
        <f t="shared" si="45"/>
        <v>0</v>
      </c>
      <c r="J738" s="33" t="str">
        <f t="shared" si="46"/>
        <v/>
      </c>
      <c r="K738" s="2"/>
      <c r="L738" s="15"/>
      <c r="M738" s="34">
        <f t="shared" si="47"/>
        <v>0</v>
      </c>
    </row>
    <row r="739" spans="1:13" x14ac:dyDescent="0.25">
      <c r="A739" s="31"/>
      <c r="B739" s="16" t="str">
        <f>IFERROR(VLOOKUP(A739,Consolidado!$B$1:$L$1500,2,FALSE),"")</f>
        <v/>
      </c>
      <c r="C739" s="16">
        <f>IFERROR(SUMIF(Consolidado!$B$1:$B$1500,VLOOKUP(RegistroPago!A739,Consolidado!$B$1:$L$1500,1,FALSE),Consolidado!$G$1:$G$1500),"")</f>
        <v>0</v>
      </c>
      <c r="D739" s="3"/>
      <c r="E739" s="3"/>
      <c r="F739" s="5" t="str">
        <f t="shared" si="44"/>
        <v/>
      </c>
      <c r="G739" s="16" t="str">
        <f>IF(D739&lt;&gt;"",D739-VLOOKUP(A739,Consolidado!$B$1:$L$1500,8,FALSE),"")</f>
        <v/>
      </c>
      <c r="H739" s="31"/>
      <c r="I739" s="32">
        <f t="shared" si="45"/>
        <v>0</v>
      </c>
      <c r="J739" s="33" t="str">
        <f t="shared" si="46"/>
        <v/>
      </c>
      <c r="K739" s="2"/>
      <c r="L739" s="15"/>
      <c r="M739" s="34">
        <f t="shared" si="47"/>
        <v>0</v>
      </c>
    </row>
    <row r="740" spans="1:13" x14ac:dyDescent="0.25">
      <c r="A740" s="31"/>
      <c r="B740" s="16" t="str">
        <f>IFERROR(VLOOKUP(A740,Consolidado!$B$1:$L$1500,2,FALSE),"")</f>
        <v/>
      </c>
      <c r="C740" s="16">
        <f>IFERROR(SUMIF(Consolidado!$B$1:$B$1500,VLOOKUP(RegistroPago!A740,Consolidado!$B$1:$L$1500,1,FALSE),Consolidado!$G$1:$G$1500),"")</f>
        <v>0</v>
      </c>
      <c r="D740" s="3"/>
      <c r="E740" s="3"/>
      <c r="F740" s="5" t="str">
        <f t="shared" si="44"/>
        <v/>
      </c>
      <c r="G740" s="16" t="str">
        <f>IF(D740&lt;&gt;"",D740-VLOOKUP(A740,Consolidado!$B$1:$L$1500,8,FALSE),"")</f>
        <v/>
      </c>
      <c r="H740" s="31"/>
      <c r="I740" s="32">
        <f t="shared" si="45"/>
        <v>0</v>
      </c>
      <c r="J740" s="33" t="str">
        <f t="shared" si="46"/>
        <v/>
      </c>
      <c r="K740" s="2"/>
      <c r="L740" s="15"/>
      <c r="M740" s="34">
        <f t="shared" si="47"/>
        <v>0</v>
      </c>
    </row>
    <row r="741" spans="1:13" x14ac:dyDescent="0.25">
      <c r="A741" s="31"/>
      <c r="B741" s="16" t="str">
        <f>IFERROR(VLOOKUP(A741,Consolidado!$B$1:$L$1500,2,FALSE),"")</f>
        <v/>
      </c>
      <c r="C741" s="16">
        <f>IFERROR(SUMIF(Consolidado!$B$1:$B$1500,VLOOKUP(RegistroPago!A741,Consolidado!$B$1:$L$1500,1,FALSE),Consolidado!$G$1:$G$1500),"")</f>
        <v>0</v>
      </c>
      <c r="D741" s="3"/>
      <c r="E741" s="3"/>
      <c r="F741" s="5" t="str">
        <f t="shared" si="44"/>
        <v/>
      </c>
      <c r="G741" s="16" t="str">
        <f>IF(D741&lt;&gt;"",D741-VLOOKUP(A741,Consolidado!$B$1:$L$1500,8,FALSE),"")</f>
        <v/>
      </c>
      <c r="H741" s="31"/>
      <c r="I741" s="32">
        <f t="shared" si="45"/>
        <v>0</v>
      </c>
      <c r="J741" s="33" t="str">
        <f t="shared" si="46"/>
        <v/>
      </c>
      <c r="K741" s="2"/>
      <c r="L741" s="15"/>
      <c r="M741" s="34">
        <f t="shared" si="47"/>
        <v>0</v>
      </c>
    </row>
    <row r="742" spans="1:13" x14ac:dyDescent="0.25">
      <c r="A742" s="31"/>
      <c r="B742" s="16" t="str">
        <f>IFERROR(VLOOKUP(A742,Consolidado!$B$1:$L$1500,2,FALSE),"")</f>
        <v/>
      </c>
      <c r="C742" s="16">
        <f>IFERROR(SUMIF(Consolidado!$B$1:$B$1500,VLOOKUP(RegistroPago!A742,Consolidado!$B$1:$L$1500,1,FALSE),Consolidado!$G$1:$G$1500),"")</f>
        <v>0</v>
      </c>
      <c r="D742" s="3"/>
      <c r="E742" s="3"/>
      <c r="F742" s="5" t="str">
        <f t="shared" si="44"/>
        <v/>
      </c>
      <c r="G742" s="16" t="str">
        <f>IF(D742&lt;&gt;"",D742-VLOOKUP(A742,Consolidado!$B$1:$L$1500,8,FALSE),"")</f>
        <v/>
      </c>
      <c r="H742" s="31"/>
      <c r="I742" s="32">
        <f t="shared" si="45"/>
        <v>0</v>
      </c>
      <c r="J742" s="33" t="str">
        <f t="shared" si="46"/>
        <v/>
      </c>
      <c r="K742" s="2"/>
      <c r="L742" s="15"/>
      <c r="M742" s="34">
        <f t="shared" si="47"/>
        <v>0</v>
      </c>
    </row>
    <row r="743" spans="1:13" x14ac:dyDescent="0.25">
      <c r="A743" s="31"/>
      <c r="B743" s="16" t="str">
        <f>IFERROR(VLOOKUP(A743,Consolidado!$B$1:$L$1500,2,FALSE),"")</f>
        <v/>
      </c>
      <c r="C743" s="16">
        <f>IFERROR(SUMIF(Consolidado!$B$1:$B$1500,VLOOKUP(RegistroPago!A743,Consolidado!$B$1:$L$1500,1,FALSE),Consolidado!$G$1:$G$1500),"")</f>
        <v>0</v>
      </c>
      <c r="D743" s="3"/>
      <c r="E743" s="3"/>
      <c r="F743" s="5" t="str">
        <f t="shared" si="44"/>
        <v/>
      </c>
      <c r="G743" s="16" t="str">
        <f>IF(D743&lt;&gt;"",D743-VLOOKUP(A743,Consolidado!$B$1:$L$1500,8,FALSE),"")</f>
        <v/>
      </c>
      <c r="H743" s="31"/>
      <c r="I743" s="32">
        <f t="shared" si="45"/>
        <v>0</v>
      </c>
      <c r="J743" s="33" t="str">
        <f t="shared" si="46"/>
        <v/>
      </c>
      <c r="K743" s="2"/>
      <c r="L743" s="15"/>
      <c r="M743" s="34">
        <f t="shared" si="47"/>
        <v>0</v>
      </c>
    </row>
    <row r="744" spans="1:13" x14ac:dyDescent="0.25">
      <c r="A744" s="31"/>
      <c r="B744" s="16" t="str">
        <f>IFERROR(VLOOKUP(A744,Consolidado!$B$1:$L$1500,2,FALSE),"")</f>
        <v/>
      </c>
      <c r="C744" s="16">
        <f>IFERROR(SUMIF(Consolidado!$B$1:$B$1500,VLOOKUP(RegistroPago!A744,Consolidado!$B$1:$L$1500,1,FALSE),Consolidado!$G$1:$G$1500),"")</f>
        <v>0</v>
      </c>
      <c r="D744" s="3"/>
      <c r="E744" s="3"/>
      <c r="F744" s="5" t="str">
        <f t="shared" si="44"/>
        <v/>
      </c>
      <c r="G744" s="16" t="str">
        <f>IF(D744&lt;&gt;"",D744-VLOOKUP(A744,Consolidado!$B$1:$L$1500,8,FALSE),"")</f>
        <v/>
      </c>
      <c r="H744" s="31"/>
      <c r="I744" s="32">
        <f t="shared" si="45"/>
        <v>0</v>
      </c>
      <c r="J744" s="33" t="str">
        <f t="shared" si="46"/>
        <v/>
      </c>
      <c r="K744" s="2"/>
      <c r="L744" s="15"/>
      <c r="M744" s="34">
        <f t="shared" si="47"/>
        <v>0</v>
      </c>
    </row>
    <row r="745" spans="1:13" x14ac:dyDescent="0.25">
      <c r="A745" s="31"/>
      <c r="B745" s="16" t="str">
        <f>IFERROR(VLOOKUP(A745,Consolidado!$B$1:$L$1500,2,FALSE),"")</f>
        <v/>
      </c>
      <c r="C745" s="16">
        <f>IFERROR(SUMIF(Consolidado!$B$1:$B$1500,VLOOKUP(RegistroPago!A745,Consolidado!$B$1:$L$1500,1,FALSE),Consolidado!$G$1:$G$1500),"")</f>
        <v>0</v>
      </c>
      <c r="D745" s="3"/>
      <c r="E745" s="3"/>
      <c r="F745" s="5" t="str">
        <f t="shared" si="44"/>
        <v/>
      </c>
      <c r="G745" s="16" t="str">
        <f>IF(D745&lt;&gt;"",D745-VLOOKUP(A745,Consolidado!$B$1:$L$1500,8,FALSE),"")</f>
        <v/>
      </c>
      <c r="H745" s="31"/>
      <c r="I745" s="32">
        <f t="shared" si="45"/>
        <v>0</v>
      </c>
      <c r="J745" s="33" t="str">
        <f t="shared" si="46"/>
        <v/>
      </c>
      <c r="K745" s="2"/>
      <c r="L745" s="15"/>
      <c r="M745" s="34">
        <f t="shared" si="47"/>
        <v>0</v>
      </c>
    </row>
    <row r="746" spans="1:13" x14ac:dyDescent="0.25">
      <c r="A746" s="31"/>
      <c r="B746" s="16" t="str">
        <f>IFERROR(VLOOKUP(A746,Consolidado!$B$1:$L$1500,2,FALSE),"")</f>
        <v/>
      </c>
      <c r="C746" s="16">
        <f>IFERROR(SUMIF(Consolidado!$B$1:$B$1500,VLOOKUP(RegistroPago!A746,Consolidado!$B$1:$L$1500,1,FALSE),Consolidado!$G$1:$G$1500),"")</f>
        <v>0</v>
      </c>
      <c r="D746" s="3"/>
      <c r="E746" s="3"/>
      <c r="F746" s="5" t="str">
        <f t="shared" si="44"/>
        <v/>
      </c>
      <c r="G746" s="16" t="str">
        <f>IF(D746&lt;&gt;"",D746-VLOOKUP(A746,Consolidado!$B$1:$L$1500,8,FALSE),"")</f>
        <v/>
      </c>
      <c r="H746" s="31"/>
      <c r="I746" s="32">
        <f t="shared" si="45"/>
        <v>0</v>
      </c>
      <c r="J746" s="33" t="str">
        <f t="shared" si="46"/>
        <v/>
      </c>
      <c r="K746" s="2"/>
      <c r="L746" s="15"/>
      <c r="M746" s="34">
        <f t="shared" si="47"/>
        <v>0</v>
      </c>
    </row>
    <row r="747" spans="1:13" x14ac:dyDescent="0.25">
      <c r="A747" s="31"/>
      <c r="B747" s="16" t="str">
        <f>IFERROR(VLOOKUP(A747,Consolidado!$B$1:$L$1500,2,FALSE),"")</f>
        <v/>
      </c>
      <c r="C747" s="16">
        <f>IFERROR(SUMIF(Consolidado!$B$1:$B$1500,VLOOKUP(RegistroPago!A747,Consolidado!$B$1:$L$1500,1,FALSE),Consolidado!$G$1:$G$1500),"")</f>
        <v>0</v>
      </c>
      <c r="D747" s="3"/>
      <c r="E747" s="3"/>
      <c r="F747" s="5" t="str">
        <f t="shared" si="44"/>
        <v/>
      </c>
      <c r="G747" s="16" t="str">
        <f>IF(D747&lt;&gt;"",D747-VLOOKUP(A747,Consolidado!$B$1:$L$1500,8,FALSE),"")</f>
        <v/>
      </c>
      <c r="H747" s="31"/>
      <c r="I747" s="32">
        <f t="shared" si="45"/>
        <v>0</v>
      </c>
      <c r="J747" s="33" t="str">
        <f t="shared" si="46"/>
        <v/>
      </c>
      <c r="K747" s="2"/>
      <c r="L747" s="15"/>
      <c r="M747" s="34">
        <f t="shared" si="47"/>
        <v>0</v>
      </c>
    </row>
    <row r="748" spans="1:13" x14ac:dyDescent="0.25">
      <c r="A748" s="31"/>
      <c r="B748" s="16" t="str">
        <f>IFERROR(VLOOKUP(A748,Consolidado!$B$1:$L$1500,2,FALSE),"")</f>
        <v/>
      </c>
      <c r="C748" s="16">
        <f>IFERROR(SUMIF(Consolidado!$B$1:$B$1500,VLOOKUP(RegistroPago!A748,Consolidado!$B$1:$L$1500,1,FALSE),Consolidado!$G$1:$G$1500),"")</f>
        <v>0</v>
      </c>
      <c r="D748" s="3"/>
      <c r="E748" s="3"/>
      <c r="F748" s="5" t="str">
        <f t="shared" si="44"/>
        <v/>
      </c>
      <c r="G748" s="16" t="str">
        <f>IF(D748&lt;&gt;"",D748-VLOOKUP(A748,Consolidado!$B$1:$L$1500,8,FALSE),"")</f>
        <v/>
      </c>
      <c r="H748" s="31"/>
      <c r="I748" s="32">
        <f t="shared" si="45"/>
        <v>0</v>
      </c>
      <c r="J748" s="33" t="str">
        <f t="shared" si="46"/>
        <v/>
      </c>
      <c r="K748" s="2"/>
      <c r="L748" s="15"/>
      <c r="M748" s="34">
        <f t="shared" si="47"/>
        <v>0</v>
      </c>
    </row>
    <row r="749" spans="1:13" x14ac:dyDescent="0.25">
      <c r="A749" s="31"/>
      <c r="B749" s="16" t="str">
        <f>IFERROR(VLOOKUP(A749,Consolidado!$B$1:$L$1500,2,FALSE),"")</f>
        <v/>
      </c>
      <c r="C749" s="16">
        <f>IFERROR(SUMIF(Consolidado!$B$1:$B$1500,VLOOKUP(RegistroPago!A749,Consolidado!$B$1:$L$1500,1,FALSE),Consolidado!$G$1:$G$1500),"")</f>
        <v>0</v>
      </c>
      <c r="D749" s="3"/>
      <c r="E749" s="3"/>
      <c r="F749" s="5" t="str">
        <f t="shared" si="44"/>
        <v/>
      </c>
      <c r="G749" s="16" t="str">
        <f>IF(D749&lt;&gt;"",D749-VLOOKUP(A749,Consolidado!$B$1:$L$1500,8,FALSE),"")</f>
        <v/>
      </c>
      <c r="H749" s="31"/>
      <c r="I749" s="32">
        <f t="shared" si="45"/>
        <v>0</v>
      </c>
      <c r="J749" s="33" t="str">
        <f t="shared" si="46"/>
        <v/>
      </c>
      <c r="K749" s="2"/>
      <c r="L749" s="15"/>
      <c r="M749" s="34">
        <f t="shared" si="47"/>
        <v>0</v>
      </c>
    </row>
    <row r="750" spans="1:13" x14ac:dyDescent="0.25">
      <c r="A750" s="31"/>
      <c r="B750" s="16" t="str">
        <f>IFERROR(VLOOKUP(A750,Consolidado!$B$1:$L$1500,2,FALSE),"")</f>
        <v/>
      </c>
      <c r="C750" s="16">
        <f>IFERROR(SUMIF(Consolidado!$B$1:$B$1500,VLOOKUP(RegistroPago!A750,Consolidado!$B$1:$L$1500,1,FALSE),Consolidado!$G$1:$G$1500),"")</f>
        <v>0</v>
      </c>
      <c r="D750" s="3"/>
      <c r="E750" s="3"/>
      <c r="F750" s="5" t="str">
        <f t="shared" si="44"/>
        <v/>
      </c>
      <c r="G750" s="16" t="str">
        <f>IF(D750&lt;&gt;"",D750-VLOOKUP(A750,Consolidado!$B$1:$L$1500,8,FALSE),"")</f>
        <v/>
      </c>
      <c r="H750" s="31"/>
      <c r="I750" s="32">
        <f t="shared" si="45"/>
        <v>0</v>
      </c>
      <c r="J750" s="33" t="str">
        <f t="shared" si="46"/>
        <v/>
      </c>
      <c r="K750" s="2"/>
      <c r="L750" s="15"/>
      <c r="M750" s="34">
        <f t="shared" si="47"/>
        <v>0</v>
      </c>
    </row>
    <row r="751" spans="1:13" x14ac:dyDescent="0.25">
      <c r="A751" s="31"/>
      <c r="B751" s="16" t="str">
        <f>IFERROR(VLOOKUP(A751,Consolidado!$B$1:$L$1500,2,FALSE),"")</f>
        <v/>
      </c>
      <c r="C751" s="16">
        <f>IFERROR(SUMIF(Consolidado!$B$1:$B$1500,VLOOKUP(RegistroPago!A751,Consolidado!$B$1:$L$1500,1,FALSE),Consolidado!$G$1:$G$1500),"")</f>
        <v>0</v>
      </c>
      <c r="D751" s="3"/>
      <c r="E751" s="3"/>
      <c r="F751" s="5" t="str">
        <f t="shared" si="44"/>
        <v/>
      </c>
      <c r="G751" s="16" t="str">
        <f>IF(D751&lt;&gt;"",D751-VLOOKUP(A751,Consolidado!$B$1:$L$1500,8,FALSE),"")</f>
        <v/>
      </c>
      <c r="H751" s="31"/>
      <c r="I751" s="32">
        <f t="shared" si="45"/>
        <v>0</v>
      </c>
      <c r="J751" s="33" t="str">
        <f t="shared" si="46"/>
        <v/>
      </c>
      <c r="K751" s="2"/>
      <c r="L751" s="15"/>
      <c r="M751" s="34">
        <f t="shared" si="47"/>
        <v>0</v>
      </c>
    </row>
    <row r="752" spans="1:13" x14ac:dyDescent="0.25">
      <c r="A752" s="31"/>
      <c r="B752" s="16" t="str">
        <f>IFERROR(VLOOKUP(A752,Consolidado!$B$1:$L$1500,2,FALSE),"")</f>
        <v/>
      </c>
      <c r="C752" s="16">
        <f>IFERROR(SUMIF(Consolidado!$B$1:$B$1500,VLOOKUP(RegistroPago!A752,Consolidado!$B$1:$L$1500,1,FALSE),Consolidado!$G$1:$G$1500),"")</f>
        <v>0</v>
      </c>
      <c r="D752" s="3"/>
      <c r="E752" s="3"/>
      <c r="F752" s="5" t="str">
        <f t="shared" si="44"/>
        <v/>
      </c>
      <c r="G752" s="16" t="str">
        <f>IF(D752&lt;&gt;"",D752-VLOOKUP(A752,Consolidado!$B$1:$L$1500,8,FALSE),"")</f>
        <v/>
      </c>
      <c r="H752" s="31"/>
      <c r="I752" s="32">
        <f t="shared" si="45"/>
        <v>0</v>
      </c>
      <c r="J752" s="33" t="str">
        <f t="shared" si="46"/>
        <v/>
      </c>
      <c r="K752" s="2"/>
      <c r="L752" s="15"/>
      <c r="M752" s="34">
        <f t="shared" si="47"/>
        <v>0</v>
      </c>
    </row>
    <row r="753" spans="1:13" x14ac:dyDescent="0.25">
      <c r="A753" s="31"/>
      <c r="B753" s="16" t="str">
        <f>IFERROR(VLOOKUP(A753,Consolidado!$B$1:$L$1500,2,FALSE),"")</f>
        <v/>
      </c>
      <c r="C753" s="16">
        <f>IFERROR(SUMIF(Consolidado!$B$1:$B$1500,VLOOKUP(RegistroPago!A753,Consolidado!$B$1:$L$1500,1,FALSE),Consolidado!$G$1:$G$1500),"")</f>
        <v>0</v>
      </c>
      <c r="D753" s="3"/>
      <c r="E753" s="3"/>
      <c r="F753" s="5" t="str">
        <f t="shared" si="44"/>
        <v/>
      </c>
      <c r="G753" s="16" t="str">
        <f>IF(D753&lt;&gt;"",D753-VLOOKUP(A753,Consolidado!$B$1:$L$1500,8,FALSE),"")</f>
        <v/>
      </c>
      <c r="H753" s="31"/>
      <c r="I753" s="32">
        <f t="shared" si="45"/>
        <v>0</v>
      </c>
      <c r="J753" s="33" t="str">
        <f t="shared" si="46"/>
        <v/>
      </c>
      <c r="K753" s="2"/>
      <c r="L753" s="15"/>
      <c r="M753" s="34">
        <f t="shared" si="47"/>
        <v>0</v>
      </c>
    </row>
    <row r="754" spans="1:13" x14ac:dyDescent="0.25">
      <c r="A754" s="31"/>
      <c r="B754" s="16" t="str">
        <f>IFERROR(VLOOKUP(A754,Consolidado!$B$1:$L$1500,2,FALSE),"")</f>
        <v/>
      </c>
      <c r="C754" s="16">
        <f>IFERROR(SUMIF(Consolidado!$B$1:$B$1500,VLOOKUP(RegistroPago!A754,Consolidado!$B$1:$L$1500,1,FALSE),Consolidado!$G$1:$G$1500),"")</f>
        <v>0</v>
      </c>
      <c r="D754" s="3"/>
      <c r="E754" s="3"/>
      <c r="F754" s="5" t="str">
        <f t="shared" si="44"/>
        <v/>
      </c>
      <c r="G754" s="16" t="str">
        <f>IF(D754&lt;&gt;"",D754-VLOOKUP(A754,Consolidado!$B$1:$L$1500,8,FALSE),"")</f>
        <v/>
      </c>
      <c r="H754" s="31"/>
      <c r="I754" s="32">
        <f t="shared" si="45"/>
        <v>0</v>
      </c>
      <c r="J754" s="33" t="str">
        <f t="shared" si="46"/>
        <v/>
      </c>
      <c r="K754" s="2"/>
      <c r="L754" s="15"/>
      <c r="M754" s="34">
        <f t="shared" si="47"/>
        <v>0</v>
      </c>
    </row>
    <row r="755" spans="1:13" x14ac:dyDescent="0.25">
      <c r="A755" s="31"/>
      <c r="B755" s="16" t="str">
        <f>IFERROR(VLOOKUP(A755,Consolidado!$B$1:$L$1500,2,FALSE),"")</f>
        <v/>
      </c>
      <c r="C755" s="16">
        <f>IFERROR(SUMIF(Consolidado!$B$1:$B$1500,VLOOKUP(RegistroPago!A755,Consolidado!$B$1:$L$1500,1,FALSE),Consolidado!$G$1:$G$1500),"")</f>
        <v>0</v>
      </c>
      <c r="D755" s="3"/>
      <c r="E755" s="3"/>
      <c r="F755" s="5" t="str">
        <f t="shared" si="44"/>
        <v/>
      </c>
      <c r="G755" s="16" t="str">
        <f>IF(D755&lt;&gt;"",D755-VLOOKUP(A755,Consolidado!$B$1:$L$1500,8,FALSE),"")</f>
        <v/>
      </c>
      <c r="H755" s="31"/>
      <c r="I755" s="32">
        <f t="shared" si="45"/>
        <v>0</v>
      </c>
      <c r="J755" s="33" t="str">
        <f t="shared" si="46"/>
        <v/>
      </c>
      <c r="K755" s="2"/>
      <c r="L755" s="15"/>
      <c r="M755" s="34">
        <f t="shared" si="47"/>
        <v>0</v>
      </c>
    </row>
    <row r="756" spans="1:13" x14ac:dyDescent="0.25">
      <c r="A756" s="31"/>
      <c r="B756" s="16" t="str">
        <f>IFERROR(VLOOKUP(A756,Consolidado!$B$1:$L$1500,2,FALSE),"")</f>
        <v/>
      </c>
      <c r="C756" s="16">
        <f>IFERROR(SUMIF(Consolidado!$B$1:$B$1500,VLOOKUP(RegistroPago!A756,Consolidado!$B$1:$L$1500,1,FALSE),Consolidado!$G$1:$G$1500),"")</f>
        <v>0</v>
      </c>
      <c r="D756" s="3"/>
      <c r="E756" s="3"/>
      <c r="F756" s="5" t="str">
        <f t="shared" si="44"/>
        <v/>
      </c>
      <c r="G756" s="16" t="str">
        <f>IF(D756&lt;&gt;"",D756-VLOOKUP(A756,Consolidado!$B$1:$L$1500,8,FALSE),"")</f>
        <v/>
      </c>
      <c r="H756" s="31"/>
      <c r="I756" s="32">
        <f t="shared" si="45"/>
        <v>0</v>
      </c>
      <c r="J756" s="33" t="str">
        <f t="shared" si="46"/>
        <v/>
      </c>
      <c r="K756" s="2"/>
      <c r="L756" s="15"/>
      <c r="M756" s="34">
        <f t="shared" si="47"/>
        <v>0</v>
      </c>
    </row>
    <row r="757" spans="1:13" x14ac:dyDescent="0.25">
      <c r="A757" s="31"/>
      <c r="B757" s="16" t="str">
        <f>IFERROR(VLOOKUP(A757,Consolidado!$B$1:$L$1500,2,FALSE),"")</f>
        <v/>
      </c>
      <c r="C757" s="16">
        <f>IFERROR(SUMIF(Consolidado!$B$1:$B$1500,VLOOKUP(RegistroPago!A757,Consolidado!$B$1:$L$1500,1,FALSE),Consolidado!$G$1:$G$1500),"")</f>
        <v>0</v>
      </c>
      <c r="D757" s="3"/>
      <c r="E757" s="3"/>
      <c r="F757" s="5" t="str">
        <f t="shared" si="44"/>
        <v/>
      </c>
      <c r="G757" s="16" t="str">
        <f>IF(D757&lt;&gt;"",D757-VLOOKUP(A757,Consolidado!$B$1:$L$1500,8,FALSE),"")</f>
        <v/>
      </c>
      <c r="H757" s="31"/>
      <c r="I757" s="32">
        <f t="shared" si="45"/>
        <v>0</v>
      </c>
      <c r="J757" s="33" t="str">
        <f t="shared" si="46"/>
        <v/>
      </c>
      <c r="K757" s="2"/>
      <c r="L757" s="15"/>
      <c r="M757" s="34">
        <f t="shared" si="47"/>
        <v>0</v>
      </c>
    </row>
    <row r="758" spans="1:13" x14ac:dyDescent="0.25">
      <c r="A758" s="31"/>
      <c r="B758" s="16" t="str">
        <f>IFERROR(VLOOKUP(A758,Consolidado!$B$1:$L$1500,2,FALSE),"")</f>
        <v/>
      </c>
      <c r="C758" s="16">
        <f>IFERROR(SUMIF(Consolidado!$B$1:$B$1500,VLOOKUP(RegistroPago!A758,Consolidado!$B$1:$L$1500,1,FALSE),Consolidado!$G$1:$G$1500),"")</f>
        <v>0</v>
      </c>
      <c r="D758" s="3"/>
      <c r="E758" s="3"/>
      <c r="F758" s="5" t="str">
        <f t="shared" si="44"/>
        <v/>
      </c>
      <c r="G758" s="16" t="str">
        <f>IF(D758&lt;&gt;"",D758-VLOOKUP(A758,Consolidado!$B$1:$L$1500,8,FALSE),"")</f>
        <v/>
      </c>
      <c r="H758" s="31"/>
      <c r="I758" s="32">
        <f t="shared" si="45"/>
        <v>0</v>
      </c>
      <c r="J758" s="33" t="str">
        <f t="shared" si="46"/>
        <v/>
      </c>
      <c r="K758" s="2"/>
      <c r="L758" s="15"/>
      <c r="M758" s="34">
        <f t="shared" si="47"/>
        <v>0</v>
      </c>
    </row>
    <row r="759" spans="1:13" x14ac:dyDescent="0.25">
      <c r="A759" s="31"/>
      <c r="B759" s="16" t="str">
        <f>IFERROR(VLOOKUP(A759,Consolidado!$B$1:$L$1500,2,FALSE),"")</f>
        <v/>
      </c>
      <c r="C759" s="16">
        <f>IFERROR(SUMIF(Consolidado!$B$1:$B$1500,VLOOKUP(RegistroPago!A759,Consolidado!$B$1:$L$1500,1,FALSE),Consolidado!$G$1:$G$1500),"")</f>
        <v>0</v>
      </c>
      <c r="D759" s="3"/>
      <c r="E759" s="3"/>
      <c r="F759" s="5" t="str">
        <f t="shared" si="44"/>
        <v/>
      </c>
      <c r="G759" s="16" t="str">
        <f>IF(D759&lt;&gt;"",D759-VLOOKUP(A759,Consolidado!$B$1:$L$1500,8,FALSE),"")</f>
        <v/>
      </c>
      <c r="H759" s="31"/>
      <c r="I759" s="32">
        <f t="shared" si="45"/>
        <v>0</v>
      </c>
      <c r="J759" s="33" t="str">
        <f t="shared" si="46"/>
        <v/>
      </c>
      <c r="K759" s="2"/>
      <c r="L759" s="15"/>
      <c r="M759" s="34">
        <f t="shared" si="47"/>
        <v>0</v>
      </c>
    </row>
    <row r="760" spans="1:13" x14ac:dyDescent="0.25">
      <c r="A760" s="31"/>
      <c r="B760" s="16" t="str">
        <f>IFERROR(VLOOKUP(A760,Consolidado!$B$1:$L$1500,2,FALSE),"")</f>
        <v/>
      </c>
      <c r="C760" s="16">
        <f>IFERROR(SUMIF(Consolidado!$B$1:$B$1500,VLOOKUP(RegistroPago!A760,Consolidado!$B$1:$L$1500,1,FALSE),Consolidado!$G$1:$G$1500),"")</f>
        <v>0</v>
      </c>
      <c r="D760" s="3"/>
      <c r="E760" s="3"/>
      <c r="F760" s="5" t="str">
        <f t="shared" si="44"/>
        <v/>
      </c>
      <c r="G760" s="16" t="str">
        <f>IF(D760&lt;&gt;"",D760-VLOOKUP(A760,Consolidado!$B$1:$L$1500,8,FALSE),"")</f>
        <v/>
      </c>
      <c r="H760" s="31"/>
      <c r="I760" s="32">
        <f t="shared" si="45"/>
        <v>0</v>
      </c>
      <c r="J760" s="33" t="str">
        <f t="shared" si="46"/>
        <v/>
      </c>
      <c r="K760" s="2"/>
      <c r="L760" s="15"/>
      <c r="M760" s="34">
        <f t="shared" si="47"/>
        <v>0</v>
      </c>
    </row>
    <row r="761" spans="1:13" x14ac:dyDescent="0.25">
      <c r="A761" s="31"/>
      <c r="B761" s="16" t="str">
        <f>IFERROR(VLOOKUP(A761,Consolidado!$B$1:$L$1500,2,FALSE),"")</f>
        <v/>
      </c>
      <c r="C761" s="16">
        <f>IFERROR(SUMIF(Consolidado!$B$1:$B$1500,VLOOKUP(RegistroPago!A761,Consolidado!$B$1:$L$1500,1,FALSE),Consolidado!$G$1:$G$1500),"")</f>
        <v>0</v>
      </c>
      <c r="D761" s="3"/>
      <c r="E761" s="3"/>
      <c r="F761" s="5" t="str">
        <f t="shared" si="44"/>
        <v/>
      </c>
      <c r="G761" s="16" t="str">
        <f>IF(D761&lt;&gt;"",D761-VLOOKUP(A761,Consolidado!$B$1:$L$1500,8,FALSE),"")</f>
        <v/>
      </c>
      <c r="H761" s="31"/>
      <c r="I761" s="32">
        <f t="shared" si="45"/>
        <v>0</v>
      </c>
      <c r="J761" s="33" t="str">
        <f t="shared" si="46"/>
        <v/>
      </c>
      <c r="K761" s="2"/>
      <c r="L761" s="15"/>
      <c r="M761" s="34">
        <f t="shared" si="47"/>
        <v>0</v>
      </c>
    </row>
    <row r="762" spans="1:13" x14ac:dyDescent="0.25">
      <c r="A762" s="31"/>
      <c r="B762" s="16" t="str">
        <f>IFERROR(VLOOKUP(A762,Consolidado!$B$1:$L$1500,2,FALSE),"")</f>
        <v/>
      </c>
      <c r="C762" s="16">
        <f>IFERROR(SUMIF(Consolidado!$B$1:$B$1500,VLOOKUP(RegistroPago!A762,Consolidado!$B$1:$L$1500,1,FALSE),Consolidado!$G$1:$G$1500),"")</f>
        <v>0</v>
      </c>
      <c r="D762" s="3"/>
      <c r="E762" s="3"/>
      <c r="F762" s="5" t="str">
        <f t="shared" si="44"/>
        <v/>
      </c>
      <c r="G762" s="16" t="str">
        <f>IF(D762&lt;&gt;"",D762-VLOOKUP(A762,Consolidado!$B$1:$L$1500,8,FALSE),"")</f>
        <v/>
      </c>
      <c r="H762" s="31"/>
      <c r="I762" s="32">
        <f t="shared" si="45"/>
        <v>0</v>
      </c>
      <c r="J762" s="33" t="str">
        <f t="shared" si="46"/>
        <v/>
      </c>
      <c r="K762" s="2"/>
      <c r="L762" s="15"/>
      <c r="M762" s="34">
        <f t="shared" si="47"/>
        <v>0</v>
      </c>
    </row>
    <row r="763" spans="1:13" x14ac:dyDescent="0.25">
      <c r="A763" s="31"/>
      <c r="B763" s="16" t="str">
        <f>IFERROR(VLOOKUP(A763,Consolidado!$B$1:$L$1500,2,FALSE),"")</f>
        <v/>
      </c>
      <c r="C763" s="16">
        <f>IFERROR(SUMIF(Consolidado!$B$1:$B$1500,VLOOKUP(RegistroPago!A763,Consolidado!$B$1:$L$1500,1,FALSE),Consolidado!$G$1:$G$1500),"")</f>
        <v>0</v>
      </c>
      <c r="D763" s="3"/>
      <c r="E763" s="3"/>
      <c r="F763" s="5" t="str">
        <f t="shared" si="44"/>
        <v/>
      </c>
      <c r="G763" s="16" t="str">
        <f>IF(D763&lt;&gt;"",D763-VLOOKUP(A763,Consolidado!$B$1:$L$1500,8,FALSE),"")</f>
        <v/>
      </c>
      <c r="H763" s="31"/>
      <c r="I763" s="32">
        <f t="shared" si="45"/>
        <v>0</v>
      </c>
      <c r="J763" s="33" t="str">
        <f t="shared" si="46"/>
        <v/>
      </c>
      <c r="K763" s="2"/>
      <c r="L763" s="15"/>
      <c r="M763" s="34">
        <f t="shared" si="47"/>
        <v>0</v>
      </c>
    </row>
    <row r="764" spans="1:13" x14ac:dyDescent="0.25">
      <c r="A764" s="31"/>
      <c r="B764" s="16" t="str">
        <f>IFERROR(VLOOKUP(A764,Consolidado!$B$1:$L$1500,2,FALSE),"")</f>
        <v/>
      </c>
      <c r="C764" s="16">
        <f>IFERROR(SUMIF(Consolidado!$B$1:$B$1500,VLOOKUP(RegistroPago!A764,Consolidado!$B$1:$L$1500,1,FALSE),Consolidado!$G$1:$G$1500),"")</f>
        <v>0</v>
      </c>
      <c r="D764" s="3"/>
      <c r="E764" s="3"/>
      <c r="F764" s="5" t="str">
        <f t="shared" si="44"/>
        <v/>
      </c>
      <c r="G764" s="16" t="str">
        <f>IF(D764&lt;&gt;"",D764-VLOOKUP(A764,Consolidado!$B$1:$L$1500,8,FALSE),"")</f>
        <v/>
      </c>
      <c r="H764" s="31"/>
      <c r="I764" s="32">
        <f t="shared" si="45"/>
        <v>0</v>
      </c>
      <c r="J764" s="33" t="str">
        <f t="shared" si="46"/>
        <v/>
      </c>
      <c r="K764" s="2"/>
      <c r="L764" s="15"/>
      <c r="M764" s="34">
        <f t="shared" si="47"/>
        <v>0</v>
      </c>
    </row>
    <row r="765" spans="1:13" x14ac:dyDescent="0.25">
      <c r="A765" s="31"/>
      <c r="B765" s="16" t="str">
        <f>IFERROR(VLOOKUP(A765,Consolidado!$B$1:$L$1500,2,FALSE),"")</f>
        <v/>
      </c>
      <c r="C765" s="16">
        <f>IFERROR(SUMIF(Consolidado!$B$1:$B$1500,VLOOKUP(RegistroPago!A765,Consolidado!$B$1:$L$1500,1,FALSE),Consolidado!$G$1:$G$1500),"")</f>
        <v>0</v>
      </c>
      <c r="D765" s="3"/>
      <c r="E765" s="3"/>
      <c r="F765" s="5" t="str">
        <f t="shared" si="44"/>
        <v/>
      </c>
      <c r="G765" s="16" t="str">
        <f>IF(D765&lt;&gt;"",D765-VLOOKUP(A765,Consolidado!$B$1:$L$1500,8,FALSE),"")</f>
        <v/>
      </c>
      <c r="H765" s="31"/>
      <c r="I765" s="32">
        <f t="shared" si="45"/>
        <v>0</v>
      </c>
      <c r="J765" s="33" t="str">
        <f t="shared" si="46"/>
        <v/>
      </c>
      <c r="K765" s="2"/>
      <c r="L765" s="15"/>
      <c r="M765" s="34">
        <f t="shared" si="47"/>
        <v>0</v>
      </c>
    </row>
    <row r="766" spans="1:13" x14ac:dyDescent="0.25">
      <c r="A766" s="31"/>
      <c r="B766" s="16" t="str">
        <f>IFERROR(VLOOKUP(A766,Consolidado!$B$1:$L$1500,2,FALSE),"")</f>
        <v/>
      </c>
      <c r="C766" s="16">
        <f>IFERROR(SUMIF(Consolidado!$B$1:$B$1500,VLOOKUP(RegistroPago!A766,Consolidado!$B$1:$L$1500,1,FALSE),Consolidado!$G$1:$G$1500),"")</f>
        <v>0</v>
      </c>
      <c r="D766" s="3"/>
      <c r="E766" s="3"/>
      <c r="F766" s="5" t="str">
        <f t="shared" si="44"/>
        <v/>
      </c>
      <c r="G766" s="16" t="str">
        <f>IF(D766&lt;&gt;"",D766-VLOOKUP(A766,Consolidado!$B$1:$L$1500,8,FALSE),"")</f>
        <v/>
      </c>
      <c r="H766" s="31"/>
      <c r="I766" s="32">
        <f t="shared" si="45"/>
        <v>0</v>
      </c>
      <c r="J766" s="33" t="str">
        <f t="shared" si="46"/>
        <v/>
      </c>
      <c r="K766" s="2"/>
      <c r="L766" s="15"/>
      <c r="M766" s="34">
        <f t="shared" si="47"/>
        <v>0</v>
      </c>
    </row>
    <row r="767" spans="1:13" x14ac:dyDescent="0.25">
      <c r="A767" s="31"/>
      <c r="B767" s="16" t="str">
        <f>IFERROR(VLOOKUP(A767,Consolidado!$B$1:$L$1500,2,FALSE),"")</f>
        <v/>
      </c>
      <c r="C767" s="16">
        <f>IFERROR(SUMIF(Consolidado!$B$1:$B$1500,VLOOKUP(RegistroPago!A767,Consolidado!$B$1:$L$1500,1,FALSE),Consolidado!$G$1:$G$1500),"")</f>
        <v>0</v>
      </c>
      <c r="D767" s="3"/>
      <c r="E767" s="3"/>
      <c r="F767" s="5" t="str">
        <f t="shared" si="44"/>
        <v/>
      </c>
      <c r="G767" s="16" t="str">
        <f>IF(D767&lt;&gt;"",D767-VLOOKUP(A767,Consolidado!$B$1:$L$1500,8,FALSE),"")</f>
        <v/>
      </c>
      <c r="H767" s="31"/>
      <c r="I767" s="32">
        <f t="shared" si="45"/>
        <v>0</v>
      </c>
      <c r="J767" s="33" t="str">
        <f t="shared" si="46"/>
        <v/>
      </c>
      <c r="K767" s="2"/>
      <c r="L767" s="15"/>
      <c r="M767" s="34">
        <f t="shared" si="47"/>
        <v>0</v>
      </c>
    </row>
    <row r="768" spans="1:13" x14ac:dyDescent="0.25">
      <c r="A768" s="31"/>
      <c r="B768" s="16" t="str">
        <f>IFERROR(VLOOKUP(A768,Consolidado!$B$1:$L$1500,2,FALSE),"")</f>
        <v/>
      </c>
      <c r="C768" s="16">
        <f>IFERROR(SUMIF(Consolidado!$B$1:$B$1500,VLOOKUP(RegistroPago!A768,Consolidado!$B$1:$L$1500,1,FALSE),Consolidado!$G$1:$G$1500),"")</f>
        <v>0</v>
      </c>
      <c r="D768" s="3"/>
      <c r="E768" s="3"/>
      <c r="F768" s="5" t="str">
        <f t="shared" si="44"/>
        <v/>
      </c>
      <c r="G768" s="16" t="str">
        <f>IF(D768&lt;&gt;"",D768-VLOOKUP(A768,Consolidado!$B$1:$L$1500,8,FALSE),"")</f>
        <v/>
      </c>
      <c r="H768" s="31"/>
      <c r="I768" s="32">
        <f t="shared" si="45"/>
        <v>0</v>
      </c>
      <c r="J768" s="33" t="str">
        <f t="shared" si="46"/>
        <v/>
      </c>
      <c r="K768" s="2"/>
      <c r="L768" s="15"/>
      <c r="M768" s="34">
        <f t="shared" si="47"/>
        <v>0</v>
      </c>
    </row>
    <row r="769" spans="1:13" x14ac:dyDescent="0.25">
      <c r="A769" s="31"/>
      <c r="B769" s="16" t="str">
        <f>IFERROR(VLOOKUP(A769,Consolidado!$B$1:$L$1500,2,FALSE),"")</f>
        <v/>
      </c>
      <c r="C769" s="16">
        <f>IFERROR(SUMIF(Consolidado!$B$1:$B$1500,VLOOKUP(RegistroPago!A769,Consolidado!$B$1:$L$1500,1,FALSE),Consolidado!$G$1:$G$1500),"")</f>
        <v>0</v>
      </c>
      <c r="D769" s="3"/>
      <c r="E769" s="3"/>
      <c r="F769" s="5" t="str">
        <f t="shared" si="44"/>
        <v/>
      </c>
      <c r="G769" s="16" t="str">
        <f>IF(D769&lt;&gt;"",D769-VLOOKUP(A769,Consolidado!$B$1:$L$1500,8,FALSE),"")</f>
        <v/>
      </c>
      <c r="H769" s="31"/>
      <c r="I769" s="32">
        <f t="shared" si="45"/>
        <v>0</v>
      </c>
      <c r="J769" s="33" t="str">
        <f t="shared" si="46"/>
        <v/>
      </c>
      <c r="K769" s="2"/>
      <c r="L769" s="15"/>
      <c r="M769" s="34">
        <f t="shared" si="47"/>
        <v>0</v>
      </c>
    </row>
    <row r="770" spans="1:13" x14ac:dyDescent="0.25">
      <c r="A770" s="31"/>
      <c r="B770" s="16" t="str">
        <f>IFERROR(VLOOKUP(A770,Consolidado!$B$1:$L$1500,2,FALSE),"")</f>
        <v/>
      </c>
      <c r="C770" s="16">
        <f>IFERROR(SUMIF(Consolidado!$B$1:$B$1500,VLOOKUP(RegistroPago!A770,Consolidado!$B$1:$L$1500,1,FALSE),Consolidado!$G$1:$G$1500),"")</f>
        <v>0</v>
      </c>
      <c r="D770" s="3"/>
      <c r="E770" s="3"/>
      <c r="F770" s="5" t="str">
        <f t="shared" si="44"/>
        <v/>
      </c>
      <c r="G770" s="16" t="str">
        <f>IF(D770&lt;&gt;"",D770-VLOOKUP(A770,Consolidado!$B$1:$L$1500,8,FALSE),"")</f>
        <v/>
      </c>
      <c r="H770" s="31"/>
      <c r="I770" s="32">
        <f t="shared" si="45"/>
        <v>0</v>
      </c>
      <c r="J770" s="33" t="str">
        <f t="shared" si="46"/>
        <v/>
      </c>
      <c r="K770" s="2"/>
      <c r="L770" s="15"/>
      <c r="M770" s="34">
        <f t="shared" si="47"/>
        <v>0</v>
      </c>
    </row>
    <row r="771" spans="1:13" x14ac:dyDescent="0.25">
      <c r="A771" s="31"/>
      <c r="B771" s="16" t="str">
        <f>IFERROR(VLOOKUP(A771,Consolidado!$B$1:$L$1500,2,FALSE),"")</f>
        <v/>
      </c>
      <c r="C771" s="16">
        <f>IFERROR(SUMIF(Consolidado!$B$1:$B$1500,VLOOKUP(RegistroPago!A771,Consolidado!$B$1:$L$1500,1,FALSE),Consolidado!$G$1:$G$1500),"")</f>
        <v>0</v>
      </c>
      <c r="D771" s="3"/>
      <c r="E771" s="3"/>
      <c r="F771" s="5" t="str">
        <f t="shared" ref="F771:F834" si="48">IF(COUNTIF($E$2:$E$2000,E771)&gt;1,"Ya registrado","")</f>
        <v/>
      </c>
      <c r="G771" s="16" t="str">
        <f>IF(D771&lt;&gt;"",D771-VLOOKUP(A771,Consolidado!$B$1:$L$1500,8,FALSE),"")</f>
        <v/>
      </c>
      <c r="H771" s="31"/>
      <c r="I771" s="32">
        <f t="shared" ref="I771:I834" si="49">IFERROR(SUMIF($E$1:$E$2000,H771,$C$1:$C$2000)-SUMIF($E$1:$E$2000,H771,$F$1:$F$2000),"")</f>
        <v>0</v>
      </c>
      <c r="J771" s="33" t="str">
        <f t="shared" ref="J771:J834" si="50">IFERROR(I771/SUMIF($E$1:$E$2000,H771,$C$1:$C$2000),"")</f>
        <v/>
      </c>
      <c r="K771" s="2"/>
      <c r="L771" s="15"/>
      <c r="M771" s="34">
        <f t="shared" ref="M771:M834" si="51">IFERROR(L771*SUMIF($E$1:$E$2000,H771,$F$1:$F$2000),"")</f>
        <v>0</v>
      </c>
    </row>
    <row r="772" spans="1:13" x14ac:dyDescent="0.25">
      <c r="A772" s="31"/>
      <c r="B772" s="16" t="str">
        <f>IFERROR(VLOOKUP(A772,Consolidado!$B$1:$L$1500,2,FALSE),"")</f>
        <v/>
      </c>
      <c r="C772" s="16">
        <f>IFERROR(SUMIF(Consolidado!$B$1:$B$1500,VLOOKUP(RegistroPago!A772,Consolidado!$B$1:$L$1500,1,FALSE),Consolidado!$G$1:$G$1500),"")</f>
        <v>0</v>
      </c>
      <c r="D772" s="3"/>
      <c r="E772" s="3"/>
      <c r="F772" s="5" t="str">
        <f t="shared" si="48"/>
        <v/>
      </c>
      <c r="G772" s="16" t="str">
        <f>IF(D772&lt;&gt;"",D772-VLOOKUP(A772,Consolidado!$B$1:$L$1500,8,FALSE),"")</f>
        <v/>
      </c>
      <c r="H772" s="31"/>
      <c r="I772" s="32">
        <f t="shared" si="49"/>
        <v>0</v>
      </c>
      <c r="J772" s="33" t="str">
        <f t="shared" si="50"/>
        <v/>
      </c>
      <c r="K772" s="2"/>
      <c r="L772" s="15"/>
      <c r="M772" s="34">
        <f t="shared" si="51"/>
        <v>0</v>
      </c>
    </row>
    <row r="773" spans="1:13" x14ac:dyDescent="0.25">
      <c r="A773" s="31"/>
      <c r="B773" s="16" t="str">
        <f>IFERROR(VLOOKUP(A773,Consolidado!$B$1:$L$1500,2,FALSE),"")</f>
        <v/>
      </c>
      <c r="C773" s="16">
        <f>IFERROR(SUMIF(Consolidado!$B$1:$B$1500,VLOOKUP(RegistroPago!A773,Consolidado!$B$1:$L$1500,1,FALSE),Consolidado!$G$1:$G$1500),"")</f>
        <v>0</v>
      </c>
      <c r="D773" s="3"/>
      <c r="E773" s="3"/>
      <c r="F773" s="5" t="str">
        <f t="shared" si="48"/>
        <v/>
      </c>
      <c r="G773" s="16" t="str">
        <f>IF(D773&lt;&gt;"",D773-VLOOKUP(A773,Consolidado!$B$1:$L$1500,8,FALSE),"")</f>
        <v/>
      </c>
      <c r="H773" s="31"/>
      <c r="I773" s="32">
        <f t="shared" si="49"/>
        <v>0</v>
      </c>
      <c r="J773" s="33" t="str">
        <f t="shared" si="50"/>
        <v/>
      </c>
      <c r="K773" s="2"/>
      <c r="L773" s="15"/>
      <c r="M773" s="34">
        <f t="shared" si="51"/>
        <v>0</v>
      </c>
    </row>
    <row r="774" spans="1:13" x14ac:dyDescent="0.25">
      <c r="A774" s="31"/>
      <c r="B774" s="16" t="str">
        <f>IFERROR(VLOOKUP(A774,Consolidado!$B$1:$L$1500,2,FALSE),"")</f>
        <v/>
      </c>
      <c r="C774" s="16">
        <f>IFERROR(SUMIF(Consolidado!$B$1:$B$1500,VLOOKUP(RegistroPago!A774,Consolidado!$B$1:$L$1500,1,FALSE),Consolidado!$G$1:$G$1500),"")</f>
        <v>0</v>
      </c>
      <c r="D774" s="3"/>
      <c r="E774" s="3"/>
      <c r="F774" s="5" t="str">
        <f t="shared" si="48"/>
        <v/>
      </c>
      <c r="G774" s="16" t="str">
        <f>IF(D774&lt;&gt;"",D774-VLOOKUP(A774,Consolidado!$B$1:$L$1500,8,FALSE),"")</f>
        <v/>
      </c>
      <c r="H774" s="31"/>
      <c r="I774" s="32">
        <f t="shared" si="49"/>
        <v>0</v>
      </c>
      <c r="J774" s="33" t="str">
        <f t="shared" si="50"/>
        <v/>
      </c>
      <c r="K774" s="2"/>
      <c r="L774" s="15"/>
      <c r="M774" s="34">
        <f t="shared" si="51"/>
        <v>0</v>
      </c>
    </row>
    <row r="775" spans="1:13" x14ac:dyDescent="0.25">
      <c r="A775" s="31"/>
      <c r="B775" s="16" t="str">
        <f>IFERROR(VLOOKUP(A775,Consolidado!$B$1:$L$1500,2,FALSE),"")</f>
        <v/>
      </c>
      <c r="C775" s="16">
        <f>IFERROR(SUMIF(Consolidado!$B$1:$B$1500,VLOOKUP(RegistroPago!A775,Consolidado!$B$1:$L$1500,1,FALSE),Consolidado!$G$1:$G$1500),"")</f>
        <v>0</v>
      </c>
      <c r="D775" s="3"/>
      <c r="E775" s="3"/>
      <c r="F775" s="5" t="str">
        <f t="shared" si="48"/>
        <v/>
      </c>
      <c r="G775" s="16" t="str">
        <f>IF(D775&lt;&gt;"",D775-VLOOKUP(A775,Consolidado!$B$1:$L$1500,8,FALSE),"")</f>
        <v/>
      </c>
      <c r="H775" s="31"/>
      <c r="I775" s="32">
        <f t="shared" si="49"/>
        <v>0</v>
      </c>
      <c r="J775" s="33" t="str">
        <f t="shared" si="50"/>
        <v/>
      </c>
      <c r="K775" s="2"/>
      <c r="L775" s="15"/>
      <c r="M775" s="34">
        <f t="shared" si="51"/>
        <v>0</v>
      </c>
    </row>
    <row r="776" spans="1:13" x14ac:dyDescent="0.25">
      <c r="A776" s="31"/>
      <c r="B776" s="16" t="str">
        <f>IFERROR(VLOOKUP(A776,Consolidado!$B$1:$L$1500,2,FALSE),"")</f>
        <v/>
      </c>
      <c r="C776" s="16">
        <f>IFERROR(SUMIF(Consolidado!$B$1:$B$1500,VLOOKUP(RegistroPago!A776,Consolidado!$B$1:$L$1500,1,FALSE),Consolidado!$G$1:$G$1500),"")</f>
        <v>0</v>
      </c>
      <c r="D776" s="3"/>
      <c r="E776" s="3"/>
      <c r="F776" s="5" t="str">
        <f t="shared" si="48"/>
        <v/>
      </c>
      <c r="G776" s="16" t="str">
        <f>IF(D776&lt;&gt;"",D776-VLOOKUP(A776,Consolidado!$B$1:$L$1500,8,FALSE),"")</f>
        <v/>
      </c>
      <c r="H776" s="31"/>
      <c r="I776" s="32">
        <f t="shared" si="49"/>
        <v>0</v>
      </c>
      <c r="J776" s="33" t="str">
        <f t="shared" si="50"/>
        <v/>
      </c>
      <c r="K776" s="2"/>
      <c r="L776" s="15"/>
      <c r="M776" s="34">
        <f t="shared" si="51"/>
        <v>0</v>
      </c>
    </row>
    <row r="777" spans="1:13" x14ac:dyDescent="0.25">
      <c r="A777" s="31"/>
      <c r="B777" s="16" t="str">
        <f>IFERROR(VLOOKUP(A777,Consolidado!$B$1:$L$1500,2,FALSE),"")</f>
        <v/>
      </c>
      <c r="C777" s="16">
        <f>IFERROR(SUMIF(Consolidado!$B$1:$B$1500,VLOOKUP(RegistroPago!A777,Consolidado!$B$1:$L$1500,1,FALSE),Consolidado!$G$1:$G$1500),"")</f>
        <v>0</v>
      </c>
      <c r="D777" s="3"/>
      <c r="E777" s="3"/>
      <c r="F777" s="5" t="str">
        <f t="shared" si="48"/>
        <v/>
      </c>
      <c r="G777" s="16" t="str">
        <f>IF(D777&lt;&gt;"",D777-VLOOKUP(A777,Consolidado!$B$1:$L$1500,8,FALSE),"")</f>
        <v/>
      </c>
      <c r="H777" s="31"/>
      <c r="I777" s="32">
        <f t="shared" si="49"/>
        <v>0</v>
      </c>
      <c r="J777" s="33" t="str">
        <f t="shared" si="50"/>
        <v/>
      </c>
      <c r="K777" s="2"/>
      <c r="L777" s="15"/>
      <c r="M777" s="34">
        <f t="shared" si="51"/>
        <v>0</v>
      </c>
    </row>
    <row r="778" spans="1:13" x14ac:dyDescent="0.25">
      <c r="A778" s="31"/>
      <c r="B778" s="16" t="str">
        <f>IFERROR(VLOOKUP(A778,Consolidado!$B$1:$L$1500,2,FALSE),"")</f>
        <v/>
      </c>
      <c r="C778" s="16">
        <f>IFERROR(SUMIF(Consolidado!$B$1:$B$1500,VLOOKUP(RegistroPago!A778,Consolidado!$B$1:$L$1500,1,FALSE),Consolidado!$G$1:$G$1500),"")</f>
        <v>0</v>
      </c>
      <c r="D778" s="3"/>
      <c r="E778" s="3"/>
      <c r="F778" s="5" t="str">
        <f t="shared" si="48"/>
        <v/>
      </c>
      <c r="G778" s="16" t="str">
        <f>IF(D778&lt;&gt;"",D778-VLOOKUP(A778,Consolidado!$B$1:$L$1500,8,FALSE),"")</f>
        <v/>
      </c>
      <c r="H778" s="31"/>
      <c r="I778" s="32">
        <f t="shared" si="49"/>
        <v>0</v>
      </c>
      <c r="J778" s="33" t="str">
        <f t="shared" si="50"/>
        <v/>
      </c>
      <c r="K778" s="2"/>
      <c r="L778" s="15"/>
      <c r="M778" s="34">
        <f t="shared" si="51"/>
        <v>0</v>
      </c>
    </row>
    <row r="779" spans="1:13" x14ac:dyDescent="0.25">
      <c r="A779" s="31"/>
      <c r="B779" s="16" t="str">
        <f>IFERROR(VLOOKUP(A779,Consolidado!$B$1:$L$1500,2,FALSE),"")</f>
        <v/>
      </c>
      <c r="C779" s="16">
        <f>IFERROR(SUMIF(Consolidado!$B$1:$B$1500,VLOOKUP(RegistroPago!A779,Consolidado!$B$1:$L$1500,1,FALSE),Consolidado!$G$1:$G$1500),"")</f>
        <v>0</v>
      </c>
      <c r="D779" s="3"/>
      <c r="E779" s="3"/>
      <c r="F779" s="5" t="str">
        <f t="shared" si="48"/>
        <v/>
      </c>
      <c r="G779" s="16" t="str">
        <f>IF(D779&lt;&gt;"",D779-VLOOKUP(A779,Consolidado!$B$1:$L$1500,8,FALSE),"")</f>
        <v/>
      </c>
      <c r="H779" s="31"/>
      <c r="I779" s="32">
        <f t="shared" si="49"/>
        <v>0</v>
      </c>
      <c r="J779" s="33" t="str">
        <f t="shared" si="50"/>
        <v/>
      </c>
      <c r="K779" s="2"/>
      <c r="L779" s="15"/>
      <c r="M779" s="34">
        <f t="shared" si="51"/>
        <v>0</v>
      </c>
    </row>
    <row r="780" spans="1:13" x14ac:dyDescent="0.25">
      <c r="A780" s="31"/>
      <c r="B780" s="16" t="str">
        <f>IFERROR(VLOOKUP(A780,Consolidado!$B$1:$L$1500,2,FALSE),"")</f>
        <v/>
      </c>
      <c r="C780" s="16">
        <f>IFERROR(SUMIF(Consolidado!$B$1:$B$1500,VLOOKUP(RegistroPago!A780,Consolidado!$B$1:$L$1500,1,FALSE),Consolidado!$G$1:$G$1500),"")</f>
        <v>0</v>
      </c>
      <c r="D780" s="3"/>
      <c r="E780" s="3"/>
      <c r="F780" s="5" t="str">
        <f t="shared" si="48"/>
        <v/>
      </c>
      <c r="G780" s="16" t="str">
        <f>IF(D780&lt;&gt;"",D780-VLOOKUP(A780,Consolidado!$B$1:$L$1500,8,FALSE),"")</f>
        <v/>
      </c>
      <c r="H780" s="31"/>
      <c r="I780" s="32">
        <f t="shared" si="49"/>
        <v>0</v>
      </c>
      <c r="J780" s="33" t="str">
        <f t="shared" si="50"/>
        <v/>
      </c>
      <c r="K780" s="2"/>
      <c r="L780" s="15"/>
      <c r="M780" s="34">
        <f t="shared" si="51"/>
        <v>0</v>
      </c>
    </row>
    <row r="781" spans="1:13" x14ac:dyDescent="0.25">
      <c r="A781" s="31"/>
      <c r="B781" s="16" t="str">
        <f>IFERROR(VLOOKUP(A781,Consolidado!$B$1:$L$1500,2,FALSE),"")</f>
        <v/>
      </c>
      <c r="C781" s="16">
        <f>IFERROR(SUMIF(Consolidado!$B$1:$B$1500,VLOOKUP(RegistroPago!A781,Consolidado!$B$1:$L$1500,1,FALSE),Consolidado!$G$1:$G$1500),"")</f>
        <v>0</v>
      </c>
      <c r="D781" s="3"/>
      <c r="E781" s="3"/>
      <c r="F781" s="5" t="str">
        <f t="shared" si="48"/>
        <v/>
      </c>
      <c r="G781" s="16" t="str">
        <f>IF(D781&lt;&gt;"",D781-VLOOKUP(A781,Consolidado!$B$1:$L$1500,8,FALSE),"")</f>
        <v/>
      </c>
      <c r="H781" s="31"/>
      <c r="I781" s="32">
        <f t="shared" si="49"/>
        <v>0</v>
      </c>
      <c r="J781" s="33" t="str">
        <f t="shared" si="50"/>
        <v/>
      </c>
      <c r="K781" s="2"/>
      <c r="L781" s="15"/>
      <c r="M781" s="34">
        <f t="shared" si="51"/>
        <v>0</v>
      </c>
    </row>
    <row r="782" spans="1:13" x14ac:dyDescent="0.25">
      <c r="A782" s="31"/>
      <c r="B782" s="16" t="str">
        <f>IFERROR(VLOOKUP(A782,Consolidado!$B$1:$L$1500,2,FALSE),"")</f>
        <v/>
      </c>
      <c r="C782" s="16">
        <f>IFERROR(SUMIF(Consolidado!$B$1:$B$1500,VLOOKUP(RegistroPago!A782,Consolidado!$B$1:$L$1500,1,FALSE),Consolidado!$G$1:$G$1500),"")</f>
        <v>0</v>
      </c>
      <c r="D782" s="3"/>
      <c r="E782" s="3"/>
      <c r="F782" s="5" t="str">
        <f t="shared" si="48"/>
        <v/>
      </c>
      <c r="G782" s="16" t="str">
        <f>IF(D782&lt;&gt;"",D782-VLOOKUP(A782,Consolidado!$B$1:$L$1500,8,FALSE),"")</f>
        <v/>
      </c>
      <c r="H782" s="31"/>
      <c r="I782" s="32">
        <f t="shared" si="49"/>
        <v>0</v>
      </c>
      <c r="J782" s="33" t="str">
        <f t="shared" si="50"/>
        <v/>
      </c>
      <c r="K782" s="2"/>
      <c r="L782" s="15"/>
      <c r="M782" s="34">
        <f t="shared" si="51"/>
        <v>0</v>
      </c>
    </row>
    <row r="783" spans="1:13" x14ac:dyDescent="0.25">
      <c r="A783" s="31"/>
      <c r="B783" s="16" t="str">
        <f>IFERROR(VLOOKUP(A783,Consolidado!$B$1:$L$1500,2,FALSE),"")</f>
        <v/>
      </c>
      <c r="C783" s="16">
        <f>IFERROR(SUMIF(Consolidado!$B$1:$B$1500,VLOOKUP(RegistroPago!A783,Consolidado!$B$1:$L$1500,1,FALSE),Consolidado!$G$1:$G$1500),"")</f>
        <v>0</v>
      </c>
      <c r="D783" s="3"/>
      <c r="E783" s="3"/>
      <c r="F783" s="5" t="str">
        <f t="shared" si="48"/>
        <v/>
      </c>
      <c r="G783" s="16" t="str">
        <f>IF(D783&lt;&gt;"",D783-VLOOKUP(A783,Consolidado!$B$1:$L$1500,8,FALSE),"")</f>
        <v/>
      </c>
      <c r="H783" s="31"/>
      <c r="I783" s="32">
        <f t="shared" si="49"/>
        <v>0</v>
      </c>
      <c r="J783" s="33" t="str">
        <f t="shared" si="50"/>
        <v/>
      </c>
      <c r="K783" s="2"/>
      <c r="L783" s="15"/>
      <c r="M783" s="34">
        <f t="shared" si="51"/>
        <v>0</v>
      </c>
    </row>
    <row r="784" spans="1:13" x14ac:dyDescent="0.25">
      <c r="A784" s="31"/>
      <c r="B784" s="16" t="str">
        <f>IFERROR(VLOOKUP(A784,Consolidado!$B$1:$L$1500,2,FALSE),"")</f>
        <v/>
      </c>
      <c r="C784" s="16">
        <f>IFERROR(SUMIF(Consolidado!$B$1:$B$1500,VLOOKUP(RegistroPago!A784,Consolidado!$B$1:$L$1500,1,FALSE),Consolidado!$G$1:$G$1500),"")</f>
        <v>0</v>
      </c>
      <c r="D784" s="3"/>
      <c r="E784" s="3"/>
      <c r="F784" s="5" t="str">
        <f t="shared" si="48"/>
        <v/>
      </c>
      <c r="G784" s="16" t="str">
        <f>IF(D784&lt;&gt;"",D784-VLOOKUP(A784,Consolidado!$B$1:$L$1500,8,FALSE),"")</f>
        <v/>
      </c>
      <c r="H784" s="31"/>
      <c r="I784" s="32">
        <f t="shared" si="49"/>
        <v>0</v>
      </c>
      <c r="J784" s="33" t="str">
        <f t="shared" si="50"/>
        <v/>
      </c>
      <c r="K784" s="2"/>
      <c r="L784" s="15"/>
      <c r="M784" s="34">
        <f t="shared" si="51"/>
        <v>0</v>
      </c>
    </row>
    <row r="785" spans="1:13" x14ac:dyDescent="0.25">
      <c r="A785" s="31"/>
      <c r="B785" s="16" t="str">
        <f>IFERROR(VLOOKUP(A785,Consolidado!$B$1:$L$1500,2,FALSE),"")</f>
        <v/>
      </c>
      <c r="C785" s="16">
        <f>IFERROR(SUMIF(Consolidado!$B$1:$B$1500,VLOOKUP(RegistroPago!A785,Consolidado!$B$1:$L$1500,1,FALSE),Consolidado!$G$1:$G$1500),"")</f>
        <v>0</v>
      </c>
      <c r="D785" s="3"/>
      <c r="E785" s="3"/>
      <c r="F785" s="5" t="str">
        <f t="shared" si="48"/>
        <v/>
      </c>
      <c r="G785" s="16" t="str">
        <f>IF(D785&lt;&gt;"",D785-VLOOKUP(A785,Consolidado!$B$1:$L$1500,8,FALSE),"")</f>
        <v/>
      </c>
      <c r="H785" s="31"/>
      <c r="I785" s="32">
        <f t="shared" si="49"/>
        <v>0</v>
      </c>
      <c r="J785" s="33" t="str">
        <f t="shared" si="50"/>
        <v/>
      </c>
      <c r="K785" s="2"/>
      <c r="L785" s="15"/>
      <c r="M785" s="34">
        <f t="shared" si="51"/>
        <v>0</v>
      </c>
    </row>
    <row r="786" spans="1:13" x14ac:dyDescent="0.25">
      <c r="A786" s="31"/>
      <c r="B786" s="16" t="str">
        <f>IFERROR(VLOOKUP(A786,Consolidado!$B$1:$L$1500,2,FALSE),"")</f>
        <v/>
      </c>
      <c r="C786" s="16">
        <f>IFERROR(SUMIF(Consolidado!$B$1:$B$1500,VLOOKUP(RegistroPago!A786,Consolidado!$B$1:$L$1500,1,FALSE),Consolidado!$G$1:$G$1500),"")</f>
        <v>0</v>
      </c>
      <c r="D786" s="3"/>
      <c r="E786" s="3"/>
      <c r="F786" s="5" t="str">
        <f t="shared" si="48"/>
        <v/>
      </c>
      <c r="G786" s="16" t="str">
        <f>IF(D786&lt;&gt;"",D786-VLOOKUP(A786,Consolidado!$B$1:$L$1500,8,FALSE),"")</f>
        <v/>
      </c>
      <c r="H786" s="31"/>
      <c r="I786" s="32">
        <f t="shared" si="49"/>
        <v>0</v>
      </c>
      <c r="J786" s="33" t="str">
        <f t="shared" si="50"/>
        <v/>
      </c>
      <c r="K786" s="2"/>
      <c r="L786" s="15"/>
      <c r="M786" s="34">
        <f t="shared" si="51"/>
        <v>0</v>
      </c>
    </row>
    <row r="787" spans="1:13" x14ac:dyDescent="0.25">
      <c r="A787" s="31"/>
      <c r="B787" s="16" t="str">
        <f>IFERROR(VLOOKUP(A787,Consolidado!$B$1:$L$1500,2,FALSE),"")</f>
        <v/>
      </c>
      <c r="C787" s="16">
        <f>IFERROR(SUMIF(Consolidado!$B$1:$B$1500,VLOOKUP(RegistroPago!A787,Consolidado!$B$1:$L$1500,1,FALSE),Consolidado!$G$1:$G$1500),"")</f>
        <v>0</v>
      </c>
      <c r="D787" s="3"/>
      <c r="E787" s="3"/>
      <c r="F787" s="5" t="str">
        <f t="shared" si="48"/>
        <v/>
      </c>
      <c r="G787" s="16" t="str">
        <f>IF(D787&lt;&gt;"",D787-VLOOKUP(A787,Consolidado!$B$1:$L$1500,8,FALSE),"")</f>
        <v/>
      </c>
      <c r="H787" s="31"/>
      <c r="I787" s="32">
        <f t="shared" si="49"/>
        <v>0</v>
      </c>
      <c r="J787" s="33" t="str">
        <f t="shared" si="50"/>
        <v/>
      </c>
      <c r="K787" s="2"/>
      <c r="L787" s="15"/>
      <c r="M787" s="34">
        <f t="shared" si="51"/>
        <v>0</v>
      </c>
    </row>
    <row r="788" spans="1:13" x14ac:dyDescent="0.25">
      <c r="A788" s="31"/>
      <c r="B788" s="16" t="str">
        <f>IFERROR(VLOOKUP(A788,Consolidado!$B$1:$L$1500,2,FALSE),"")</f>
        <v/>
      </c>
      <c r="C788" s="16">
        <f>IFERROR(SUMIF(Consolidado!$B$1:$B$1500,VLOOKUP(RegistroPago!A788,Consolidado!$B$1:$L$1500,1,FALSE),Consolidado!$G$1:$G$1500),"")</f>
        <v>0</v>
      </c>
      <c r="D788" s="3"/>
      <c r="E788" s="3"/>
      <c r="F788" s="5" t="str">
        <f t="shared" si="48"/>
        <v/>
      </c>
      <c r="G788" s="16" t="str">
        <f>IF(D788&lt;&gt;"",D788-VLOOKUP(A788,Consolidado!$B$1:$L$1500,8,FALSE),"")</f>
        <v/>
      </c>
      <c r="H788" s="31"/>
      <c r="I788" s="32">
        <f t="shared" si="49"/>
        <v>0</v>
      </c>
      <c r="J788" s="33" t="str">
        <f t="shared" si="50"/>
        <v/>
      </c>
      <c r="K788" s="2"/>
      <c r="L788" s="15"/>
      <c r="M788" s="34">
        <f t="shared" si="51"/>
        <v>0</v>
      </c>
    </row>
    <row r="789" spans="1:13" x14ac:dyDescent="0.25">
      <c r="A789" s="31"/>
      <c r="B789" s="16" t="str">
        <f>IFERROR(VLOOKUP(A789,Consolidado!$B$1:$L$1500,2,FALSE),"")</f>
        <v/>
      </c>
      <c r="C789" s="16">
        <f>IFERROR(SUMIF(Consolidado!$B$1:$B$1500,VLOOKUP(RegistroPago!A789,Consolidado!$B$1:$L$1500,1,FALSE),Consolidado!$G$1:$G$1500),"")</f>
        <v>0</v>
      </c>
      <c r="D789" s="3"/>
      <c r="E789" s="3"/>
      <c r="F789" s="5" t="str">
        <f t="shared" si="48"/>
        <v/>
      </c>
      <c r="G789" s="16" t="str">
        <f>IF(D789&lt;&gt;"",D789-VLOOKUP(A789,Consolidado!$B$1:$L$1500,8,FALSE),"")</f>
        <v/>
      </c>
      <c r="H789" s="31"/>
      <c r="I789" s="32">
        <f t="shared" si="49"/>
        <v>0</v>
      </c>
      <c r="J789" s="33" t="str">
        <f t="shared" si="50"/>
        <v/>
      </c>
      <c r="K789" s="2"/>
      <c r="L789" s="15"/>
      <c r="M789" s="34">
        <f t="shared" si="51"/>
        <v>0</v>
      </c>
    </row>
    <row r="790" spans="1:13" x14ac:dyDescent="0.25">
      <c r="A790" s="31"/>
      <c r="B790" s="16" t="str">
        <f>IFERROR(VLOOKUP(A790,Consolidado!$B$1:$L$1500,2,FALSE),"")</f>
        <v/>
      </c>
      <c r="C790" s="16">
        <f>IFERROR(SUMIF(Consolidado!$B$1:$B$1500,VLOOKUP(RegistroPago!A790,Consolidado!$B$1:$L$1500,1,FALSE),Consolidado!$G$1:$G$1500),"")</f>
        <v>0</v>
      </c>
      <c r="D790" s="3"/>
      <c r="E790" s="3"/>
      <c r="F790" s="5" t="str">
        <f t="shared" si="48"/>
        <v/>
      </c>
      <c r="G790" s="16" t="str">
        <f>IF(D790&lt;&gt;"",D790-VLOOKUP(A790,Consolidado!$B$1:$L$1500,8,FALSE),"")</f>
        <v/>
      </c>
      <c r="H790" s="31"/>
      <c r="I790" s="32">
        <f t="shared" si="49"/>
        <v>0</v>
      </c>
      <c r="J790" s="33" t="str">
        <f t="shared" si="50"/>
        <v/>
      </c>
      <c r="K790" s="2"/>
      <c r="L790" s="15"/>
      <c r="M790" s="34">
        <f t="shared" si="51"/>
        <v>0</v>
      </c>
    </row>
    <row r="791" spans="1:13" x14ac:dyDescent="0.25">
      <c r="A791" s="31"/>
      <c r="B791" s="16" t="str">
        <f>IFERROR(VLOOKUP(A791,Consolidado!$B$1:$L$1500,2,FALSE),"")</f>
        <v/>
      </c>
      <c r="C791" s="16">
        <f>IFERROR(SUMIF(Consolidado!$B$1:$B$1500,VLOOKUP(RegistroPago!A791,Consolidado!$B$1:$L$1500,1,FALSE),Consolidado!$G$1:$G$1500),"")</f>
        <v>0</v>
      </c>
      <c r="D791" s="3"/>
      <c r="E791" s="3"/>
      <c r="F791" s="5" t="str">
        <f t="shared" si="48"/>
        <v/>
      </c>
      <c r="G791" s="16" t="str">
        <f>IF(D791&lt;&gt;"",D791-VLOOKUP(A791,Consolidado!$B$1:$L$1500,8,FALSE),"")</f>
        <v/>
      </c>
      <c r="H791" s="31"/>
      <c r="I791" s="32">
        <f t="shared" si="49"/>
        <v>0</v>
      </c>
      <c r="J791" s="33" t="str">
        <f t="shared" si="50"/>
        <v/>
      </c>
      <c r="K791" s="2"/>
      <c r="L791" s="15"/>
      <c r="M791" s="34">
        <f t="shared" si="51"/>
        <v>0</v>
      </c>
    </row>
    <row r="792" spans="1:13" x14ac:dyDescent="0.25">
      <c r="A792" s="31"/>
      <c r="B792" s="16" t="str">
        <f>IFERROR(VLOOKUP(A792,Consolidado!$B$1:$L$1500,2,FALSE),"")</f>
        <v/>
      </c>
      <c r="C792" s="16">
        <f>IFERROR(SUMIF(Consolidado!$B$1:$B$1500,VLOOKUP(RegistroPago!A792,Consolidado!$B$1:$L$1500,1,FALSE),Consolidado!$G$1:$G$1500),"")</f>
        <v>0</v>
      </c>
      <c r="D792" s="3"/>
      <c r="E792" s="3"/>
      <c r="F792" s="5" t="str">
        <f t="shared" si="48"/>
        <v/>
      </c>
      <c r="G792" s="16" t="str">
        <f>IF(D792&lt;&gt;"",D792-VLOOKUP(A792,Consolidado!$B$1:$L$1500,8,FALSE),"")</f>
        <v/>
      </c>
      <c r="H792" s="31"/>
      <c r="I792" s="32">
        <f t="shared" si="49"/>
        <v>0</v>
      </c>
      <c r="J792" s="33" t="str">
        <f t="shared" si="50"/>
        <v/>
      </c>
      <c r="K792" s="2"/>
      <c r="L792" s="15"/>
      <c r="M792" s="34">
        <f t="shared" si="51"/>
        <v>0</v>
      </c>
    </row>
    <row r="793" spans="1:13" x14ac:dyDescent="0.25">
      <c r="A793" s="31"/>
      <c r="B793" s="16" t="str">
        <f>IFERROR(VLOOKUP(A793,Consolidado!$B$1:$L$1500,2,FALSE),"")</f>
        <v/>
      </c>
      <c r="C793" s="16">
        <f>IFERROR(SUMIF(Consolidado!$B$1:$B$1500,VLOOKUP(RegistroPago!A793,Consolidado!$B$1:$L$1500,1,FALSE),Consolidado!$G$1:$G$1500),"")</f>
        <v>0</v>
      </c>
      <c r="D793" s="3"/>
      <c r="E793" s="3"/>
      <c r="F793" s="5" t="str">
        <f t="shared" si="48"/>
        <v/>
      </c>
      <c r="G793" s="16" t="str">
        <f>IF(D793&lt;&gt;"",D793-VLOOKUP(A793,Consolidado!$B$1:$L$1500,8,FALSE),"")</f>
        <v/>
      </c>
      <c r="H793" s="31"/>
      <c r="I793" s="32">
        <f t="shared" si="49"/>
        <v>0</v>
      </c>
      <c r="J793" s="33" t="str">
        <f t="shared" si="50"/>
        <v/>
      </c>
      <c r="K793" s="2"/>
      <c r="L793" s="15"/>
      <c r="M793" s="34">
        <f t="shared" si="51"/>
        <v>0</v>
      </c>
    </row>
    <row r="794" spans="1:13" x14ac:dyDescent="0.25">
      <c r="A794" s="31"/>
      <c r="B794" s="16" t="str">
        <f>IFERROR(VLOOKUP(A794,Consolidado!$B$1:$L$1500,2,FALSE),"")</f>
        <v/>
      </c>
      <c r="C794" s="16">
        <f>IFERROR(SUMIF(Consolidado!$B$1:$B$1500,VLOOKUP(RegistroPago!A794,Consolidado!$B$1:$L$1500,1,FALSE),Consolidado!$G$1:$G$1500),"")</f>
        <v>0</v>
      </c>
      <c r="D794" s="3"/>
      <c r="E794" s="3"/>
      <c r="F794" s="5" t="str">
        <f t="shared" si="48"/>
        <v/>
      </c>
      <c r="G794" s="16" t="str">
        <f>IF(D794&lt;&gt;"",D794-VLOOKUP(A794,Consolidado!$B$1:$L$1500,8,FALSE),"")</f>
        <v/>
      </c>
      <c r="H794" s="31"/>
      <c r="I794" s="32">
        <f t="shared" si="49"/>
        <v>0</v>
      </c>
      <c r="J794" s="33" t="str">
        <f t="shared" si="50"/>
        <v/>
      </c>
      <c r="K794" s="2"/>
      <c r="L794" s="15"/>
      <c r="M794" s="34">
        <f t="shared" si="51"/>
        <v>0</v>
      </c>
    </row>
    <row r="795" spans="1:13" x14ac:dyDescent="0.25">
      <c r="A795" s="31"/>
      <c r="B795" s="16" t="str">
        <f>IFERROR(VLOOKUP(A795,Consolidado!$B$1:$L$1500,2,FALSE),"")</f>
        <v/>
      </c>
      <c r="C795" s="16">
        <f>IFERROR(SUMIF(Consolidado!$B$1:$B$1500,VLOOKUP(RegistroPago!A795,Consolidado!$B$1:$L$1500,1,FALSE),Consolidado!$G$1:$G$1500),"")</f>
        <v>0</v>
      </c>
      <c r="D795" s="3"/>
      <c r="E795" s="3"/>
      <c r="F795" s="5" t="str">
        <f t="shared" si="48"/>
        <v/>
      </c>
      <c r="G795" s="16" t="str">
        <f>IF(D795&lt;&gt;"",D795-VLOOKUP(A795,Consolidado!$B$1:$L$1500,8,FALSE),"")</f>
        <v/>
      </c>
      <c r="H795" s="31"/>
      <c r="I795" s="32">
        <f t="shared" si="49"/>
        <v>0</v>
      </c>
      <c r="J795" s="33" t="str">
        <f t="shared" si="50"/>
        <v/>
      </c>
      <c r="K795" s="2"/>
      <c r="L795" s="15"/>
      <c r="M795" s="34">
        <f t="shared" si="51"/>
        <v>0</v>
      </c>
    </row>
    <row r="796" spans="1:13" x14ac:dyDescent="0.25">
      <c r="A796" s="31"/>
      <c r="B796" s="16" t="str">
        <f>IFERROR(VLOOKUP(A796,Consolidado!$B$1:$L$1500,2,FALSE),"")</f>
        <v/>
      </c>
      <c r="C796" s="16">
        <f>IFERROR(SUMIF(Consolidado!$B$1:$B$1500,VLOOKUP(RegistroPago!A796,Consolidado!$B$1:$L$1500,1,FALSE),Consolidado!$G$1:$G$1500),"")</f>
        <v>0</v>
      </c>
      <c r="D796" s="3"/>
      <c r="E796" s="3"/>
      <c r="F796" s="5" t="str">
        <f t="shared" si="48"/>
        <v/>
      </c>
      <c r="G796" s="16" t="str">
        <f>IF(D796&lt;&gt;"",D796-VLOOKUP(A796,Consolidado!$B$1:$L$1500,8,FALSE),"")</f>
        <v/>
      </c>
      <c r="H796" s="31"/>
      <c r="I796" s="32">
        <f t="shared" si="49"/>
        <v>0</v>
      </c>
      <c r="J796" s="33" t="str">
        <f t="shared" si="50"/>
        <v/>
      </c>
      <c r="K796" s="2"/>
      <c r="L796" s="15"/>
      <c r="M796" s="34">
        <f t="shared" si="51"/>
        <v>0</v>
      </c>
    </row>
    <row r="797" spans="1:13" x14ac:dyDescent="0.25">
      <c r="A797" s="31"/>
      <c r="B797" s="16" t="str">
        <f>IFERROR(VLOOKUP(A797,Consolidado!$B$1:$L$1500,2,FALSE),"")</f>
        <v/>
      </c>
      <c r="C797" s="16">
        <f>IFERROR(SUMIF(Consolidado!$B$1:$B$1500,VLOOKUP(RegistroPago!A797,Consolidado!$B$1:$L$1500,1,FALSE),Consolidado!$G$1:$G$1500),"")</f>
        <v>0</v>
      </c>
      <c r="D797" s="3"/>
      <c r="E797" s="3"/>
      <c r="F797" s="5" t="str">
        <f t="shared" si="48"/>
        <v/>
      </c>
      <c r="G797" s="16" t="str">
        <f>IF(D797&lt;&gt;"",D797-VLOOKUP(A797,Consolidado!$B$1:$L$1500,8,FALSE),"")</f>
        <v/>
      </c>
      <c r="H797" s="31"/>
      <c r="I797" s="32">
        <f t="shared" si="49"/>
        <v>0</v>
      </c>
      <c r="J797" s="33" t="str">
        <f t="shared" si="50"/>
        <v/>
      </c>
      <c r="K797" s="2"/>
      <c r="L797" s="15"/>
      <c r="M797" s="34">
        <f t="shared" si="51"/>
        <v>0</v>
      </c>
    </row>
    <row r="798" spans="1:13" x14ac:dyDescent="0.25">
      <c r="A798" s="31"/>
      <c r="B798" s="16" t="str">
        <f>IFERROR(VLOOKUP(A798,Consolidado!$B$1:$L$1500,2,FALSE),"")</f>
        <v/>
      </c>
      <c r="C798" s="16">
        <f>IFERROR(SUMIF(Consolidado!$B$1:$B$1500,VLOOKUP(RegistroPago!A798,Consolidado!$B$1:$L$1500,1,FALSE),Consolidado!$G$1:$G$1500),"")</f>
        <v>0</v>
      </c>
      <c r="D798" s="3"/>
      <c r="E798" s="3"/>
      <c r="F798" s="5" t="str">
        <f t="shared" si="48"/>
        <v/>
      </c>
      <c r="G798" s="16" t="str">
        <f>IF(D798&lt;&gt;"",D798-VLOOKUP(A798,Consolidado!$B$1:$L$1500,8,FALSE),"")</f>
        <v/>
      </c>
      <c r="H798" s="31"/>
      <c r="I798" s="32">
        <f t="shared" si="49"/>
        <v>0</v>
      </c>
      <c r="J798" s="33" t="str">
        <f t="shared" si="50"/>
        <v/>
      </c>
      <c r="K798" s="2"/>
      <c r="L798" s="15"/>
      <c r="M798" s="34">
        <f t="shared" si="51"/>
        <v>0</v>
      </c>
    </row>
    <row r="799" spans="1:13" x14ac:dyDescent="0.25">
      <c r="A799" s="31"/>
      <c r="B799" s="16" t="str">
        <f>IFERROR(VLOOKUP(A799,Consolidado!$B$1:$L$1500,2,FALSE),"")</f>
        <v/>
      </c>
      <c r="C799" s="16">
        <f>IFERROR(SUMIF(Consolidado!$B$1:$B$1500,VLOOKUP(RegistroPago!A799,Consolidado!$B$1:$L$1500,1,FALSE),Consolidado!$G$1:$G$1500),"")</f>
        <v>0</v>
      </c>
      <c r="D799" s="3"/>
      <c r="E799" s="3"/>
      <c r="F799" s="5" t="str">
        <f t="shared" si="48"/>
        <v/>
      </c>
      <c r="G799" s="16" t="str">
        <f>IF(D799&lt;&gt;"",D799-VLOOKUP(A799,Consolidado!$B$1:$L$1500,8,FALSE),"")</f>
        <v/>
      </c>
      <c r="H799" s="31"/>
      <c r="I799" s="32">
        <f t="shared" si="49"/>
        <v>0</v>
      </c>
      <c r="J799" s="33" t="str">
        <f t="shared" si="50"/>
        <v/>
      </c>
      <c r="K799" s="2"/>
      <c r="L799" s="15"/>
      <c r="M799" s="34">
        <f t="shared" si="51"/>
        <v>0</v>
      </c>
    </row>
    <row r="800" spans="1:13" x14ac:dyDescent="0.25">
      <c r="A800" s="31"/>
      <c r="B800" s="16" t="str">
        <f>IFERROR(VLOOKUP(A800,Consolidado!$B$1:$L$1500,2,FALSE),"")</f>
        <v/>
      </c>
      <c r="C800" s="16">
        <f>IFERROR(SUMIF(Consolidado!$B$1:$B$1500,VLOOKUP(RegistroPago!A800,Consolidado!$B$1:$L$1500,1,FALSE),Consolidado!$G$1:$G$1500),"")</f>
        <v>0</v>
      </c>
      <c r="D800" s="3"/>
      <c r="E800" s="3"/>
      <c r="F800" s="5" t="str">
        <f t="shared" si="48"/>
        <v/>
      </c>
      <c r="G800" s="16" t="str">
        <f>IF(D800&lt;&gt;"",D800-VLOOKUP(A800,Consolidado!$B$1:$L$1500,8,FALSE),"")</f>
        <v/>
      </c>
      <c r="H800" s="31"/>
      <c r="I800" s="32">
        <f t="shared" si="49"/>
        <v>0</v>
      </c>
      <c r="J800" s="33" t="str">
        <f t="shared" si="50"/>
        <v/>
      </c>
      <c r="K800" s="2"/>
      <c r="L800" s="15"/>
      <c r="M800" s="34">
        <f t="shared" si="51"/>
        <v>0</v>
      </c>
    </row>
    <row r="801" spans="1:13" x14ac:dyDescent="0.25">
      <c r="A801" s="31"/>
      <c r="B801" s="16" t="str">
        <f>IFERROR(VLOOKUP(A801,Consolidado!$B$1:$L$1500,2,FALSE),"")</f>
        <v/>
      </c>
      <c r="C801" s="16">
        <f>IFERROR(SUMIF(Consolidado!$B$1:$B$1500,VLOOKUP(RegistroPago!A801,Consolidado!$B$1:$L$1500,1,FALSE),Consolidado!$G$1:$G$1500),"")</f>
        <v>0</v>
      </c>
      <c r="D801" s="3"/>
      <c r="E801" s="3"/>
      <c r="F801" s="5" t="str">
        <f t="shared" si="48"/>
        <v/>
      </c>
      <c r="G801" s="16" t="str">
        <f>IF(D801&lt;&gt;"",D801-VLOOKUP(A801,Consolidado!$B$1:$L$1500,8,FALSE),"")</f>
        <v/>
      </c>
      <c r="H801" s="31"/>
      <c r="I801" s="32">
        <f t="shared" si="49"/>
        <v>0</v>
      </c>
      <c r="J801" s="33" t="str">
        <f t="shared" si="50"/>
        <v/>
      </c>
      <c r="K801" s="2"/>
      <c r="L801" s="15"/>
      <c r="M801" s="34">
        <f t="shared" si="51"/>
        <v>0</v>
      </c>
    </row>
    <row r="802" spans="1:13" x14ac:dyDescent="0.25">
      <c r="A802" s="31"/>
      <c r="B802" s="16" t="str">
        <f>IFERROR(VLOOKUP(A802,Consolidado!$B$1:$L$1500,2,FALSE),"")</f>
        <v/>
      </c>
      <c r="C802" s="16">
        <f>IFERROR(SUMIF(Consolidado!$B$1:$B$1500,VLOOKUP(RegistroPago!A802,Consolidado!$B$1:$L$1500,1,FALSE),Consolidado!$G$1:$G$1500),"")</f>
        <v>0</v>
      </c>
      <c r="D802" s="3"/>
      <c r="E802" s="3"/>
      <c r="F802" s="5" t="str">
        <f t="shared" si="48"/>
        <v/>
      </c>
      <c r="G802" s="16" t="str">
        <f>IF(D802&lt;&gt;"",D802-VLOOKUP(A802,Consolidado!$B$1:$L$1500,8,FALSE),"")</f>
        <v/>
      </c>
      <c r="H802" s="31"/>
      <c r="I802" s="32">
        <f t="shared" si="49"/>
        <v>0</v>
      </c>
      <c r="J802" s="33" t="str">
        <f t="shared" si="50"/>
        <v/>
      </c>
      <c r="K802" s="2"/>
      <c r="L802" s="15"/>
      <c r="M802" s="34">
        <f t="shared" si="51"/>
        <v>0</v>
      </c>
    </row>
    <row r="803" spans="1:13" x14ac:dyDescent="0.25">
      <c r="A803" s="31"/>
      <c r="B803" s="16" t="str">
        <f>IFERROR(VLOOKUP(A803,Consolidado!$B$1:$L$1500,2,FALSE),"")</f>
        <v/>
      </c>
      <c r="C803" s="16">
        <f>IFERROR(SUMIF(Consolidado!$B$1:$B$1500,VLOOKUP(RegistroPago!A803,Consolidado!$B$1:$L$1500,1,FALSE),Consolidado!$G$1:$G$1500),"")</f>
        <v>0</v>
      </c>
      <c r="D803" s="3"/>
      <c r="E803" s="3"/>
      <c r="F803" s="5" t="str">
        <f t="shared" si="48"/>
        <v/>
      </c>
      <c r="G803" s="16" t="str">
        <f>IF(D803&lt;&gt;"",D803-VLOOKUP(A803,Consolidado!$B$1:$L$1500,8,FALSE),"")</f>
        <v/>
      </c>
      <c r="H803" s="31"/>
      <c r="I803" s="32">
        <f t="shared" si="49"/>
        <v>0</v>
      </c>
      <c r="J803" s="33" t="str">
        <f t="shared" si="50"/>
        <v/>
      </c>
      <c r="K803" s="2"/>
      <c r="L803" s="15"/>
      <c r="M803" s="34">
        <f t="shared" si="51"/>
        <v>0</v>
      </c>
    </row>
    <row r="804" spans="1:13" x14ac:dyDescent="0.25">
      <c r="A804" s="31"/>
      <c r="B804" s="16" t="str">
        <f>IFERROR(VLOOKUP(A804,Consolidado!$B$1:$L$1500,2,FALSE),"")</f>
        <v/>
      </c>
      <c r="C804" s="16">
        <f>IFERROR(SUMIF(Consolidado!$B$1:$B$1500,VLOOKUP(RegistroPago!A804,Consolidado!$B$1:$L$1500,1,FALSE),Consolidado!$G$1:$G$1500),"")</f>
        <v>0</v>
      </c>
      <c r="D804" s="3"/>
      <c r="E804" s="3"/>
      <c r="F804" s="5" t="str">
        <f t="shared" si="48"/>
        <v/>
      </c>
      <c r="G804" s="16" t="str">
        <f>IF(D804&lt;&gt;"",D804-VLOOKUP(A804,Consolidado!$B$1:$L$1500,8,FALSE),"")</f>
        <v/>
      </c>
      <c r="H804" s="31"/>
      <c r="I804" s="32">
        <f t="shared" si="49"/>
        <v>0</v>
      </c>
      <c r="J804" s="33" t="str">
        <f t="shared" si="50"/>
        <v/>
      </c>
      <c r="K804" s="2"/>
      <c r="L804" s="15"/>
      <c r="M804" s="34">
        <f t="shared" si="51"/>
        <v>0</v>
      </c>
    </row>
    <row r="805" spans="1:13" x14ac:dyDescent="0.25">
      <c r="A805" s="31"/>
      <c r="B805" s="16" t="str">
        <f>IFERROR(VLOOKUP(A805,Consolidado!$B$1:$L$1500,2,FALSE),"")</f>
        <v/>
      </c>
      <c r="C805" s="16">
        <f>IFERROR(SUMIF(Consolidado!$B$1:$B$1500,VLOOKUP(RegistroPago!A805,Consolidado!$B$1:$L$1500,1,FALSE),Consolidado!$G$1:$G$1500),"")</f>
        <v>0</v>
      </c>
      <c r="D805" s="3"/>
      <c r="E805" s="3"/>
      <c r="F805" s="5" t="str">
        <f t="shared" si="48"/>
        <v/>
      </c>
      <c r="G805" s="16" t="str">
        <f>IF(D805&lt;&gt;"",D805-VLOOKUP(A805,Consolidado!$B$1:$L$1500,8,FALSE),"")</f>
        <v/>
      </c>
      <c r="H805" s="31"/>
      <c r="I805" s="32">
        <f t="shared" si="49"/>
        <v>0</v>
      </c>
      <c r="J805" s="33" t="str">
        <f t="shared" si="50"/>
        <v/>
      </c>
      <c r="K805" s="2"/>
      <c r="L805" s="15"/>
      <c r="M805" s="34">
        <f t="shared" si="51"/>
        <v>0</v>
      </c>
    </row>
    <row r="806" spans="1:13" x14ac:dyDescent="0.25">
      <c r="A806" s="31"/>
      <c r="B806" s="16" t="str">
        <f>IFERROR(VLOOKUP(A806,Consolidado!$B$1:$L$1500,2,FALSE),"")</f>
        <v/>
      </c>
      <c r="C806" s="16">
        <f>IFERROR(SUMIF(Consolidado!$B$1:$B$1500,VLOOKUP(RegistroPago!A806,Consolidado!$B$1:$L$1500,1,FALSE),Consolidado!$G$1:$G$1500),"")</f>
        <v>0</v>
      </c>
      <c r="D806" s="3"/>
      <c r="E806" s="3"/>
      <c r="F806" s="5" t="str">
        <f t="shared" si="48"/>
        <v/>
      </c>
      <c r="G806" s="16" t="str">
        <f>IF(D806&lt;&gt;"",D806-VLOOKUP(A806,Consolidado!$B$1:$L$1500,8,FALSE),"")</f>
        <v/>
      </c>
      <c r="H806" s="31"/>
      <c r="I806" s="32">
        <f t="shared" si="49"/>
        <v>0</v>
      </c>
      <c r="J806" s="33" t="str">
        <f t="shared" si="50"/>
        <v/>
      </c>
      <c r="K806" s="2"/>
      <c r="L806" s="15"/>
      <c r="M806" s="34">
        <f t="shared" si="51"/>
        <v>0</v>
      </c>
    </row>
    <row r="807" spans="1:13" x14ac:dyDescent="0.25">
      <c r="A807" s="31"/>
      <c r="B807" s="16" t="str">
        <f>IFERROR(VLOOKUP(A807,Consolidado!$B$1:$L$1500,2,FALSE),"")</f>
        <v/>
      </c>
      <c r="C807" s="16">
        <f>IFERROR(SUMIF(Consolidado!$B$1:$B$1500,VLOOKUP(RegistroPago!A807,Consolidado!$B$1:$L$1500,1,FALSE),Consolidado!$G$1:$G$1500),"")</f>
        <v>0</v>
      </c>
      <c r="D807" s="3"/>
      <c r="E807" s="3"/>
      <c r="F807" s="5" t="str">
        <f t="shared" si="48"/>
        <v/>
      </c>
      <c r="G807" s="16" t="str">
        <f>IF(D807&lt;&gt;"",D807-VLOOKUP(A807,Consolidado!$B$1:$L$1500,8,FALSE),"")</f>
        <v/>
      </c>
      <c r="H807" s="31"/>
      <c r="I807" s="32">
        <f t="shared" si="49"/>
        <v>0</v>
      </c>
      <c r="J807" s="33" t="str">
        <f t="shared" si="50"/>
        <v/>
      </c>
      <c r="K807" s="2"/>
      <c r="L807" s="15"/>
      <c r="M807" s="34">
        <f t="shared" si="51"/>
        <v>0</v>
      </c>
    </row>
    <row r="808" spans="1:13" x14ac:dyDescent="0.25">
      <c r="A808" s="31"/>
      <c r="B808" s="16" t="str">
        <f>IFERROR(VLOOKUP(A808,Consolidado!$B$1:$L$1500,2,FALSE),"")</f>
        <v/>
      </c>
      <c r="C808" s="16">
        <f>IFERROR(SUMIF(Consolidado!$B$1:$B$1500,VLOOKUP(RegistroPago!A808,Consolidado!$B$1:$L$1500,1,FALSE),Consolidado!$G$1:$G$1500),"")</f>
        <v>0</v>
      </c>
      <c r="D808" s="3"/>
      <c r="E808" s="3"/>
      <c r="F808" s="5" t="str">
        <f t="shared" si="48"/>
        <v/>
      </c>
      <c r="G808" s="16" t="str">
        <f>IF(D808&lt;&gt;"",D808-VLOOKUP(A808,Consolidado!$B$1:$L$1500,8,FALSE),"")</f>
        <v/>
      </c>
      <c r="H808" s="31"/>
      <c r="I808" s="32">
        <f t="shared" si="49"/>
        <v>0</v>
      </c>
      <c r="J808" s="33" t="str">
        <f t="shared" si="50"/>
        <v/>
      </c>
      <c r="K808" s="2"/>
      <c r="L808" s="15"/>
      <c r="M808" s="34">
        <f t="shared" si="51"/>
        <v>0</v>
      </c>
    </row>
    <row r="809" spans="1:13" x14ac:dyDescent="0.25">
      <c r="A809" s="31"/>
      <c r="B809" s="16" t="str">
        <f>IFERROR(VLOOKUP(A809,Consolidado!$B$1:$L$1500,2,FALSE),"")</f>
        <v/>
      </c>
      <c r="C809" s="16">
        <f>IFERROR(SUMIF(Consolidado!$B$1:$B$1500,VLOOKUP(RegistroPago!A809,Consolidado!$B$1:$L$1500,1,FALSE),Consolidado!$G$1:$G$1500),"")</f>
        <v>0</v>
      </c>
      <c r="D809" s="3"/>
      <c r="E809" s="3"/>
      <c r="F809" s="5" t="str">
        <f t="shared" si="48"/>
        <v/>
      </c>
      <c r="G809" s="16" t="str">
        <f>IF(D809&lt;&gt;"",D809-VLOOKUP(A809,Consolidado!$B$1:$L$1500,8,FALSE),"")</f>
        <v/>
      </c>
      <c r="H809" s="31"/>
      <c r="I809" s="32">
        <f t="shared" si="49"/>
        <v>0</v>
      </c>
      <c r="J809" s="33" t="str">
        <f t="shared" si="50"/>
        <v/>
      </c>
      <c r="K809" s="2"/>
      <c r="L809" s="15"/>
      <c r="M809" s="34">
        <f t="shared" si="51"/>
        <v>0</v>
      </c>
    </row>
    <row r="810" spans="1:13" x14ac:dyDescent="0.25">
      <c r="A810" s="31"/>
      <c r="B810" s="16" t="str">
        <f>IFERROR(VLOOKUP(A810,Consolidado!$B$1:$L$1500,2,FALSE),"")</f>
        <v/>
      </c>
      <c r="C810" s="16">
        <f>IFERROR(SUMIF(Consolidado!$B$1:$B$1500,VLOOKUP(RegistroPago!A810,Consolidado!$B$1:$L$1500,1,FALSE),Consolidado!$G$1:$G$1500),"")</f>
        <v>0</v>
      </c>
      <c r="D810" s="3"/>
      <c r="E810" s="3"/>
      <c r="F810" s="5" t="str">
        <f t="shared" si="48"/>
        <v/>
      </c>
      <c r="G810" s="16" t="str">
        <f>IF(D810&lt;&gt;"",D810-VLOOKUP(A810,Consolidado!$B$1:$L$1500,8,FALSE),"")</f>
        <v/>
      </c>
      <c r="H810" s="31"/>
      <c r="I810" s="32">
        <f t="shared" si="49"/>
        <v>0</v>
      </c>
      <c r="J810" s="33" t="str">
        <f t="shared" si="50"/>
        <v/>
      </c>
      <c r="K810" s="2"/>
      <c r="L810" s="15"/>
      <c r="M810" s="34">
        <f t="shared" si="51"/>
        <v>0</v>
      </c>
    </row>
    <row r="811" spans="1:13" x14ac:dyDescent="0.25">
      <c r="A811" s="31"/>
      <c r="B811" s="16" t="str">
        <f>IFERROR(VLOOKUP(A811,Consolidado!$B$1:$L$1500,2,FALSE),"")</f>
        <v/>
      </c>
      <c r="C811" s="16">
        <f>IFERROR(SUMIF(Consolidado!$B$1:$B$1500,VLOOKUP(RegistroPago!A811,Consolidado!$B$1:$L$1500,1,FALSE),Consolidado!$G$1:$G$1500),"")</f>
        <v>0</v>
      </c>
      <c r="D811" s="3"/>
      <c r="E811" s="3"/>
      <c r="F811" s="5" t="str">
        <f t="shared" si="48"/>
        <v/>
      </c>
      <c r="G811" s="16" t="str">
        <f>IF(D811&lt;&gt;"",D811-VLOOKUP(A811,Consolidado!$B$1:$L$1500,8,FALSE),"")</f>
        <v/>
      </c>
      <c r="H811" s="31"/>
      <c r="I811" s="32">
        <f t="shared" si="49"/>
        <v>0</v>
      </c>
      <c r="J811" s="33" t="str">
        <f t="shared" si="50"/>
        <v/>
      </c>
      <c r="K811" s="2"/>
      <c r="L811" s="15"/>
      <c r="M811" s="34">
        <f t="shared" si="51"/>
        <v>0</v>
      </c>
    </row>
    <row r="812" spans="1:13" x14ac:dyDescent="0.25">
      <c r="A812" s="31"/>
      <c r="B812" s="16" t="str">
        <f>IFERROR(VLOOKUP(A812,Consolidado!$B$1:$L$1500,2,FALSE),"")</f>
        <v/>
      </c>
      <c r="C812" s="16">
        <f>IFERROR(SUMIF(Consolidado!$B$1:$B$1500,VLOOKUP(RegistroPago!A812,Consolidado!$B$1:$L$1500,1,FALSE),Consolidado!$G$1:$G$1500),"")</f>
        <v>0</v>
      </c>
      <c r="D812" s="3"/>
      <c r="E812" s="3"/>
      <c r="F812" s="5" t="str">
        <f t="shared" si="48"/>
        <v/>
      </c>
      <c r="G812" s="16" t="str">
        <f>IF(D812&lt;&gt;"",D812-VLOOKUP(A812,Consolidado!$B$1:$L$1500,8,FALSE),"")</f>
        <v/>
      </c>
      <c r="H812" s="31"/>
      <c r="I812" s="32">
        <f t="shared" si="49"/>
        <v>0</v>
      </c>
      <c r="J812" s="33" t="str">
        <f t="shared" si="50"/>
        <v/>
      </c>
      <c r="K812" s="2"/>
      <c r="L812" s="15"/>
      <c r="M812" s="34">
        <f t="shared" si="51"/>
        <v>0</v>
      </c>
    </row>
    <row r="813" spans="1:13" x14ac:dyDescent="0.25">
      <c r="A813" s="31"/>
      <c r="B813" s="16" t="str">
        <f>IFERROR(VLOOKUP(A813,Consolidado!$B$1:$L$1500,2,FALSE),"")</f>
        <v/>
      </c>
      <c r="C813" s="16">
        <f>IFERROR(SUMIF(Consolidado!$B$1:$B$1500,VLOOKUP(RegistroPago!A813,Consolidado!$B$1:$L$1500,1,FALSE),Consolidado!$G$1:$G$1500),"")</f>
        <v>0</v>
      </c>
      <c r="D813" s="3"/>
      <c r="E813" s="3"/>
      <c r="F813" s="5" t="str">
        <f t="shared" si="48"/>
        <v/>
      </c>
      <c r="G813" s="16" t="str">
        <f>IF(D813&lt;&gt;"",D813-VLOOKUP(A813,Consolidado!$B$1:$L$1500,8,FALSE),"")</f>
        <v/>
      </c>
      <c r="H813" s="31"/>
      <c r="I813" s="32">
        <f t="shared" si="49"/>
        <v>0</v>
      </c>
      <c r="J813" s="33" t="str">
        <f t="shared" si="50"/>
        <v/>
      </c>
      <c r="K813" s="2"/>
      <c r="L813" s="15"/>
      <c r="M813" s="34">
        <f t="shared" si="51"/>
        <v>0</v>
      </c>
    </row>
    <row r="814" spans="1:13" x14ac:dyDescent="0.25">
      <c r="A814" s="31"/>
      <c r="B814" s="16" t="str">
        <f>IFERROR(VLOOKUP(A814,Consolidado!$B$1:$L$1500,2,FALSE),"")</f>
        <v/>
      </c>
      <c r="C814" s="16">
        <f>IFERROR(SUMIF(Consolidado!$B$1:$B$1500,VLOOKUP(RegistroPago!A814,Consolidado!$B$1:$L$1500,1,FALSE),Consolidado!$G$1:$G$1500),"")</f>
        <v>0</v>
      </c>
      <c r="D814" s="3"/>
      <c r="E814" s="3"/>
      <c r="F814" s="5" t="str">
        <f t="shared" si="48"/>
        <v/>
      </c>
      <c r="G814" s="16" t="str">
        <f>IF(D814&lt;&gt;"",D814-VLOOKUP(A814,Consolidado!$B$1:$L$1500,8,FALSE),"")</f>
        <v/>
      </c>
      <c r="H814" s="31"/>
      <c r="I814" s="32">
        <f t="shared" si="49"/>
        <v>0</v>
      </c>
      <c r="J814" s="33" t="str">
        <f t="shared" si="50"/>
        <v/>
      </c>
      <c r="K814" s="2"/>
      <c r="L814" s="15"/>
      <c r="M814" s="34">
        <f t="shared" si="51"/>
        <v>0</v>
      </c>
    </row>
    <row r="815" spans="1:13" x14ac:dyDescent="0.25">
      <c r="A815" s="31"/>
      <c r="B815" s="16" t="str">
        <f>IFERROR(VLOOKUP(A815,Consolidado!$B$1:$L$1500,2,FALSE),"")</f>
        <v/>
      </c>
      <c r="C815" s="16">
        <f>IFERROR(SUMIF(Consolidado!$B$1:$B$1500,VLOOKUP(RegistroPago!A815,Consolidado!$B$1:$L$1500,1,FALSE),Consolidado!$G$1:$G$1500),"")</f>
        <v>0</v>
      </c>
      <c r="D815" s="3"/>
      <c r="E815" s="3"/>
      <c r="F815" s="5" t="str">
        <f t="shared" si="48"/>
        <v/>
      </c>
      <c r="G815" s="16" t="str">
        <f>IF(D815&lt;&gt;"",D815-VLOOKUP(A815,Consolidado!$B$1:$L$1500,8,FALSE),"")</f>
        <v/>
      </c>
      <c r="H815" s="31"/>
      <c r="I815" s="32">
        <f t="shared" si="49"/>
        <v>0</v>
      </c>
      <c r="J815" s="33" t="str">
        <f t="shared" si="50"/>
        <v/>
      </c>
      <c r="K815" s="2"/>
      <c r="L815" s="15"/>
      <c r="M815" s="34">
        <f t="shared" si="51"/>
        <v>0</v>
      </c>
    </row>
    <row r="816" spans="1:13" x14ac:dyDescent="0.25">
      <c r="A816" s="31"/>
      <c r="B816" s="16" t="str">
        <f>IFERROR(VLOOKUP(A816,Consolidado!$B$1:$L$1500,2,FALSE),"")</f>
        <v/>
      </c>
      <c r="C816" s="16">
        <f>IFERROR(SUMIF(Consolidado!$B$1:$B$1500,VLOOKUP(RegistroPago!A816,Consolidado!$B$1:$L$1500,1,FALSE),Consolidado!$G$1:$G$1500),"")</f>
        <v>0</v>
      </c>
      <c r="D816" s="3"/>
      <c r="E816" s="3"/>
      <c r="F816" s="5" t="str">
        <f t="shared" si="48"/>
        <v/>
      </c>
      <c r="G816" s="16" t="str">
        <f>IF(D816&lt;&gt;"",D816-VLOOKUP(A816,Consolidado!$B$1:$L$1500,8,FALSE),"")</f>
        <v/>
      </c>
      <c r="H816" s="31"/>
      <c r="I816" s="32">
        <f t="shared" si="49"/>
        <v>0</v>
      </c>
      <c r="J816" s="33" t="str">
        <f t="shared" si="50"/>
        <v/>
      </c>
      <c r="K816" s="2"/>
      <c r="L816" s="15"/>
      <c r="M816" s="34">
        <f t="shared" si="51"/>
        <v>0</v>
      </c>
    </row>
    <row r="817" spans="1:13" x14ac:dyDescent="0.25">
      <c r="A817" s="31"/>
      <c r="B817" s="16" t="str">
        <f>IFERROR(VLOOKUP(A817,Consolidado!$B$1:$L$1500,2,FALSE),"")</f>
        <v/>
      </c>
      <c r="C817" s="16">
        <f>IFERROR(SUMIF(Consolidado!$B$1:$B$1500,VLOOKUP(RegistroPago!A817,Consolidado!$B$1:$L$1500,1,FALSE),Consolidado!$G$1:$G$1500),"")</f>
        <v>0</v>
      </c>
      <c r="D817" s="3"/>
      <c r="E817" s="3"/>
      <c r="F817" s="5" t="str">
        <f t="shared" si="48"/>
        <v/>
      </c>
      <c r="G817" s="16" t="str">
        <f>IF(D817&lt;&gt;"",D817-VLOOKUP(A817,Consolidado!$B$1:$L$1500,8,FALSE),"")</f>
        <v/>
      </c>
      <c r="H817" s="31"/>
      <c r="I817" s="32">
        <f t="shared" si="49"/>
        <v>0</v>
      </c>
      <c r="J817" s="33" t="str">
        <f t="shared" si="50"/>
        <v/>
      </c>
      <c r="K817" s="2"/>
      <c r="L817" s="15"/>
      <c r="M817" s="34">
        <f t="shared" si="51"/>
        <v>0</v>
      </c>
    </row>
    <row r="818" spans="1:13" x14ac:dyDescent="0.25">
      <c r="A818" s="31"/>
      <c r="B818" s="16" t="str">
        <f>IFERROR(VLOOKUP(A818,Consolidado!$B$1:$L$1500,2,FALSE),"")</f>
        <v/>
      </c>
      <c r="C818" s="16">
        <f>IFERROR(SUMIF(Consolidado!$B$1:$B$1500,VLOOKUP(RegistroPago!A818,Consolidado!$B$1:$L$1500,1,FALSE),Consolidado!$G$1:$G$1500),"")</f>
        <v>0</v>
      </c>
      <c r="D818" s="3"/>
      <c r="E818" s="3"/>
      <c r="F818" s="5" t="str">
        <f t="shared" si="48"/>
        <v/>
      </c>
      <c r="G818" s="16" t="str">
        <f>IF(D818&lt;&gt;"",D818-VLOOKUP(A818,Consolidado!$B$1:$L$1500,8,FALSE),"")</f>
        <v/>
      </c>
      <c r="H818" s="31"/>
      <c r="I818" s="32">
        <f t="shared" si="49"/>
        <v>0</v>
      </c>
      <c r="J818" s="33" t="str">
        <f t="shared" si="50"/>
        <v/>
      </c>
      <c r="K818" s="2"/>
      <c r="L818" s="15"/>
      <c r="M818" s="34">
        <f t="shared" si="51"/>
        <v>0</v>
      </c>
    </row>
    <row r="819" spans="1:13" x14ac:dyDescent="0.25">
      <c r="A819" s="31"/>
      <c r="B819" s="16" t="str">
        <f>IFERROR(VLOOKUP(A819,Consolidado!$B$1:$L$1500,2,FALSE),"")</f>
        <v/>
      </c>
      <c r="C819" s="16">
        <f>IFERROR(SUMIF(Consolidado!$B$1:$B$1500,VLOOKUP(RegistroPago!A819,Consolidado!$B$1:$L$1500,1,FALSE),Consolidado!$G$1:$G$1500),"")</f>
        <v>0</v>
      </c>
      <c r="D819" s="3"/>
      <c r="E819" s="3"/>
      <c r="F819" s="5" t="str">
        <f t="shared" si="48"/>
        <v/>
      </c>
      <c r="G819" s="16" t="str">
        <f>IF(D819&lt;&gt;"",D819-VLOOKUP(A819,Consolidado!$B$1:$L$1500,8,FALSE),"")</f>
        <v/>
      </c>
      <c r="H819" s="31"/>
      <c r="I819" s="32">
        <f t="shared" si="49"/>
        <v>0</v>
      </c>
      <c r="J819" s="33" t="str">
        <f t="shared" si="50"/>
        <v/>
      </c>
      <c r="K819" s="2"/>
      <c r="L819" s="15"/>
      <c r="M819" s="34">
        <f t="shared" si="51"/>
        <v>0</v>
      </c>
    </row>
    <row r="820" spans="1:13" x14ac:dyDescent="0.25">
      <c r="A820" s="31"/>
      <c r="B820" s="16" t="str">
        <f>IFERROR(VLOOKUP(A820,Consolidado!$B$1:$L$1500,2,FALSE),"")</f>
        <v/>
      </c>
      <c r="C820" s="16">
        <f>IFERROR(SUMIF(Consolidado!$B$1:$B$1500,VLOOKUP(RegistroPago!A820,Consolidado!$B$1:$L$1500,1,FALSE),Consolidado!$G$1:$G$1500),"")</f>
        <v>0</v>
      </c>
      <c r="D820" s="3"/>
      <c r="E820" s="3"/>
      <c r="F820" s="5" t="str">
        <f t="shared" si="48"/>
        <v/>
      </c>
      <c r="G820" s="16" t="str">
        <f>IF(D820&lt;&gt;"",D820-VLOOKUP(A820,Consolidado!$B$1:$L$1500,8,FALSE),"")</f>
        <v/>
      </c>
      <c r="H820" s="31"/>
      <c r="I820" s="32">
        <f t="shared" si="49"/>
        <v>0</v>
      </c>
      <c r="J820" s="33" t="str">
        <f t="shared" si="50"/>
        <v/>
      </c>
      <c r="K820" s="2"/>
      <c r="L820" s="15"/>
      <c r="M820" s="34">
        <f t="shared" si="51"/>
        <v>0</v>
      </c>
    </row>
    <row r="821" spans="1:13" x14ac:dyDescent="0.25">
      <c r="A821" s="31"/>
      <c r="B821" s="16" t="str">
        <f>IFERROR(VLOOKUP(A821,Consolidado!$B$1:$L$1500,2,FALSE),"")</f>
        <v/>
      </c>
      <c r="C821" s="16">
        <f>IFERROR(SUMIF(Consolidado!$B$1:$B$1500,VLOOKUP(RegistroPago!A821,Consolidado!$B$1:$L$1500,1,FALSE),Consolidado!$G$1:$G$1500),"")</f>
        <v>0</v>
      </c>
      <c r="D821" s="3"/>
      <c r="E821" s="3"/>
      <c r="F821" s="5" t="str">
        <f t="shared" si="48"/>
        <v/>
      </c>
      <c r="G821" s="16" t="str">
        <f>IF(D821&lt;&gt;"",D821-VLOOKUP(A821,Consolidado!$B$1:$L$1500,8,FALSE),"")</f>
        <v/>
      </c>
      <c r="H821" s="31"/>
      <c r="I821" s="32">
        <f t="shared" si="49"/>
        <v>0</v>
      </c>
      <c r="J821" s="33" t="str">
        <f t="shared" si="50"/>
        <v/>
      </c>
      <c r="K821" s="2"/>
      <c r="L821" s="15"/>
      <c r="M821" s="34">
        <f t="shared" si="51"/>
        <v>0</v>
      </c>
    </row>
    <row r="822" spans="1:13" x14ac:dyDescent="0.25">
      <c r="A822" s="31"/>
      <c r="B822" s="16" t="str">
        <f>IFERROR(VLOOKUP(A822,Consolidado!$B$1:$L$1500,2,FALSE),"")</f>
        <v/>
      </c>
      <c r="C822" s="16">
        <f>IFERROR(SUMIF(Consolidado!$B$1:$B$1500,VLOOKUP(RegistroPago!A822,Consolidado!$B$1:$L$1500,1,FALSE),Consolidado!$G$1:$G$1500),"")</f>
        <v>0</v>
      </c>
      <c r="D822" s="3"/>
      <c r="E822" s="3"/>
      <c r="F822" s="5" t="str">
        <f t="shared" si="48"/>
        <v/>
      </c>
      <c r="G822" s="16" t="str">
        <f>IF(D822&lt;&gt;"",D822-VLOOKUP(A822,Consolidado!$B$1:$L$1500,8,FALSE),"")</f>
        <v/>
      </c>
      <c r="H822" s="31"/>
      <c r="I822" s="32">
        <f t="shared" si="49"/>
        <v>0</v>
      </c>
      <c r="J822" s="33" t="str">
        <f t="shared" si="50"/>
        <v/>
      </c>
      <c r="K822" s="2"/>
      <c r="L822" s="15"/>
      <c r="M822" s="34">
        <f t="shared" si="51"/>
        <v>0</v>
      </c>
    </row>
    <row r="823" spans="1:13" x14ac:dyDescent="0.25">
      <c r="A823" s="31"/>
      <c r="B823" s="16" t="str">
        <f>IFERROR(VLOOKUP(A823,Consolidado!$B$1:$L$1500,2,FALSE),"")</f>
        <v/>
      </c>
      <c r="C823" s="16">
        <f>IFERROR(SUMIF(Consolidado!$B$1:$B$1500,VLOOKUP(RegistroPago!A823,Consolidado!$B$1:$L$1500,1,FALSE),Consolidado!$G$1:$G$1500),"")</f>
        <v>0</v>
      </c>
      <c r="D823" s="3"/>
      <c r="E823" s="3"/>
      <c r="F823" s="5" t="str">
        <f t="shared" si="48"/>
        <v/>
      </c>
      <c r="G823" s="16" t="str">
        <f>IF(D823&lt;&gt;"",D823-VLOOKUP(A823,Consolidado!$B$1:$L$1500,8,FALSE),"")</f>
        <v/>
      </c>
      <c r="H823" s="31"/>
      <c r="I823" s="32">
        <f t="shared" si="49"/>
        <v>0</v>
      </c>
      <c r="J823" s="33" t="str">
        <f t="shared" si="50"/>
        <v/>
      </c>
      <c r="K823" s="2"/>
      <c r="L823" s="15"/>
      <c r="M823" s="34">
        <f t="shared" si="51"/>
        <v>0</v>
      </c>
    </row>
    <row r="824" spans="1:13" x14ac:dyDescent="0.25">
      <c r="A824" s="31"/>
      <c r="B824" s="16" t="str">
        <f>IFERROR(VLOOKUP(A824,Consolidado!$B$1:$L$1500,2,FALSE),"")</f>
        <v/>
      </c>
      <c r="C824" s="16">
        <f>IFERROR(SUMIF(Consolidado!$B$1:$B$1500,VLOOKUP(RegistroPago!A824,Consolidado!$B$1:$L$1500,1,FALSE),Consolidado!$G$1:$G$1500),"")</f>
        <v>0</v>
      </c>
      <c r="D824" s="3"/>
      <c r="E824" s="3"/>
      <c r="F824" s="5" t="str">
        <f t="shared" si="48"/>
        <v/>
      </c>
      <c r="G824" s="16" t="str">
        <f>IF(D824&lt;&gt;"",D824-VLOOKUP(A824,Consolidado!$B$1:$L$1500,8,FALSE),"")</f>
        <v/>
      </c>
      <c r="H824" s="31"/>
      <c r="I824" s="32">
        <f t="shared" si="49"/>
        <v>0</v>
      </c>
      <c r="J824" s="33" t="str">
        <f t="shared" si="50"/>
        <v/>
      </c>
      <c r="K824" s="2"/>
      <c r="L824" s="15"/>
      <c r="M824" s="34">
        <f t="shared" si="51"/>
        <v>0</v>
      </c>
    </row>
    <row r="825" spans="1:13" x14ac:dyDescent="0.25">
      <c r="A825" s="31"/>
      <c r="B825" s="16" t="str">
        <f>IFERROR(VLOOKUP(A825,Consolidado!$B$1:$L$1500,2,FALSE),"")</f>
        <v/>
      </c>
      <c r="C825" s="16">
        <f>IFERROR(SUMIF(Consolidado!$B$1:$B$1500,VLOOKUP(RegistroPago!A825,Consolidado!$B$1:$L$1500,1,FALSE),Consolidado!$G$1:$G$1500),"")</f>
        <v>0</v>
      </c>
      <c r="D825" s="3"/>
      <c r="E825" s="3"/>
      <c r="F825" s="5" t="str">
        <f t="shared" si="48"/>
        <v/>
      </c>
      <c r="G825" s="16" t="str">
        <f>IF(D825&lt;&gt;"",D825-VLOOKUP(A825,Consolidado!$B$1:$L$1500,8,FALSE),"")</f>
        <v/>
      </c>
      <c r="H825" s="31"/>
      <c r="I825" s="32">
        <f t="shared" si="49"/>
        <v>0</v>
      </c>
      <c r="J825" s="33" t="str">
        <f t="shared" si="50"/>
        <v/>
      </c>
      <c r="K825" s="2"/>
      <c r="L825" s="15"/>
      <c r="M825" s="34">
        <f t="shared" si="51"/>
        <v>0</v>
      </c>
    </row>
    <row r="826" spans="1:13" x14ac:dyDescent="0.25">
      <c r="A826" s="31"/>
      <c r="B826" s="16" t="str">
        <f>IFERROR(VLOOKUP(A826,Consolidado!$B$1:$L$1500,2,FALSE),"")</f>
        <v/>
      </c>
      <c r="C826" s="16">
        <f>IFERROR(SUMIF(Consolidado!$B$1:$B$1500,VLOOKUP(RegistroPago!A826,Consolidado!$B$1:$L$1500,1,FALSE),Consolidado!$G$1:$G$1500),"")</f>
        <v>0</v>
      </c>
      <c r="D826" s="3"/>
      <c r="E826" s="3"/>
      <c r="F826" s="5" t="str">
        <f t="shared" si="48"/>
        <v/>
      </c>
      <c r="G826" s="16" t="str">
        <f>IF(D826&lt;&gt;"",D826-VLOOKUP(A826,Consolidado!$B$1:$L$1500,8,FALSE),"")</f>
        <v/>
      </c>
      <c r="H826" s="31"/>
      <c r="I826" s="32">
        <f t="shared" si="49"/>
        <v>0</v>
      </c>
      <c r="J826" s="33" t="str">
        <f t="shared" si="50"/>
        <v/>
      </c>
      <c r="K826" s="2"/>
      <c r="L826" s="15"/>
      <c r="M826" s="34">
        <f t="shared" si="51"/>
        <v>0</v>
      </c>
    </row>
    <row r="827" spans="1:13" x14ac:dyDescent="0.25">
      <c r="A827" s="31"/>
      <c r="B827" s="16" t="str">
        <f>IFERROR(VLOOKUP(A827,Consolidado!$B$1:$L$1500,2,FALSE),"")</f>
        <v/>
      </c>
      <c r="C827" s="16">
        <f>IFERROR(SUMIF(Consolidado!$B$1:$B$1500,VLOOKUP(RegistroPago!A827,Consolidado!$B$1:$L$1500,1,FALSE),Consolidado!$G$1:$G$1500),"")</f>
        <v>0</v>
      </c>
      <c r="D827" s="3"/>
      <c r="E827" s="3"/>
      <c r="F827" s="5" t="str">
        <f t="shared" si="48"/>
        <v/>
      </c>
      <c r="G827" s="16" t="str">
        <f>IF(D827&lt;&gt;"",D827-VLOOKUP(A827,Consolidado!$B$1:$L$1500,8,FALSE),"")</f>
        <v/>
      </c>
      <c r="H827" s="31"/>
      <c r="I827" s="32">
        <f t="shared" si="49"/>
        <v>0</v>
      </c>
      <c r="J827" s="33" t="str">
        <f t="shared" si="50"/>
        <v/>
      </c>
      <c r="K827" s="2"/>
      <c r="L827" s="15"/>
      <c r="M827" s="34">
        <f t="shared" si="51"/>
        <v>0</v>
      </c>
    </row>
    <row r="828" spans="1:13" x14ac:dyDescent="0.25">
      <c r="A828" s="31"/>
      <c r="B828" s="16" t="str">
        <f>IFERROR(VLOOKUP(A828,Consolidado!$B$1:$L$1500,2,FALSE),"")</f>
        <v/>
      </c>
      <c r="C828" s="16">
        <f>IFERROR(SUMIF(Consolidado!$B$1:$B$1500,VLOOKUP(RegistroPago!A828,Consolidado!$B$1:$L$1500,1,FALSE),Consolidado!$G$1:$G$1500),"")</f>
        <v>0</v>
      </c>
      <c r="D828" s="3"/>
      <c r="E828" s="3"/>
      <c r="F828" s="5" t="str">
        <f t="shared" si="48"/>
        <v/>
      </c>
      <c r="G828" s="16" t="str">
        <f>IF(D828&lt;&gt;"",D828-VLOOKUP(A828,Consolidado!$B$1:$L$1500,8,FALSE),"")</f>
        <v/>
      </c>
      <c r="H828" s="31"/>
      <c r="I828" s="32">
        <f t="shared" si="49"/>
        <v>0</v>
      </c>
      <c r="J828" s="33" t="str">
        <f t="shared" si="50"/>
        <v/>
      </c>
      <c r="K828" s="2"/>
      <c r="L828" s="15"/>
      <c r="M828" s="34">
        <f t="shared" si="51"/>
        <v>0</v>
      </c>
    </row>
    <row r="829" spans="1:13" x14ac:dyDescent="0.25">
      <c r="A829" s="31"/>
      <c r="B829" s="16" t="str">
        <f>IFERROR(VLOOKUP(A829,Consolidado!$B$1:$L$1500,2,FALSE),"")</f>
        <v/>
      </c>
      <c r="C829" s="16">
        <f>IFERROR(SUMIF(Consolidado!$B$1:$B$1500,VLOOKUP(RegistroPago!A829,Consolidado!$B$1:$L$1500,1,FALSE),Consolidado!$G$1:$G$1500),"")</f>
        <v>0</v>
      </c>
      <c r="D829" s="3"/>
      <c r="E829" s="3"/>
      <c r="F829" s="5" t="str">
        <f t="shared" si="48"/>
        <v/>
      </c>
      <c r="G829" s="16" t="str">
        <f>IF(D829&lt;&gt;"",D829-VLOOKUP(A829,Consolidado!$B$1:$L$1500,8,FALSE),"")</f>
        <v/>
      </c>
      <c r="H829" s="31"/>
      <c r="I829" s="32">
        <f t="shared" si="49"/>
        <v>0</v>
      </c>
      <c r="J829" s="33" t="str">
        <f t="shared" si="50"/>
        <v/>
      </c>
      <c r="K829" s="2"/>
      <c r="L829" s="15"/>
      <c r="M829" s="34">
        <f t="shared" si="51"/>
        <v>0</v>
      </c>
    </row>
    <row r="830" spans="1:13" x14ac:dyDescent="0.25">
      <c r="A830" s="31"/>
      <c r="B830" s="16" t="str">
        <f>IFERROR(VLOOKUP(A830,Consolidado!$B$1:$L$1500,2,FALSE),"")</f>
        <v/>
      </c>
      <c r="C830" s="16">
        <f>IFERROR(SUMIF(Consolidado!$B$1:$B$1500,VLOOKUP(RegistroPago!A830,Consolidado!$B$1:$L$1500,1,FALSE),Consolidado!$G$1:$G$1500),"")</f>
        <v>0</v>
      </c>
      <c r="D830" s="3"/>
      <c r="E830" s="3"/>
      <c r="F830" s="5" t="str">
        <f t="shared" si="48"/>
        <v/>
      </c>
      <c r="G830" s="16" t="str">
        <f>IF(D830&lt;&gt;"",D830-VLOOKUP(A830,Consolidado!$B$1:$L$1500,8,FALSE),"")</f>
        <v/>
      </c>
      <c r="H830" s="31"/>
      <c r="I830" s="32">
        <f t="shared" si="49"/>
        <v>0</v>
      </c>
      <c r="J830" s="33" t="str">
        <f t="shared" si="50"/>
        <v/>
      </c>
      <c r="K830" s="2"/>
      <c r="L830" s="15"/>
      <c r="M830" s="34">
        <f t="shared" si="51"/>
        <v>0</v>
      </c>
    </row>
    <row r="831" spans="1:13" x14ac:dyDescent="0.25">
      <c r="A831" s="31"/>
      <c r="B831" s="16" t="str">
        <f>IFERROR(VLOOKUP(A831,Consolidado!$B$1:$L$1500,2,FALSE),"")</f>
        <v/>
      </c>
      <c r="C831" s="16">
        <f>IFERROR(SUMIF(Consolidado!$B$1:$B$1500,VLOOKUP(RegistroPago!A831,Consolidado!$B$1:$L$1500,1,FALSE),Consolidado!$G$1:$G$1500),"")</f>
        <v>0</v>
      </c>
      <c r="D831" s="3"/>
      <c r="E831" s="3"/>
      <c r="F831" s="5" t="str">
        <f t="shared" si="48"/>
        <v/>
      </c>
      <c r="G831" s="16" t="str">
        <f>IF(D831&lt;&gt;"",D831-VLOOKUP(A831,Consolidado!$B$1:$L$1500,8,FALSE),"")</f>
        <v/>
      </c>
      <c r="H831" s="31"/>
      <c r="I831" s="32">
        <f t="shared" si="49"/>
        <v>0</v>
      </c>
      <c r="J831" s="33" t="str">
        <f t="shared" si="50"/>
        <v/>
      </c>
      <c r="K831" s="2"/>
      <c r="L831" s="15"/>
      <c r="M831" s="34">
        <f t="shared" si="51"/>
        <v>0</v>
      </c>
    </row>
    <row r="832" spans="1:13" x14ac:dyDescent="0.25">
      <c r="A832" s="31"/>
      <c r="B832" s="16" t="str">
        <f>IFERROR(VLOOKUP(A832,Consolidado!$B$1:$L$1500,2,FALSE),"")</f>
        <v/>
      </c>
      <c r="C832" s="16">
        <f>IFERROR(SUMIF(Consolidado!$B$1:$B$1500,VLOOKUP(RegistroPago!A832,Consolidado!$B$1:$L$1500,1,FALSE),Consolidado!$G$1:$G$1500),"")</f>
        <v>0</v>
      </c>
      <c r="D832" s="3"/>
      <c r="E832" s="3"/>
      <c r="F832" s="5" t="str">
        <f t="shared" si="48"/>
        <v/>
      </c>
      <c r="G832" s="16" t="str">
        <f>IF(D832&lt;&gt;"",D832-VLOOKUP(A832,Consolidado!$B$1:$L$1500,8,FALSE),"")</f>
        <v/>
      </c>
      <c r="H832" s="31"/>
      <c r="I832" s="32">
        <f t="shared" si="49"/>
        <v>0</v>
      </c>
      <c r="J832" s="33" t="str">
        <f t="shared" si="50"/>
        <v/>
      </c>
      <c r="K832" s="2"/>
      <c r="L832" s="15"/>
      <c r="M832" s="34">
        <f t="shared" si="51"/>
        <v>0</v>
      </c>
    </row>
    <row r="833" spans="1:13" x14ac:dyDescent="0.25">
      <c r="A833" s="31"/>
      <c r="B833" s="16" t="str">
        <f>IFERROR(VLOOKUP(A833,Consolidado!$B$1:$L$1500,2,FALSE),"")</f>
        <v/>
      </c>
      <c r="C833" s="16">
        <f>IFERROR(SUMIF(Consolidado!$B$1:$B$1500,VLOOKUP(RegistroPago!A833,Consolidado!$B$1:$L$1500,1,FALSE),Consolidado!$G$1:$G$1500),"")</f>
        <v>0</v>
      </c>
      <c r="D833" s="3"/>
      <c r="E833" s="3"/>
      <c r="F833" s="5" t="str">
        <f t="shared" si="48"/>
        <v/>
      </c>
      <c r="G833" s="16" t="str">
        <f>IF(D833&lt;&gt;"",D833-VLOOKUP(A833,Consolidado!$B$1:$L$1500,8,FALSE),"")</f>
        <v/>
      </c>
      <c r="H833" s="31"/>
      <c r="I833" s="32">
        <f t="shared" si="49"/>
        <v>0</v>
      </c>
      <c r="J833" s="33" t="str">
        <f t="shared" si="50"/>
        <v/>
      </c>
      <c r="K833" s="2"/>
      <c r="L833" s="15"/>
      <c r="M833" s="34">
        <f t="shared" si="51"/>
        <v>0</v>
      </c>
    </row>
    <row r="834" spans="1:13" x14ac:dyDescent="0.25">
      <c r="A834" s="31"/>
      <c r="B834" s="16" t="str">
        <f>IFERROR(VLOOKUP(A834,Consolidado!$B$1:$L$1500,2,FALSE),"")</f>
        <v/>
      </c>
      <c r="C834" s="16">
        <f>IFERROR(SUMIF(Consolidado!$B$1:$B$1500,VLOOKUP(RegistroPago!A834,Consolidado!$B$1:$L$1500,1,FALSE),Consolidado!$G$1:$G$1500),"")</f>
        <v>0</v>
      </c>
      <c r="D834" s="3"/>
      <c r="E834" s="3"/>
      <c r="F834" s="5" t="str">
        <f t="shared" si="48"/>
        <v/>
      </c>
      <c r="G834" s="16" t="str">
        <f>IF(D834&lt;&gt;"",D834-VLOOKUP(A834,Consolidado!$B$1:$L$1500,8,FALSE),"")</f>
        <v/>
      </c>
      <c r="H834" s="31"/>
      <c r="I834" s="32">
        <f t="shared" si="49"/>
        <v>0</v>
      </c>
      <c r="J834" s="33" t="str">
        <f t="shared" si="50"/>
        <v/>
      </c>
      <c r="K834" s="2"/>
      <c r="L834" s="15"/>
      <c r="M834" s="34">
        <f t="shared" si="51"/>
        <v>0</v>
      </c>
    </row>
    <row r="835" spans="1:13" x14ac:dyDescent="0.25">
      <c r="A835" s="31"/>
      <c r="B835" s="16" t="str">
        <f>IFERROR(VLOOKUP(A835,Consolidado!$B$1:$L$1500,2,FALSE),"")</f>
        <v/>
      </c>
      <c r="C835" s="16">
        <f>IFERROR(SUMIF(Consolidado!$B$1:$B$1500,VLOOKUP(RegistroPago!A835,Consolidado!$B$1:$L$1500,1,FALSE),Consolidado!$G$1:$G$1500),"")</f>
        <v>0</v>
      </c>
      <c r="D835" s="3"/>
      <c r="E835" s="3"/>
      <c r="F835" s="5" t="str">
        <f t="shared" ref="F835:F898" si="52">IF(COUNTIF($E$2:$E$2000,E835)&gt;1,"Ya registrado","")</f>
        <v/>
      </c>
      <c r="G835" s="16" t="str">
        <f>IF(D835&lt;&gt;"",D835-VLOOKUP(A835,Consolidado!$B$1:$L$1500,8,FALSE),"")</f>
        <v/>
      </c>
      <c r="H835" s="31"/>
      <c r="I835" s="32">
        <f t="shared" ref="I835:I898" si="53">IFERROR(SUMIF($E$1:$E$2000,H835,$C$1:$C$2000)-SUMIF($E$1:$E$2000,H835,$F$1:$F$2000),"")</f>
        <v>0</v>
      </c>
      <c r="J835" s="33" t="str">
        <f t="shared" ref="J835:J898" si="54">IFERROR(I835/SUMIF($E$1:$E$2000,H835,$C$1:$C$2000),"")</f>
        <v/>
      </c>
      <c r="K835" s="2"/>
      <c r="L835" s="15"/>
      <c r="M835" s="34">
        <f t="shared" ref="M835:M898" si="55">IFERROR(L835*SUMIF($E$1:$E$2000,H835,$F$1:$F$2000),"")</f>
        <v>0</v>
      </c>
    </row>
    <row r="836" spans="1:13" x14ac:dyDescent="0.25">
      <c r="A836" s="31"/>
      <c r="B836" s="16" t="str">
        <f>IFERROR(VLOOKUP(A836,Consolidado!$B$1:$L$1500,2,FALSE),"")</f>
        <v/>
      </c>
      <c r="C836" s="16">
        <f>IFERROR(SUMIF(Consolidado!$B$1:$B$1500,VLOOKUP(RegistroPago!A836,Consolidado!$B$1:$L$1500,1,FALSE),Consolidado!$G$1:$G$1500),"")</f>
        <v>0</v>
      </c>
      <c r="D836" s="3"/>
      <c r="E836" s="3"/>
      <c r="F836" s="5" t="str">
        <f t="shared" si="52"/>
        <v/>
      </c>
      <c r="G836" s="16" t="str">
        <f>IF(D836&lt;&gt;"",D836-VLOOKUP(A836,Consolidado!$B$1:$L$1500,8,FALSE),"")</f>
        <v/>
      </c>
      <c r="H836" s="31"/>
      <c r="I836" s="32">
        <f t="shared" si="53"/>
        <v>0</v>
      </c>
      <c r="J836" s="33" t="str">
        <f t="shared" si="54"/>
        <v/>
      </c>
      <c r="K836" s="2"/>
      <c r="L836" s="15"/>
      <c r="M836" s="34">
        <f t="shared" si="55"/>
        <v>0</v>
      </c>
    </row>
    <row r="837" spans="1:13" x14ac:dyDescent="0.25">
      <c r="A837" s="31"/>
      <c r="B837" s="16" t="str">
        <f>IFERROR(VLOOKUP(A837,Consolidado!$B$1:$L$1500,2,FALSE),"")</f>
        <v/>
      </c>
      <c r="C837" s="16">
        <f>IFERROR(SUMIF(Consolidado!$B$1:$B$1500,VLOOKUP(RegistroPago!A837,Consolidado!$B$1:$L$1500,1,FALSE),Consolidado!$G$1:$G$1500),"")</f>
        <v>0</v>
      </c>
      <c r="D837" s="3"/>
      <c r="E837" s="3"/>
      <c r="F837" s="5" t="str">
        <f t="shared" si="52"/>
        <v/>
      </c>
      <c r="G837" s="16" t="str">
        <f>IF(D837&lt;&gt;"",D837-VLOOKUP(A837,Consolidado!$B$1:$L$1500,8,FALSE),"")</f>
        <v/>
      </c>
      <c r="H837" s="31"/>
      <c r="I837" s="32">
        <f t="shared" si="53"/>
        <v>0</v>
      </c>
      <c r="J837" s="33" t="str">
        <f t="shared" si="54"/>
        <v/>
      </c>
      <c r="K837" s="2"/>
      <c r="L837" s="15"/>
      <c r="M837" s="34">
        <f t="shared" si="55"/>
        <v>0</v>
      </c>
    </row>
    <row r="838" spans="1:13" x14ac:dyDescent="0.25">
      <c r="A838" s="31"/>
      <c r="B838" s="16" t="str">
        <f>IFERROR(VLOOKUP(A838,Consolidado!$B$1:$L$1500,2,FALSE),"")</f>
        <v/>
      </c>
      <c r="C838" s="16">
        <f>IFERROR(SUMIF(Consolidado!$B$1:$B$1500,VLOOKUP(RegistroPago!A838,Consolidado!$B$1:$L$1500,1,FALSE),Consolidado!$G$1:$G$1500),"")</f>
        <v>0</v>
      </c>
      <c r="D838" s="3"/>
      <c r="E838" s="3"/>
      <c r="F838" s="5" t="str">
        <f t="shared" si="52"/>
        <v/>
      </c>
      <c r="G838" s="16" t="str">
        <f>IF(D838&lt;&gt;"",D838-VLOOKUP(A838,Consolidado!$B$1:$L$1500,8,FALSE),"")</f>
        <v/>
      </c>
      <c r="H838" s="31"/>
      <c r="I838" s="32">
        <f t="shared" si="53"/>
        <v>0</v>
      </c>
      <c r="J838" s="33" t="str">
        <f t="shared" si="54"/>
        <v/>
      </c>
      <c r="K838" s="2"/>
      <c r="L838" s="15"/>
      <c r="M838" s="34">
        <f t="shared" si="55"/>
        <v>0</v>
      </c>
    </row>
    <row r="839" spans="1:13" x14ac:dyDescent="0.25">
      <c r="A839" s="31"/>
      <c r="B839" s="16" t="str">
        <f>IFERROR(VLOOKUP(A839,Consolidado!$B$1:$L$1500,2,FALSE),"")</f>
        <v/>
      </c>
      <c r="C839" s="16">
        <f>IFERROR(SUMIF(Consolidado!$B$1:$B$1500,VLOOKUP(RegistroPago!A839,Consolidado!$B$1:$L$1500,1,FALSE),Consolidado!$G$1:$G$1500),"")</f>
        <v>0</v>
      </c>
      <c r="D839" s="3"/>
      <c r="E839" s="3"/>
      <c r="F839" s="5" t="str">
        <f t="shared" si="52"/>
        <v/>
      </c>
      <c r="G839" s="16" t="str">
        <f>IF(D839&lt;&gt;"",D839-VLOOKUP(A839,Consolidado!$B$1:$L$1500,8,FALSE),"")</f>
        <v/>
      </c>
      <c r="H839" s="31"/>
      <c r="I839" s="32">
        <f t="shared" si="53"/>
        <v>0</v>
      </c>
      <c r="J839" s="33" t="str">
        <f t="shared" si="54"/>
        <v/>
      </c>
      <c r="K839" s="2"/>
      <c r="L839" s="15"/>
      <c r="M839" s="34">
        <f t="shared" si="55"/>
        <v>0</v>
      </c>
    </row>
    <row r="840" spans="1:13" x14ac:dyDescent="0.25">
      <c r="A840" s="31"/>
      <c r="B840" s="16" t="str">
        <f>IFERROR(VLOOKUP(A840,Consolidado!$B$1:$L$1500,2,FALSE),"")</f>
        <v/>
      </c>
      <c r="C840" s="16">
        <f>IFERROR(SUMIF(Consolidado!$B$1:$B$1500,VLOOKUP(RegistroPago!A840,Consolidado!$B$1:$L$1500,1,FALSE),Consolidado!$G$1:$G$1500),"")</f>
        <v>0</v>
      </c>
      <c r="D840" s="3"/>
      <c r="E840" s="3"/>
      <c r="F840" s="5" t="str">
        <f t="shared" si="52"/>
        <v/>
      </c>
      <c r="G840" s="16" t="str">
        <f>IF(D840&lt;&gt;"",D840-VLOOKUP(A840,Consolidado!$B$1:$L$1500,8,FALSE),"")</f>
        <v/>
      </c>
      <c r="H840" s="31"/>
      <c r="I840" s="32">
        <f t="shared" si="53"/>
        <v>0</v>
      </c>
      <c r="J840" s="33" t="str">
        <f t="shared" si="54"/>
        <v/>
      </c>
      <c r="K840" s="2"/>
      <c r="L840" s="15"/>
      <c r="M840" s="34">
        <f t="shared" si="55"/>
        <v>0</v>
      </c>
    </row>
    <row r="841" spans="1:13" x14ac:dyDescent="0.25">
      <c r="A841" s="31"/>
      <c r="B841" s="16" t="str">
        <f>IFERROR(VLOOKUP(A841,Consolidado!$B$1:$L$1500,2,FALSE),"")</f>
        <v/>
      </c>
      <c r="C841" s="16">
        <f>IFERROR(SUMIF(Consolidado!$B$1:$B$1500,VLOOKUP(RegistroPago!A841,Consolidado!$B$1:$L$1500,1,FALSE),Consolidado!$G$1:$G$1500),"")</f>
        <v>0</v>
      </c>
      <c r="D841" s="3"/>
      <c r="E841" s="3"/>
      <c r="F841" s="5" t="str">
        <f t="shared" si="52"/>
        <v/>
      </c>
      <c r="G841" s="16" t="str">
        <f>IF(D841&lt;&gt;"",D841-VLOOKUP(A841,Consolidado!$B$1:$L$1500,8,FALSE),"")</f>
        <v/>
      </c>
      <c r="H841" s="31"/>
      <c r="I841" s="32">
        <f t="shared" si="53"/>
        <v>0</v>
      </c>
      <c r="J841" s="33" t="str">
        <f t="shared" si="54"/>
        <v/>
      </c>
      <c r="K841" s="2"/>
      <c r="L841" s="15"/>
      <c r="M841" s="34">
        <f t="shared" si="55"/>
        <v>0</v>
      </c>
    </row>
    <row r="842" spans="1:13" x14ac:dyDescent="0.25">
      <c r="A842" s="31"/>
      <c r="B842" s="16" t="str">
        <f>IFERROR(VLOOKUP(A842,Consolidado!$B$1:$L$1500,2,FALSE),"")</f>
        <v/>
      </c>
      <c r="C842" s="16">
        <f>IFERROR(SUMIF(Consolidado!$B$1:$B$1500,VLOOKUP(RegistroPago!A842,Consolidado!$B$1:$L$1500,1,FALSE),Consolidado!$G$1:$G$1500),"")</f>
        <v>0</v>
      </c>
      <c r="D842" s="3"/>
      <c r="E842" s="3"/>
      <c r="F842" s="5" t="str">
        <f t="shared" si="52"/>
        <v/>
      </c>
      <c r="G842" s="16" t="str">
        <f>IF(D842&lt;&gt;"",D842-VLOOKUP(A842,Consolidado!$B$1:$L$1500,8,FALSE),"")</f>
        <v/>
      </c>
      <c r="H842" s="31"/>
      <c r="I842" s="32">
        <f t="shared" si="53"/>
        <v>0</v>
      </c>
      <c r="J842" s="33" t="str">
        <f t="shared" si="54"/>
        <v/>
      </c>
      <c r="K842" s="2"/>
      <c r="L842" s="15"/>
      <c r="M842" s="34">
        <f t="shared" si="55"/>
        <v>0</v>
      </c>
    </row>
    <row r="843" spans="1:13" x14ac:dyDescent="0.25">
      <c r="A843" s="31"/>
      <c r="B843" s="16" t="str">
        <f>IFERROR(VLOOKUP(A843,Consolidado!$B$1:$L$1500,2,FALSE),"")</f>
        <v/>
      </c>
      <c r="C843" s="16">
        <f>IFERROR(SUMIF(Consolidado!$B$1:$B$1500,VLOOKUP(RegistroPago!A843,Consolidado!$B$1:$L$1500,1,FALSE),Consolidado!$G$1:$G$1500),"")</f>
        <v>0</v>
      </c>
      <c r="D843" s="3"/>
      <c r="E843" s="3"/>
      <c r="F843" s="5" t="str">
        <f t="shared" si="52"/>
        <v/>
      </c>
      <c r="G843" s="16" t="str">
        <f>IF(D843&lt;&gt;"",D843-VLOOKUP(A843,Consolidado!$B$1:$L$1500,8,FALSE),"")</f>
        <v/>
      </c>
      <c r="H843" s="31"/>
      <c r="I843" s="32">
        <f t="shared" si="53"/>
        <v>0</v>
      </c>
      <c r="J843" s="33" t="str">
        <f t="shared" si="54"/>
        <v/>
      </c>
      <c r="K843" s="2"/>
      <c r="L843" s="15"/>
      <c r="M843" s="34">
        <f t="shared" si="55"/>
        <v>0</v>
      </c>
    </row>
    <row r="844" spans="1:13" x14ac:dyDescent="0.25">
      <c r="A844" s="31"/>
      <c r="B844" s="16" t="str">
        <f>IFERROR(VLOOKUP(A844,Consolidado!$B$1:$L$1500,2,FALSE),"")</f>
        <v/>
      </c>
      <c r="C844" s="16">
        <f>IFERROR(SUMIF(Consolidado!$B$1:$B$1500,VLOOKUP(RegistroPago!A844,Consolidado!$B$1:$L$1500,1,FALSE),Consolidado!$G$1:$G$1500),"")</f>
        <v>0</v>
      </c>
      <c r="D844" s="3"/>
      <c r="E844" s="3"/>
      <c r="F844" s="5" t="str">
        <f t="shared" si="52"/>
        <v/>
      </c>
      <c r="G844" s="16" t="str">
        <f>IF(D844&lt;&gt;"",D844-VLOOKUP(A844,Consolidado!$B$1:$L$1500,8,FALSE),"")</f>
        <v/>
      </c>
      <c r="H844" s="31"/>
      <c r="I844" s="32">
        <f t="shared" si="53"/>
        <v>0</v>
      </c>
      <c r="J844" s="33" t="str">
        <f t="shared" si="54"/>
        <v/>
      </c>
      <c r="K844" s="2"/>
      <c r="L844" s="15"/>
      <c r="M844" s="34">
        <f t="shared" si="55"/>
        <v>0</v>
      </c>
    </row>
    <row r="845" spans="1:13" x14ac:dyDescent="0.25">
      <c r="A845" s="31"/>
      <c r="B845" s="16" t="str">
        <f>IFERROR(VLOOKUP(A845,Consolidado!$B$1:$L$1500,2,FALSE),"")</f>
        <v/>
      </c>
      <c r="C845" s="16">
        <f>IFERROR(SUMIF(Consolidado!$B$1:$B$1500,VLOOKUP(RegistroPago!A845,Consolidado!$B$1:$L$1500,1,FALSE),Consolidado!$G$1:$G$1500),"")</f>
        <v>0</v>
      </c>
      <c r="D845" s="3"/>
      <c r="E845" s="3"/>
      <c r="F845" s="5" t="str">
        <f t="shared" si="52"/>
        <v/>
      </c>
      <c r="G845" s="16" t="str">
        <f>IF(D845&lt;&gt;"",D845-VLOOKUP(A845,Consolidado!$B$1:$L$1500,8,FALSE),"")</f>
        <v/>
      </c>
      <c r="H845" s="31"/>
      <c r="I845" s="32">
        <f t="shared" si="53"/>
        <v>0</v>
      </c>
      <c r="J845" s="33" t="str">
        <f t="shared" si="54"/>
        <v/>
      </c>
      <c r="K845" s="2"/>
      <c r="L845" s="15"/>
      <c r="M845" s="34">
        <f t="shared" si="55"/>
        <v>0</v>
      </c>
    </row>
    <row r="846" spans="1:13" x14ac:dyDescent="0.25">
      <c r="A846" s="31"/>
      <c r="B846" s="16" t="str">
        <f>IFERROR(VLOOKUP(A846,Consolidado!$B$1:$L$1500,2,FALSE),"")</f>
        <v/>
      </c>
      <c r="C846" s="16">
        <f>IFERROR(SUMIF(Consolidado!$B$1:$B$1500,VLOOKUP(RegistroPago!A846,Consolidado!$B$1:$L$1500,1,FALSE),Consolidado!$G$1:$G$1500),"")</f>
        <v>0</v>
      </c>
      <c r="D846" s="3"/>
      <c r="E846" s="3"/>
      <c r="F846" s="5" t="str">
        <f t="shared" si="52"/>
        <v/>
      </c>
      <c r="G846" s="16" t="str">
        <f>IF(D846&lt;&gt;"",D846-VLOOKUP(A846,Consolidado!$B$1:$L$1500,8,FALSE),"")</f>
        <v/>
      </c>
      <c r="H846" s="31"/>
      <c r="I846" s="32">
        <f t="shared" si="53"/>
        <v>0</v>
      </c>
      <c r="J846" s="33" t="str">
        <f t="shared" si="54"/>
        <v/>
      </c>
      <c r="K846" s="2"/>
      <c r="L846" s="15"/>
      <c r="M846" s="34">
        <f t="shared" si="55"/>
        <v>0</v>
      </c>
    </row>
    <row r="847" spans="1:13" x14ac:dyDescent="0.25">
      <c r="A847" s="31"/>
      <c r="B847" s="16" t="str">
        <f>IFERROR(VLOOKUP(A847,Consolidado!$B$1:$L$1500,2,FALSE),"")</f>
        <v/>
      </c>
      <c r="C847" s="16">
        <f>IFERROR(SUMIF(Consolidado!$B$1:$B$1500,VLOOKUP(RegistroPago!A847,Consolidado!$B$1:$L$1500,1,FALSE),Consolidado!$G$1:$G$1500),"")</f>
        <v>0</v>
      </c>
      <c r="D847" s="3"/>
      <c r="E847" s="3"/>
      <c r="F847" s="5" t="str">
        <f t="shared" si="52"/>
        <v/>
      </c>
      <c r="G847" s="16" t="str">
        <f>IF(D847&lt;&gt;"",D847-VLOOKUP(A847,Consolidado!$B$1:$L$1500,8,FALSE),"")</f>
        <v/>
      </c>
      <c r="H847" s="31"/>
      <c r="I847" s="32">
        <f t="shared" si="53"/>
        <v>0</v>
      </c>
      <c r="J847" s="33" t="str">
        <f t="shared" si="54"/>
        <v/>
      </c>
      <c r="K847" s="2"/>
      <c r="L847" s="15"/>
      <c r="M847" s="34">
        <f t="shared" si="55"/>
        <v>0</v>
      </c>
    </row>
    <row r="848" spans="1:13" x14ac:dyDescent="0.25">
      <c r="A848" s="31"/>
      <c r="B848" s="16" t="str">
        <f>IFERROR(VLOOKUP(A848,Consolidado!$B$1:$L$1500,2,FALSE),"")</f>
        <v/>
      </c>
      <c r="C848" s="16">
        <f>IFERROR(SUMIF(Consolidado!$B$1:$B$1500,VLOOKUP(RegistroPago!A848,Consolidado!$B$1:$L$1500,1,FALSE),Consolidado!$G$1:$G$1500),"")</f>
        <v>0</v>
      </c>
      <c r="D848" s="3"/>
      <c r="E848" s="3"/>
      <c r="F848" s="5" t="str">
        <f t="shared" si="52"/>
        <v/>
      </c>
      <c r="G848" s="16" t="str">
        <f>IF(D848&lt;&gt;"",D848-VLOOKUP(A848,Consolidado!$B$1:$L$1500,8,FALSE),"")</f>
        <v/>
      </c>
      <c r="H848" s="31"/>
      <c r="I848" s="32">
        <f t="shared" si="53"/>
        <v>0</v>
      </c>
      <c r="J848" s="33" t="str">
        <f t="shared" si="54"/>
        <v/>
      </c>
      <c r="K848" s="2"/>
      <c r="L848" s="15"/>
      <c r="M848" s="34">
        <f t="shared" si="55"/>
        <v>0</v>
      </c>
    </row>
    <row r="849" spans="1:13" x14ac:dyDescent="0.25">
      <c r="A849" s="31"/>
      <c r="B849" s="16" t="str">
        <f>IFERROR(VLOOKUP(A849,Consolidado!$B$1:$L$1500,2,FALSE),"")</f>
        <v/>
      </c>
      <c r="C849" s="16">
        <f>IFERROR(SUMIF(Consolidado!$B$1:$B$1500,VLOOKUP(RegistroPago!A849,Consolidado!$B$1:$L$1500,1,FALSE),Consolidado!$G$1:$G$1500),"")</f>
        <v>0</v>
      </c>
      <c r="D849" s="3"/>
      <c r="E849" s="3"/>
      <c r="F849" s="5" t="str">
        <f t="shared" si="52"/>
        <v/>
      </c>
      <c r="G849" s="16" t="str">
        <f>IF(D849&lt;&gt;"",D849-VLOOKUP(A849,Consolidado!$B$1:$L$1500,8,FALSE),"")</f>
        <v/>
      </c>
      <c r="H849" s="31"/>
      <c r="I849" s="32">
        <f t="shared" si="53"/>
        <v>0</v>
      </c>
      <c r="J849" s="33" t="str">
        <f t="shared" si="54"/>
        <v/>
      </c>
      <c r="K849" s="2"/>
      <c r="L849" s="15"/>
      <c r="M849" s="34">
        <f t="shared" si="55"/>
        <v>0</v>
      </c>
    </row>
    <row r="850" spans="1:13" x14ac:dyDescent="0.25">
      <c r="A850" s="31"/>
      <c r="B850" s="16" t="str">
        <f>IFERROR(VLOOKUP(A850,Consolidado!$B$1:$L$1500,2,FALSE),"")</f>
        <v/>
      </c>
      <c r="C850" s="16">
        <f>IFERROR(SUMIF(Consolidado!$B$1:$B$1500,VLOOKUP(RegistroPago!A850,Consolidado!$B$1:$L$1500,1,FALSE),Consolidado!$G$1:$G$1500),"")</f>
        <v>0</v>
      </c>
      <c r="D850" s="3"/>
      <c r="E850" s="3"/>
      <c r="F850" s="5" t="str">
        <f t="shared" si="52"/>
        <v/>
      </c>
      <c r="G850" s="16" t="str">
        <f>IF(D850&lt;&gt;"",D850-VLOOKUP(A850,Consolidado!$B$1:$L$1500,8,FALSE),"")</f>
        <v/>
      </c>
      <c r="H850" s="31"/>
      <c r="I850" s="32">
        <f t="shared" si="53"/>
        <v>0</v>
      </c>
      <c r="J850" s="33" t="str">
        <f t="shared" si="54"/>
        <v/>
      </c>
      <c r="K850" s="2"/>
      <c r="L850" s="15"/>
      <c r="M850" s="34">
        <f t="shared" si="55"/>
        <v>0</v>
      </c>
    </row>
    <row r="851" spans="1:13" x14ac:dyDescent="0.25">
      <c r="A851" s="31"/>
      <c r="B851" s="16" t="str">
        <f>IFERROR(VLOOKUP(A851,Consolidado!$B$1:$L$1500,2,FALSE),"")</f>
        <v/>
      </c>
      <c r="C851" s="16">
        <f>IFERROR(SUMIF(Consolidado!$B$1:$B$1500,VLOOKUP(RegistroPago!A851,Consolidado!$B$1:$L$1500,1,FALSE),Consolidado!$G$1:$G$1500),"")</f>
        <v>0</v>
      </c>
      <c r="D851" s="3"/>
      <c r="E851" s="3"/>
      <c r="F851" s="5" t="str">
        <f t="shared" si="52"/>
        <v/>
      </c>
      <c r="G851" s="16" t="str">
        <f>IF(D851&lt;&gt;"",D851-VLOOKUP(A851,Consolidado!$B$1:$L$1500,8,FALSE),"")</f>
        <v/>
      </c>
      <c r="H851" s="31"/>
      <c r="I851" s="32">
        <f t="shared" si="53"/>
        <v>0</v>
      </c>
      <c r="J851" s="33" t="str">
        <f t="shared" si="54"/>
        <v/>
      </c>
      <c r="K851" s="2"/>
      <c r="L851" s="15"/>
      <c r="M851" s="34">
        <f t="shared" si="55"/>
        <v>0</v>
      </c>
    </row>
    <row r="852" spans="1:13" x14ac:dyDescent="0.25">
      <c r="A852" s="31"/>
      <c r="B852" s="16" t="str">
        <f>IFERROR(VLOOKUP(A852,Consolidado!$B$1:$L$1500,2,FALSE),"")</f>
        <v/>
      </c>
      <c r="C852" s="16">
        <f>IFERROR(SUMIF(Consolidado!$B$1:$B$1500,VLOOKUP(RegistroPago!A852,Consolidado!$B$1:$L$1500,1,FALSE),Consolidado!$G$1:$G$1500),"")</f>
        <v>0</v>
      </c>
      <c r="D852" s="3"/>
      <c r="E852" s="3"/>
      <c r="F852" s="5" t="str">
        <f t="shared" si="52"/>
        <v/>
      </c>
      <c r="G852" s="16" t="str">
        <f>IF(D852&lt;&gt;"",D852-VLOOKUP(A852,Consolidado!$B$1:$L$1500,8,FALSE),"")</f>
        <v/>
      </c>
      <c r="H852" s="31"/>
      <c r="I852" s="32">
        <f t="shared" si="53"/>
        <v>0</v>
      </c>
      <c r="J852" s="33" t="str">
        <f t="shared" si="54"/>
        <v/>
      </c>
      <c r="K852" s="2"/>
      <c r="L852" s="15"/>
      <c r="M852" s="34">
        <f t="shared" si="55"/>
        <v>0</v>
      </c>
    </row>
    <row r="853" spans="1:13" x14ac:dyDescent="0.25">
      <c r="A853" s="31"/>
      <c r="B853" s="16" t="str">
        <f>IFERROR(VLOOKUP(A853,Consolidado!$B$1:$L$1500,2,FALSE),"")</f>
        <v/>
      </c>
      <c r="C853" s="16">
        <f>IFERROR(SUMIF(Consolidado!$B$1:$B$1500,VLOOKUP(RegistroPago!A853,Consolidado!$B$1:$L$1500,1,FALSE),Consolidado!$G$1:$G$1500),"")</f>
        <v>0</v>
      </c>
      <c r="D853" s="3"/>
      <c r="E853" s="3"/>
      <c r="F853" s="5" t="str">
        <f t="shared" si="52"/>
        <v/>
      </c>
      <c r="G853" s="16" t="str">
        <f>IF(D853&lt;&gt;"",D853-VLOOKUP(A853,Consolidado!$B$1:$L$1500,8,FALSE),"")</f>
        <v/>
      </c>
      <c r="H853" s="31"/>
      <c r="I853" s="32">
        <f t="shared" si="53"/>
        <v>0</v>
      </c>
      <c r="J853" s="33" t="str">
        <f t="shared" si="54"/>
        <v/>
      </c>
      <c r="K853" s="2"/>
      <c r="L853" s="15"/>
      <c r="M853" s="34">
        <f t="shared" si="55"/>
        <v>0</v>
      </c>
    </row>
    <row r="854" spans="1:13" x14ac:dyDescent="0.25">
      <c r="A854" s="31"/>
      <c r="B854" s="16" t="str">
        <f>IFERROR(VLOOKUP(A854,Consolidado!$B$1:$L$1500,2,FALSE),"")</f>
        <v/>
      </c>
      <c r="C854" s="16">
        <f>IFERROR(SUMIF(Consolidado!$B$1:$B$1500,VLOOKUP(RegistroPago!A854,Consolidado!$B$1:$L$1500,1,FALSE),Consolidado!$G$1:$G$1500),"")</f>
        <v>0</v>
      </c>
      <c r="D854" s="3"/>
      <c r="E854" s="3"/>
      <c r="F854" s="5" t="str">
        <f t="shared" si="52"/>
        <v/>
      </c>
      <c r="G854" s="16" t="str">
        <f>IF(D854&lt;&gt;"",D854-VLOOKUP(A854,Consolidado!$B$1:$L$1500,8,FALSE),"")</f>
        <v/>
      </c>
      <c r="H854" s="31"/>
      <c r="I854" s="32">
        <f t="shared" si="53"/>
        <v>0</v>
      </c>
      <c r="J854" s="33" t="str">
        <f t="shared" si="54"/>
        <v/>
      </c>
      <c r="K854" s="2"/>
      <c r="L854" s="15"/>
      <c r="M854" s="34">
        <f t="shared" si="55"/>
        <v>0</v>
      </c>
    </row>
    <row r="855" spans="1:13" x14ac:dyDescent="0.25">
      <c r="A855" s="31"/>
      <c r="B855" s="16" t="str">
        <f>IFERROR(VLOOKUP(A855,Consolidado!$B$1:$L$1500,2,FALSE),"")</f>
        <v/>
      </c>
      <c r="C855" s="16">
        <f>IFERROR(SUMIF(Consolidado!$B$1:$B$1500,VLOOKUP(RegistroPago!A855,Consolidado!$B$1:$L$1500,1,FALSE),Consolidado!$G$1:$G$1500),"")</f>
        <v>0</v>
      </c>
      <c r="D855" s="3"/>
      <c r="E855" s="3"/>
      <c r="F855" s="5" t="str">
        <f t="shared" si="52"/>
        <v/>
      </c>
      <c r="G855" s="16" t="str">
        <f>IF(D855&lt;&gt;"",D855-VLOOKUP(A855,Consolidado!$B$1:$L$1500,8,FALSE),"")</f>
        <v/>
      </c>
      <c r="H855" s="31"/>
      <c r="I855" s="32">
        <f t="shared" si="53"/>
        <v>0</v>
      </c>
      <c r="J855" s="33" t="str">
        <f t="shared" si="54"/>
        <v/>
      </c>
      <c r="K855" s="2"/>
      <c r="L855" s="15"/>
      <c r="M855" s="34">
        <f t="shared" si="55"/>
        <v>0</v>
      </c>
    </row>
    <row r="856" spans="1:13" x14ac:dyDescent="0.25">
      <c r="A856" s="31"/>
      <c r="B856" s="16" t="str">
        <f>IFERROR(VLOOKUP(A856,Consolidado!$B$1:$L$1500,2,FALSE),"")</f>
        <v/>
      </c>
      <c r="C856" s="16">
        <f>IFERROR(SUMIF(Consolidado!$B$1:$B$1500,VLOOKUP(RegistroPago!A856,Consolidado!$B$1:$L$1500,1,FALSE),Consolidado!$G$1:$G$1500),"")</f>
        <v>0</v>
      </c>
      <c r="D856" s="3"/>
      <c r="E856" s="3"/>
      <c r="F856" s="5" t="str">
        <f t="shared" si="52"/>
        <v/>
      </c>
      <c r="G856" s="16" t="str">
        <f>IF(D856&lt;&gt;"",D856-VLOOKUP(A856,Consolidado!$B$1:$L$1500,8,FALSE),"")</f>
        <v/>
      </c>
      <c r="H856" s="31"/>
      <c r="I856" s="32">
        <f t="shared" si="53"/>
        <v>0</v>
      </c>
      <c r="J856" s="33" t="str">
        <f t="shared" si="54"/>
        <v/>
      </c>
      <c r="K856" s="2"/>
      <c r="L856" s="15"/>
      <c r="M856" s="34">
        <f t="shared" si="55"/>
        <v>0</v>
      </c>
    </row>
    <row r="857" spans="1:13" x14ac:dyDescent="0.25">
      <c r="A857" s="31"/>
      <c r="B857" s="16" t="str">
        <f>IFERROR(VLOOKUP(A857,Consolidado!$B$1:$L$1500,2,FALSE),"")</f>
        <v/>
      </c>
      <c r="C857" s="16">
        <f>IFERROR(SUMIF(Consolidado!$B$1:$B$1500,VLOOKUP(RegistroPago!A857,Consolidado!$B$1:$L$1500,1,FALSE),Consolidado!$G$1:$G$1500),"")</f>
        <v>0</v>
      </c>
      <c r="D857" s="3"/>
      <c r="E857" s="3"/>
      <c r="F857" s="5" t="str">
        <f t="shared" si="52"/>
        <v/>
      </c>
      <c r="G857" s="16" t="str">
        <f>IF(D857&lt;&gt;"",D857-VLOOKUP(A857,Consolidado!$B$1:$L$1500,8,FALSE),"")</f>
        <v/>
      </c>
      <c r="H857" s="31"/>
      <c r="I857" s="32">
        <f t="shared" si="53"/>
        <v>0</v>
      </c>
      <c r="J857" s="33" t="str">
        <f t="shared" si="54"/>
        <v/>
      </c>
      <c r="K857" s="2"/>
      <c r="L857" s="15"/>
      <c r="M857" s="34">
        <f t="shared" si="55"/>
        <v>0</v>
      </c>
    </row>
    <row r="858" spans="1:13" x14ac:dyDescent="0.25">
      <c r="A858" s="31"/>
      <c r="B858" s="16" t="str">
        <f>IFERROR(VLOOKUP(A858,Consolidado!$B$1:$L$1500,2,FALSE),"")</f>
        <v/>
      </c>
      <c r="C858" s="16">
        <f>IFERROR(SUMIF(Consolidado!$B$1:$B$1500,VLOOKUP(RegistroPago!A858,Consolidado!$B$1:$L$1500,1,FALSE),Consolidado!$G$1:$G$1500),"")</f>
        <v>0</v>
      </c>
      <c r="D858" s="3"/>
      <c r="E858" s="3"/>
      <c r="F858" s="5" t="str">
        <f t="shared" si="52"/>
        <v/>
      </c>
      <c r="G858" s="16" t="str">
        <f>IF(D858&lt;&gt;"",D858-VLOOKUP(A858,Consolidado!$B$1:$L$1500,8,FALSE),"")</f>
        <v/>
      </c>
      <c r="H858" s="31"/>
      <c r="I858" s="32">
        <f t="shared" si="53"/>
        <v>0</v>
      </c>
      <c r="J858" s="33" t="str">
        <f t="shared" si="54"/>
        <v/>
      </c>
      <c r="K858" s="2"/>
      <c r="L858" s="15"/>
      <c r="M858" s="34">
        <f t="shared" si="55"/>
        <v>0</v>
      </c>
    </row>
    <row r="859" spans="1:13" x14ac:dyDescent="0.25">
      <c r="A859" s="31"/>
      <c r="B859" s="16" t="str">
        <f>IFERROR(VLOOKUP(A859,Consolidado!$B$1:$L$1500,2,FALSE),"")</f>
        <v/>
      </c>
      <c r="C859" s="16">
        <f>IFERROR(SUMIF(Consolidado!$B$1:$B$1500,VLOOKUP(RegistroPago!A859,Consolidado!$B$1:$L$1500,1,FALSE),Consolidado!$G$1:$G$1500),"")</f>
        <v>0</v>
      </c>
      <c r="D859" s="3"/>
      <c r="E859" s="3"/>
      <c r="F859" s="5" t="str">
        <f t="shared" si="52"/>
        <v/>
      </c>
      <c r="G859" s="16" t="str">
        <f>IF(D859&lt;&gt;"",D859-VLOOKUP(A859,Consolidado!$B$1:$L$1500,8,FALSE),"")</f>
        <v/>
      </c>
      <c r="H859" s="31"/>
      <c r="I859" s="32">
        <f t="shared" si="53"/>
        <v>0</v>
      </c>
      <c r="J859" s="33" t="str">
        <f t="shared" si="54"/>
        <v/>
      </c>
      <c r="K859" s="2"/>
      <c r="L859" s="15"/>
      <c r="M859" s="34">
        <f t="shared" si="55"/>
        <v>0</v>
      </c>
    </row>
    <row r="860" spans="1:13" x14ac:dyDescent="0.25">
      <c r="A860" s="31"/>
      <c r="B860" s="16" t="str">
        <f>IFERROR(VLOOKUP(A860,Consolidado!$B$1:$L$1500,2,FALSE),"")</f>
        <v/>
      </c>
      <c r="C860" s="16">
        <f>IFERROR(SUMIF(Consolidado!$B$1:$B$1500,VLOOKUP(RegistroPago!A860,Consolidado!$B$1:$L$1500,1,FALSE),Consolidado!$G$1:$G$1500),"")</f>
        <v>0</v>
      </c>
      <c r="D860" s="3"/>
      <c r="E860" s="3"/>
      <c r="F860" s="5" t="str">
        <f t="shared" si="52"/>
        <v/>
      </c>
      <c r="G860" s="16" t="str">
        <f>IF(D860&lt;&gt;"",D860-VLOOKUP(A860,Consolidado!$B$1:$L$1500,8,FALSE),"")</f>
        <v/>
      </c>
      <c r="H860" s="31"/>
      <c r="I860" s="32">
        <f t="shared" si="53"/>
        <v>0</v>
      </c>
      <c r="J860" s="33" t="str">
        <f t="shared" si="54"/>
        <v/>
      </c>
      <c r="K860" s="2"/>
      <c r="L860" s="15"/>
      <c r="M860" s="34">
        <f t="shared" si="55"/>
        <v>0</v>
      </c>
    </row>
    <row r="861" spans="1:13" x14ac:dyDescent="0.25">
      <c r="A861" s="31"/>
      <c r="B861" s="16" t="str">
        <f>IFERROR(VLOOKUP(A861,Consolidado!$B$1:$L$1500,2,FALSE),"")</f>
        <v/>
      </c>
      <c r="C861" s="16">
        <f>IFERROR(SUMIF(Consolidado!$B$1:$B$1500,VLOOKUP(RegistroPago!A861,Consolidado!$B$1:$L$1500,1,FALSE),Consolidado!$G$1:$G$1500),"")</f>
        <v>0</v>
      </c>
      <c r="D861" s="3"/>
      <c r="E861" s="3"/>
      <c r="F861" s="5" t="str">
        <f t="shared" si="52"/>
        <v/>
      </c>
      <c r="G861" s="16" t="str">
        <f>IF(D861&lt;&gt;"",D861-VLOOKUP(A861,Consolidado!$B$1:$L$1500,8,FALSE),"")</f>
        <v/>
      </c>
      <c r="H861" s="31"/>
      <c r="I861" s="32">
        <f t="shared" si="53"/>
        <v>0</v>
      </c>
      <c r="J861" s="33" t="str">
        <f t="shared" si="54"/>
        <v/>
      </c>
      <c r="K861" s="2"/>
      <c r="L861" s="15"/>
      <c r="M861" s="34">
        <f t="shared" si="55"/>
        <v>0</v>
      </c>
    </row>
    <row r="862" spans="1:13" x14ac:dyDescent="0.25">
      <c r="A862" s="31"/>
      <c r="B862" s="16" t="str">
        <f>IFERROR(VLOOKUP(A862,Consolidado!$B$1:$L$1500,2,FALSE),"")</f>
        <v/>
      </c>
      <c r="C862" s="16">
        <f>IFERROR(SUMIF(Consolidado!$B$1:$B$1500,VLOOKUP(RegistroPago!A862,Consolidado!$B$1:$L$1500,1,FALSE),Consolidado!$G$1:$G$1500),"")</f>
        <v>0</v>
      </c>
      <c r="D862" s="3"/>
      <c r="E862" s="3"/>
      <c r="F862" s="5" t="str">
        <f t="shared" si="52"/>
        <v/>
      </c>
      <c r="G862" s="16" t="str">
        <f>IF(D862&lt;&gt;"",D862-VLOOKUP(A862,Consolidado!$B$1:$L$1500,8,FALSE),"")</f>
        <v/>
      </c>
      <c r="H862" s="31"/>
      <c r="I862" s="32">
        <f t="shared" si="53"/>
        <v>0</v>
      </c>
      <c r="J862" s="33" t="str">
        <f t="shared" si="54"/>
        <v/>
      </c>
      <c r="K862" s="2"/>
      <c r="L862" s="15"/>
      <c r="M862" s="34">
        <f t="shared" si="55"/>
        <v>0</v>
      </c>
    </row>
    <row r="863" spans="1:13" x14ac:dyDescent="0.25">
      <c r="A863" s="31"/>
      <c r="B863" s="16" t="str">
        <f>IFERROR(VLOOKUP(A863,Consolidado!$B$1:$L$1500,2,FALSE),"")</f>
        <v/>
      </c>
      <c r="C863" s="16">
        <f>IFERROR(SUMIF(Consolidado!$B$1:$B$1500,VLOOKUP(RegistroPago!A863,Consolidado!$B$1:$L$1500,1,FALSE),Consolidado!$G$1:$G$1500),"")</f>
        <v>0</v>
      </c>
      <c r="D863" s="3"/>
      <c r="E863" s="3"/>
      <c r="F863" s="5" t="str">
        <f t="shared" si="52"/>
        <v/>
      </c>
      <c r="G863" s="16" t="str">
        <f>IF(D863&lt;&gt;"",D863-VLOOKUP(A863,Consolidado!$B$1:$L$1500,8,FALSE),"")</f>
        <v/>
      </c>
      <c r="H863" s="31"/>
      <c r="I863" s="32">
        <f t="shared" si="53"/>
        <v>0</v>
      </c>
      <c r="J863" s="33" t="str">
        <f t="shared" si="54"/>
        <v/>
      </c>
      <c r="K863" s="2"/>
      <c r="L863" s="15"/>
      <c r="M863" s="34">
        <f t="shared" si="55"/>
        <v>0</v>
      </c>
    </row>
    <row r="864" spans="1:13" x14ac:dyDescent="0.25">
      <c r="A864" s="31"/>
      <c r="B864" s="16" t="str">
        <f>IFERROR(VLOOKUP(A864,Consolidado!$B$1:$L$1500,2,FALSE),"")</f>
        <v/>
      </c>
      <c r="C864" s="16">
        <f>IFERROR(SUMIF(Consolidado!$B$1:$B$1500,VLOOKUP(RegistroPago!A864,Consolidado!$B$1:$L$1500,1,FALSE),Consolidado!$G$1:$G$1500),"")</f>
        <v>0</v>
      </c>
      <c r="D864" s="3"/>
      <c r="E864" s="3"/>
      <c r="F864" s="5" t="str">
        <f t="shared" si="52"/>
        <v/>
      </c>
      <c r="G864" s="16" t="str">
        <f>IF(D864&lt;&gt;"",D864-VLOOKUP(A864,Consolidado!$B$1:$L$1500,8,FALSE),"")</f>
        <v/>
      </c>
      <c r="H864" s="31"/>
      <c r="I864" s="32">
        <f t="shared" si="53"/>
        <v>0</v>
      </c>
      <c r="J864" s="33" t="str">
        <f t="shared" si="54"/>
        <v/>
      </c>
      <c r="K864" s="2"/>
      <c r="L864" s="15"/>
      <c r="M864" s="34">
        <f t="shared" si="55"/>
        <v>0</v>
      </c>
    </row>
    <row r="865" spans="1:13" x14ac:dyDescent="0.25">
      <c r="A865" s="31"/>
      <c r="B865" s="16" t="str">
        <f>IFERROR(VLOOKUP(A865,Consolidado!$B$1:$L$1500,2,FALSE),"")</f>
        <v/>
      </c>
      <c r="C865" s="16">
        <f>IFERROR(SUMIF(Consolidado!$B$1:$B$1500,VLOOKUP(RegistroPago!A865,Consolidado!$B$1:$L$1500,1,FALSE),Consolidado!$G$1:$G$1500),"")</f>
        <v>0</v>
      </c>
      <c r="D865" s="3"/>
      <c r="E865" s="3"/>
      <c r="F865" s="5" t="str">
        <f t="shared" si="52"/>
        <v/>
      </c>
      <c r="G865" s="16" t="str">
        <f>IF(D865&lt;&gt;"",D865-VLOOKUP(A865,Consolidado!$B$1:$L$1500,8,FALSE),"")</f>
        <v/>
      </c>
      <c r="H865" s="31"/>
      <c r="I865" s="32">
        <f t="shared" si="53"/>
        <v>0</v>
      </c>
      <c r="J865" s="33" t="str">
        <f t="shared" si="54"/>
        <v/>
      </c>
      <c r="K865" s="2"/>
      <c r="L865" s="15"/>
      <c r="M865" s="34">
        <f t="shared" si="55"/>
        <v>0</v>
      </c>
    </row>
    <row r="866" spans="1:13" x14ac:dyDescent="0.25">
      <c r="A866" s="31"/>
      <c r="B866" s="16" t="str">
        <f>IFERROR(VLOOKUP(A866,Consolidado!$B$1:$L$1500,2,FALSE),"")</f>
        <v/>
      </c>
      <c r="C866" s="16">
        <f>IFERROR(SUMIF(Consolidado!$B$1:$B$1500,VLOOKUP(RegistroPago!A866,Consolidado!$B$1:$L$1500,1,FALSE),Consolidado!$G$1:$G$1500),"")</f>
        <v>0</v>
      </c>
      <c r="D866" s="3"/>
      <c r="E866" s="3"/>
      <c r="F866" s="5" t="str">
        <f t="shared" si="52"/>
        <v/>
      </c>
      <c r="G866" s="16" t="str">
        <f>IF(D866&lt;&gt;"",D866-VLOOKUP(A866,Consolidado!$B$1:$L$1500,8,FALSE),"")</f>
        <v/>
      </c>
      <c r="H866" s="31"/>
      <c r="I866" s="32">
        <f t="shared" si="53"/>
        <v>0</v>
      </c>
      <c r="J866" s="33" t="str">
        <f t="shared" si="54"/>
        <v/>
      </c>
      <c r="K866" s="2"/>
      <c r="L866" s="15"/>
      <c r="M866" s="34">
        <f t="shared" si="55"/>
        <v>0</v>
      </c>
    </row>
    <row r="867" spans="1:13" x14ac:dyDescent="0.25">
      <c r="A867" s="31"/>
      <c r="B867" s="16" t="str">
        <f>IFERROR(VLOOKUP(A867,Consolidado!$B$1:$L$1500,2,FALSE),"")</f>
        <v/>
      </c>
      <c r="C867" s="16">
        <f>IFERROR(SUMIF(Consolidado!$B$1:$B$1500,VLOOKUP(RegistroPago!A867,Consolidado!$B$1:$L$1500,1,FALSE),Consolidado!$G$1:$G$1500),"")</f>
        <v>0</v>
      </c>
      <c r="D867" s="3"/>
      <c r="E867" s="3"/>
      <c r="F867" s="5" t="str">
        <f t="shared" si="52"/>
        <v/>
      </c>
      <c r="G867" s="16" t="str">
        <f>IF(D867&lt;&gt;"",D867-VLOOKUP(A867,Consolidado!$B$1:$L$1500,8,FALSE),"")</f>
        <v/>
      </c>
      <c r="H867" s="31"/>
      <c r="I867" s="32">
        <f t="shared" si="53"/>
        <v>0</v>
      </c>
      <c r="J867" s="33" t="str">
        <f t="shared" si="54"/>
        <v/>
      </c>
      <c r="K867" s="2"/>
      <c r="L867" s="15"/>
      <c r="M867" s="34">
        <f t="shared" si="55"/>
        <v>0</v>
      </c>
    </row>
    <row r="868" spans="1:13" x14ac:dyDescent="0.25">
      <c r="A868" s="31"/>
      <c r="B868" s="16" t="str">
        <f>IFERROR(VLOOKUP(A868,Consolidado!$B$1:$L$1500,2,FALSE),"")</f>
        <v/>
      </c>
      <c r="C868" s="16">
        <f>IFERROR(SUMIF(Consolidado!$B$1:$B$1500,VLOOKUP(RegistroPago!A868,Consolidado!$B$1:$L$1500,1,FALSE),Consolidado!$G$1:$G$1500),"")</f>
        <v>0</v>
      </c>
      <c r="D868" s="3"/>
      <c r="E868" s="3"/>
      <c r="F868" s="5" t="str">
        <f t="shared" si="52"/>
        <v/>
      </c>
      <c r="G868" s="16" t="str">
        <f>IF(D868&lt;&gt;"",D868-VLOOKUP(A868,Consolidado!$B$1:$L$1500,8,FALSE),"")</f>
        <v/>
      </c>
      <c r="H868" s="31"/>
      <c r="I868" s="32">
        <f t="shared" si="53"/>
        <v>0</v>
      </c>
      <c r="J868" s="33" t="str">
        <f t="shared" si="54"/>
        <v/>
      </c>
      <c r="K868" s="2"/>
      <c r="L868" s="15"/>
      <c r="M868" s="34">
        <f t="shared" si="55"/>
        <v>0</v>
      </c>
    </row>
    <row r="869" spans="1:13" x14ac:dyDescent="0.25">
      <c r="A869" s="31"/>
      <c r="B869" s="16" t="str">
        <f>IFERROR(VLOOKUP(A869,Consolidado!$B$1:$L$1500,2,FALSE),"")</f>
        <v/>
      </c>
      <c r="C869" s="16">
        <f>IFERROR(SUMIF(Consolidado!$B$1:$B$1500,VLOOKUP(RegistroPago!A869,Consolidado!$B$1:$L$1500,1,FALSE),Consolidado!$G$1:$G$1500),"")</f>
        <v>0</v>
      </c>
      <c r="D869" s="3"/>
      <c r="E869" s="3"/>
      <c r="F869" s="5" t="str">
        <f t="shared" si="52"/>
        <v/>
      </c>
      <c r="G869" s="16" t="str">
        <f>IF(D869&lt;&gt;"",D869-VLOOKUP(A869,Consolidado!$B$1:$L$1500,8,FALSE),"")</f>
        <v/>
      </c>
      <c r="H869" s="31"/>
      <c r="I869" s="32">
        <f t="shared" si="53"/>
        <v>0</v>
      </c>
      <c r="J869" s="33" t="str">
        <f t="shared" si="54"/>
        <v/>
      </c>
      <c r="K869" s="2"/>
      <c r="L869" s="15"/>
      <c r="M869" s="34">
        <f t="shared" si="55"/>
        <v>0</v>
      </c>
    </row>
    <row r="870" spans="1:13" x14ac:dyDescent="0.25">
      <c r="A870" s="31"/>
      <c r="B870" s="16" t="str">
        <f>IFERROR(VLOOKUP(A870,Consolidado!$B$1:$L$1500,2,FALSE),"")</f>
        <v/>
      </c>
      <c r="C870" s="16">
        <f>IFERROR(SUMIF(Consolidado!$B$1:$B$1500,VLOOKUP(RegistroPago!A870,Consolidado!$B$1:$L$1500,1,FALSE),Consolidado!$G$1:$G$1500),"")</f>
        <v>0</v>
      </c>
      <c r="D870" s="3"/>
      <c r="E870" s="3"/>
      <c r="F870" s="5" t="str">
        <f t="shared" si="52"/>
        <v/>
      </c>
      <c r="G870" s="16" t="str">
        <f>IF(D870&lt;&gt;"",D870-VLOOKUP(A870,Consolidado!$B$1:$L$1500,8,FALSE),"")</f>
        <v/>
      </c>
      <c r="H870" s="31"/>
      <c r="I870" s="32">
        <f t="shared" si="53"/>
        <v>0</v>
      </c>
      <c r="J870" s="33" t="str">
        <f t="shared" si="54"/>
        <v/>
      </c>
      <c r="K870" s="2"/>
      <c r="L870" s="15"/>
      <c r="M870" s="34">
        <f t="shared" si="55"/>
        <v>0</v>
      </c>
    </row>
    <row r="871" spans="1:13" x14ac:dyDescent="0.25">
      <c r="A871" s="31"/>
      <c r="B871" s="16" t="str">
        <f>IFERROR(VLOOKUP(A871,Consolidado!$B$1:$L$1500,2,FALSE),"")</f>
        <v/>
      </c>
      <c r="C871" s="16">
        <f>IFERROR(SUMIF(Consolidado!$B$1:$B$1500,VLOOKUP(RegistroPago!A871,Consolidado!$B$1:$L$1500,1,FALSE),Consolidado!$G$1:$G$1500),"")</f>
        <v>0</v>
      </c>
      <c r="D871" s="3"/>
      <c r="E871" s="3"/>
      <c r="F871" s="5" t="str">
        <f t="shared" si="52"/>
        <v/>
      </c>
      <c r="G871" s="16" t="str">
        <f>IF(D871&lt;&gt;"",D871-VLOOKUP(A871,Consolidado!$B$1:$L$1500,8,FALSE),"")</f>
        <v/>
      </c>
      <c r="H871" s="31"/>
      <c r="I871" s="32">
        <f t="shared" si="53"/>
        <v>0</v>
      </c>
      <c r="J871" s="33" t="str">
        <f t="shared" si="54"/>
        <v/>
      </c>
      <c r="K871" s="2"/>
      <c r="L871" s="15"/>
      <c r="M871" s="34">
        <f t="shared" si="55"/>
        <v>0</v>
      </c>
    </row>
    <row r="872" spans="1:13" x14ac:dyDescent="0.25">
      <c r="A872" s="31"/>
      <c r="B872" s="16" t="str">
        <f>IFERROR(VLOOKUP(A872,Consolidado!$B$1:$L$1500,2,FALSE),"")</f>
        <v/>
      </c>
      <c r="C872" s="16">
        <f>IFERROR(SUMIF(Consolidado!$B$1:$B$1500,VLOOKUP(RegistroPago!A872,Consolidado!$B$1:$L$1500,1,FALSE),Consolidado!$G$1:$G$1500),"")</f>
        <v>0</v>
      </c>
      <c r="D872" s="3"/>
      <c r="E872" s="3"/>
      <c r="F872" s="5" t="str">
        <f t="shared" si="52"/>
        <v/>
      </c>
      <c r="G872" s="16" t="str">
        <f>IF(D872&lt;&gt;"",D872-VLOOKUP(A872,Consolidado!$B$1:$L$1500,8,FALSE),"")</f>
        <v/>
      </c>
      <c r="H872" s="31"/>
      <c r="I872" s="32">
        <f t="shared" si="53"/>
        <v>0</v>
      </c>
      <c r="J872" s="33" t="str">
        <f t="shared" si="54"/>
        <v/>
      </c>
      <c r="K872" s="2"/>
      <c r="L872" s="15"/>
      <c r="M872" s="34">
        <f t="shared" si="55"/>
        <v>0</v>
      </c>
    </row>
    <row r="873" spans="1:13" x14ac:dyDescent="0.25">
      <c r="A873" s="31"/>
      <c r="B873" s="16" t="str">
        <f>IFERROR(VLOOKUP(A873,Consolidado!$B$1:$L$1500,2,FALSE),"")</f>
        <v/>
      </c>
      <c r="C873" s="16">
        <f>IFERROR(SUMIF(Consolidado!$B$1:$B$1500,VLOOKUP(RegistroPago!A873,Consolidado!$B$1:$L$1500,1,FALSE),Consolidado!$G$1:$G$1500),"")</f>
        <v>0</v>
      </c>
      <c r="D873" s="3"/>
      <c r="E873" s="3"/>
      <c r="F873" s="5" t="str">
        <f t="shared" si="52"/>
        <v/>
      </c>
      <c r="G873" s="16" t="str">
        <f>IF(D873&lt;&gt;"",D873-VLOOKUP(A873,Consolidado!$B$1:$L$1500,8,FALSE),"")</f>
        <v/>
      </c>
      <c r="H873" s="31"/>
      <c r="I873" s="32">
        <f t="shared" si="53"/>
        <v>0</v>
      </c>
      <c r="J873" s="33" t="str">
        <f t="shared" si="54"/>
        <v/>
      </c>
      <c r="K873" s="2"/>
      <c r="L873" s="15"/>
      <c r="M873" s="34">
        <f t="shared" si="55"/>
        <v>0</v>
      </c>
    </row>
    <row r="874" spans="1:13" x14ac:dyDescent="0.25">
      <c r="A874" s="31"/>
      <c r="B874" s="16" t="str">
        <f>IFERROR(VLOOKUP(A874,Consolidado!$B$1:$L$1500,2,FALSE),"")</f>
        <v/>
      </c>
      <c r="C874" s="16">
        <f>IFERROR(SUMIF(Consolidado!$B$1:$B$1500,VLOOKUP(RegistroPago!A874,Consolidado!$B$1:$L$1500,1,FALSE),Consolidado!$G$1:$G$1500),"")</f>
        <v>0</v>
      </c>
      <c r="D874" s="3"/>
      <c r="E874" s="3"/>
      <c r="F874" s="5" t="str">
        <f t="shared" si="52"/>
        <v/>
      </c>
      <c r="G874" s="16" t="str">
        <f>IF(D874&lt;&gt;"",D874-VLOOKUP(A874,Consolidado!$B$1:$L$1500,8,FALSE),"")</f>
        <v/>
      </c>
      <c r="H874" s="31"/>
      <c r="I874" s="32">
        <f t="shared" si="53"/>
        <v>0</v>
      </c>
      <c r="J874" s="33" t="str">
        <f t="shared" si="54"/>
        <v/>
      </c>
      <c r="K874" s="2"/>
      <c r="L874" s="15"/>
      <c r="M874" s="34">
        <f t="shared" si="55"/>
        <v>0</v>
      </c>
    </row>
    <row r="875" spans="1:13" x14ac:dyDescent="0.25">
      <c r="A875" s="31"/>
      <c r="B875" s="16" t="str">
        <f>IFERROR(VLOOKUP(A875,Consolidado!$B$1:$L$1500,2,FALSE),"")</f>
        <v/>
      </c>
      <c r="C875" s="16">
        <f>IFERROR(SUMIF(Consolidado!$B$1:$B$1500,VLOOKUP(RegistroPago!A875,Consolidado!$B$1:$L$1500,1,FALSE),Consolidado!$G$1:$G$1500),"")</f>
        <v>0</v>
      </c>
      <c r="D875" s="3"/>
      <c r="E875" s="3"/>
      <c r="F875" s="5" t="str">
        <f t="shared" si="52"/>
        <v/>
      </c>
      <c r="G875" s="16" t="str">
        <f>IF(D875&lt;&gt;"",D875-VLOOKUP(A875,Consolidado!$B$1:$L$1500,8,FALSE),"")</f>
        <v/>
      </c>
      <c r="H875" s="31"/>
      <c r="I875" s="32">
        <f t="shared" si="53"/>
        <v>0</v>
      </c>
      <c r="J875" s="33" t="str">
        <f t="shared" si="54"/>
        <v/>
      </c>
      <c r="K875" s="2"/>
      <c r="L875" s="15"/>
      <c r="M875" s="34">
        <f t="shared" si="55"/>
        <v>0</v>
      </c>
    </row>
    <row r="876" spans="1:13" x14ac:dyDescent="0.25">
      <c r="A876" s="31"/>
      <c r="B876" s="16" t="str">
        <f>IFERROR(VLOOKUP(A876,Consolidado!$B$1:$L$1500,2,FALSE),"")</f>
        <v/>
      </c>
      <c r="C876" s="16">
        <f>IFERROR(SUMIF(Consolidado!$B$1:$B$1500,VLOOKUP(RegistroPago!A876,Consolidado!$B$1:$L$1500,1,FALSE),Consolidado!$G$1:$G$1500),"")</f>
        <v>0</v>
      </c>
      <c r="D876" s="3"/>
      <c r="E876" s="3"/>
      <c r="F876" s="5" t="str">
        <f t="shared" si="52"/>
        <v/>
      </c>
      <c r="G876" s="16" t="str">
        <f>IF(D876&lt;&gt;"",D876-VLOOKUP(A876,Consolidado!$B$1:$L$1500,8,FALSE),"")</f>
        <v/>
      </c>
      <c r="H876" s="31"/>
      <c r="I876" s="32">
        <f t="shared" si="53"/>
        <v>0</v>
      </c>
      <c r="J876" s="33" t="str">
        <f t="shared" si="54"/>
        <v/>
      </c>
      <c r="K876" s="2"/>
      <c r="L876" s="15"/>
      <c r="M876" s="34">
        <f t="shared" si="55"/>
        <v>0</v>
      </c>
    </row>
    <row r="877" spans="1:13" x14ac:dyDescent="0.25">
      <c r="A877" s="31"/>
      <c r="B877" s="16" t="str">
        <f>IFERROR(VLOOKUP(A877,Consolidado!$B$1:$L$1500,2,FALSE),"")</f>
        <v/>
      </c>
      <c r="C877" s="16">
        <f>IFERROR(SUMIF(Consolidado!$B$1:$B$1500,VLOOKUP(RegistroPago!A877,Consolidado!$B$1:$L$1500,1,FALSE),Consolidado!$G$1:$G$1500),"")</f>
        <v>0</v>
      </c>
      <c r="D877" s="3"/>
      <c r="E877" s="3"/>
      <c r="F877" s="5" t="str">
        <f t="shared" si="52"/>
        <v/>
      </c>
      <c r="G877" s="16" t="str">
        <f>IF(D877&lt;&gt;"",D877-VLOOKUP(A877,Consolidado!$B$1:$L$1500,8,FALSE),"")</f>
        <v/>
      </c>
      <c r="H877" s="31"/>
      <c r="I877" s="32">
        <f t="shared" si="53"/>
        <v>0</v>
      </c>
      <c r="J877" s="33" t="str">
        <f t="shared" si="54"/>
        <v/>
      </c>
      <c r="K877" s="2"/>
      <c r="L877" s="15"/>
      <c r="M877" s="34">
        <f t="shared" si="55"/>
        <v>0</v>
      </c>
    </row>
    <row r="878" spans="1:13" x14ac:dyDescent="0.25">
      <c r="A878" s="31"/>
      <c r="B878" s="16" t="str">
        <f>IFERROR(VLOOKUP(A878,Consolidado!$B$1:$L$1500,2,FALSE),"")</f>
        <v/>
      </c>
      <c r="C878" s="16">
        <f>IFERROR(SUMIF(Consolidado!$B$1:$B$1500,VLOOKUP(RegistroPago!A878,Consolidado!$B$1:$L$1500,1,FALSE),Consolidado!$G$1:$G$1500),"")</f>
        <v>0</v>
      </c>
      <c r="D878" s="3"/>
      <c r="E878" s="3"/>
      <c r="F878" s="5" t="str">
        <f t="shared" si="52"/>
        <v/>
      </c>
      <c r="G878" s="16" t="str">
        <f>IF(D878&lt;&gt;"",D878-VLOOKUP(A878,Consolidado!$B$1:$L$1500,8,FALSE),"")</f>
        <v/>
      </c>
      <c r="H878" s="31"/>
      <c r="I878" s="32">
        <f t="shared" si="53"/>
        <v>0</v>
      </c>
      <c r="J878" s="33" t="str">
        <f t="shared" si="54"/>
        <v/>
      </c>
      <c r="K878" s="2"/>
      <c r="L878" s="15"/>
      <c r="M878" s="34">
        <f t="shared" si="55"/>
        <v>0</v>
      </c>
    </row>
    <row r="879" spans="1:13" x14ac:dyDescent="0.25">
      <c r="A879" s="31"/>
      <c r="B879" s="16" t="str">
        <f>IFERROR(VLOOKUP(A879,Consolidado!$B$1:$L$1500,2,FALSE),"")</f>
        <v/>
      </c>
      <c r="C879" s="16">
        <f>IFERROR(SUMIF(Consolidado!$B$1:$B$1500,VLOOKUP(RegistroPago!A879,Consolidado!$B$1:$L$1500,1,FALSE),Consolidado!$G$1:$G$1500),"")</f>
        <v>0</v>
      </c>
      <c r="D879" s="3"/>
      <c r="E879" s="3"/>
      <c r="F879" s="5" t="str">
        <f t="shared" si="52"/>
        <v/>
      </c>
      <c r="G879" s="16" t="str">
        <f>IF(D879&lt;&gt;"",D879-VLOOKUP(A879,Consolidado!$B$1:$L$1500,8,FALSE),"")</f>
        <v/>
      </c>
      <c r="H879" s="31"/>
      <c r="I879" s="32">
        <f t="shared" si="53"/>
        <v>0</v>
      </c>
      <c r="J879" s="33" t="str">
        <f t="shared" si="54"/>
        <v/>
      </c>
      <c r="K879" s="2"/>
      <c r="L879" s="15"/>
      <c r="M879" s="34">
        <f t="shared" si="55"/>
        <v>0</v>
      </c>
    </row>
    <row r="880" spans="1:13" x14ac:dyDescent="0.25">
      <c r="A880" s="31"/>
      <c r="B880" s="16" t="str">
        <f>IFERROR(VLOOKUP(A880,Consolidado!$B$1:$L$1500,2,FALSE),"")</f>
        <v/>
      </c>
      <c r="C880" s="16">
        <f>IFERROR(SUMIF(Consolidado!$B$1:$B$1500,VLOOKUP(RegistroPago!A880,Consolidado!$B$1:$L$1500,1,FALSE),Consolidado!$G$1:$G$1500),"")</f>
        <v>0</v>
      </c>
      <c r="D880" s="3"/>
      <c r="E880" s="3"/>
      <c r="F880" s="5" t="str">
        <f t="shared" si="52"/>
        <v/>
      </c>
      <c r="G880" s="16" t="str">
        <f>IF(D880&lt;&gt;"",D880-VLOOKUP(A880,Consolidado!$B$1:$L$1500,8,FALSE),"")</f>
        <v/>
      </c>
      <c r="H880" s="31"/>
      <c r="I880" s="32">
        <f t="shared" si="53"/>
        <v>0</v>
      </c>
      <c r="J880" s="33" t="str">
        <f t="shared" si="54"/>
        <v/>
      </c>
      <c r="K880" s="2"/>
      <c r="L880" s="15"/>
      <c r="M880" s="34">
        <f t="shared" si="55"/>
        <v>0</v>
      </c>
    </row>
    <row r="881" spans="1:13" x14ac:dyDescent="0.25">
      <c r="A881" s="31"/>
      <c r="B881" s="16" t="str">
        <f>IFERROR(VLOOKUP(A881,Consolidado!$B$1:$L$1500,2,FALSE),"")</f>
        <v/>
      </c>
      <c r="C881" s="16">
        <f>IFERROR(SUMIF(Consolidado!$B$1:$B$1500,VLOOKUP(RegistroPago!A881,Consolidado!$B$1:$L$1500,1,FALSE),Consolidado!$G$1:$G$1500),"")</f>
        <v>0</v>
      </c>
      <c r="D881" s="3"/>
      <c r="E881" s="3"/>
      <c r="F881" s="5" t="str">
        <f t="shared" si="52"/>
        <v/>
      </c>
      <c r="G881" s="16" t="str">
        <f>IF(D881&lt;&gt;"",D881-VLOOKUP(A881,Consolidado!$B$1:$L$1500,8,FALSE),"")</f>
        <v/>
      </c>
      <c r="H881" s="31"/>
      <c r="I881" s="32">
        <f t="shared" si="53"/>
        <v>0</v>
      </c>
      <c r="J881" s="33" t="str">
        <f t="shared" si="54"/>
        <v/>
      </c>
      <c r="K881" s="2"/>
      <c r="L881" s="15"/>
      <c r="M881" s="34">
        <f t="shared" si="55"/>
        <v>0</v>
      </c>
    </row>
    <row r="882" spans="1:13" x14ac:dyDescent="0.25">
      <c r="A882" s="31"/>
      <c r="B882" s="16" t="str">
        <f>IFERROR(VLOOKUP(A882,Consolidado!$B$1:$L$1500,2,FALSE),"")</f>
        <v/>
      </c>
      <c r="C882" s="16">
        <f>IFERROR(SUMIF(Consolidado!$B$1:$B$1500,VLOOKUP(RegistroPago!A882,Consolidado!$B$1:$L$1500,1,FALSE),Consolidado!$G$1:$G$1500),"")</f>
        <v>0</v>
      </c>
      <c r="D882" s="3"/>
      <c r="E882" s="3"/>
      <c r="F882" s="5" t="str">
        <f t="shared" si="52"/>
        <v/>
      </c>
      <c r="G882" s="16" t="str">
        <f>IF(D882&lt;&gt;"",D882-VLOOKUP(A882,Consolidado!$B$1:$L$1500,8,FALSE),"")</f>
        <v/>
      </c>
      <c r="H882" s="31"/>
      <c r="I882" s="32">
        <f t="shared" si="53"/>
        <v>0</v>
      </c>
      <c r="J882" s="33" t="str">
        <f t="shared" si="54"/>
        <v/>
      </c>
      <c r="K882" s="2"/>
      <c r="L882" s="15"/>
      <c r="M882" s="34">
        <f t="shared" si="55"/>
        <v>0</v>
      </c>
    </row>
    <row r="883" spans="1:13" x14ac:dyDescent="0.25">
      <c r="A883" s="31"/>
      <c r="B883" s="16" t="str">
        <f>IFERROR(VLOOKUP(A883,Consolidado!$B$1:$L$1500,2,FALSE),"")</f>
        <v/>
      </c>
      <c r="C883" s="16">
        <f>IFERROR(SUMIF(Consolidado!$B$1:$B$1500,VLOOKUP(RegistroPago!A883,Consolidado!$B$1:$L$1500,1,FALSE),Consolidado!$G$1:$G$1500),"")</f>
        <v>0</v>
      </c>
      <c r="D883" s="3"/>
      <c r="E883" s="3"/>
      <c r="F883" s="5" t="str">
        <f t="shared" si="52"/>
        <v/>
      </c>
      <c r="G883" s="16" t="str">
        <f>IF(D883&lt;&gt;"",D883-VLOOKUP(A883,Consolidado!$B$1:$L$1500,8,FALSE),"")</f>
        <v/>
      </c>
      <c r="H883" s="31"/>
      <c r="I883" s="32">
        <f t="shared" si="53"/>
        <v>0</v>
      </c>
      <c r="J883" s="33" t="str">
        <f t="shared" si="54"/>
        <v/>
      </c>
      <c r="K883" s="2"/>
      <c r="L883" s="15"/>
      <c r="M883" s="34">
        <f t="shared" si="55"/>
        <v>0</v>
      </c>
    </row>
    <row r="884" spans="1:13" x14ac:dyDescent="0.25">
      <c r="A884" s="31"/>
      <c r="B884" s="16" t="str">
        <f>IFERROR(VLOOKUP(A884,Consolidado!$B$1:$L$1500,2,FALSE),"")</f>
        <v/>
      </c>
      <c r="C884" s="16">
        <f>IFERROR(SUMIF(Consolidado!$B$1:$B$1500,VLOOKUP(RegistroPago!A884,Consolidado!$B$1:$L$1500,1,FALSE),Consolidado!$G$1:$G$1500),"")</f>
        <v>0</v>
      </c>
      <c r="D884" s="3"/>
      <c r="E884" s="3"/>
      <c r="F884" s="5" t="str">
        <f t="shared" si="52"/>
        <v/>
      </c>
      <c r="G884" s="16" t="str">
        <f>IF(D884&lt;&gt;"",D884-VLOOKUP(A884,Consolidado!$B$1:$L$1500,8,FALSE),"")</f>
        <v/>
      </c>
      <c r="H884" s="31"/>
      <c r="I884" s="32">
        <f t="shared" si="53"/>
        <v>0</v>
      </c>
      <c r="J884" s="33" t="str">
        <f t="shared" si="54"/>
        <v/>
      </c>
      <c r="K884" s="2"/>
      <c r="L884" s="15"/>
      <c r="M884" s="34">
        <f t="shared" si="55"/>
        <v>0</v>
      </c>
    </row>
    <row r="885" spans="1:13" x14ac:dyDescent="0.25">
      <c r="A885" s="31"/>
      <c r="B885" s="16" t="str">
        <f>IFERROR(VLOOKUP(A885,Consolidado!$B$1:$L$1500,2,FALSE),"")</f>
        <v/>
      </c>
      <c r="C885" s="16">
        <f>IFERROR(SUMIF(Consolidado!$B$1:$B$1500,VLOOKUP(RegistroPago!A885,Consolidado!$B$1:$L$1500,1,FALSE),Consolidado!$G$1:$G$1500),"")</f>
        <v>0</v>
      </c>
      <c r="D885" s="3"/>
      <c r="E885" s="3"/>
      <c r="F885" s="5" t="str">
        <f t="shared" si="52"/>
        <v/>
      </c>
      <c r="G885" s="16" t="str">
        <f>IF(D885&lt;&gt;"",D885-VLOOKUP(A885,Consolidado!$B$1:$L$1500,8,FALSE),"")</f>
        <v/>
      </c>
      <c r="H885" s="31"/>
      <c r="I885" s="32">
        <f t="shared" si="53"/>
        <v>0</v>
      </c>
      <c r="J885" s="33" t="str">
        <f t="shared" si="54"/>
        <v/>
      </c>
      <c r="K885" s="2"/>
      <c r="L885" s="15"/>
      <c r="M885" s="34">
        <f t="shared" si="55"/>
        <v>0</v>
      </c>
    </row>
    <row r="886" spans="1:13" x14ac:dyDescent="0.25">
      <c r="A886" s="31"/>
      <c r="B886" s="16" t="str">
        <f>IFERROR(VLOOKUP(A886,Consolidado!$B$1:$L$1500,2,FALSE),"")</f>
        <v/>
      </c>
      <c r="C886" s="16">
        <f>IFERROR(SUMIF(Consolidado!$B$1:$B$1500,VLOOKUP(RegistroPago!A886,Consolidado!$B$1:$L$1500,1,FALSE),Consolidado!$G$1:$G$1500),"")</f>
        <v>0</v>
      </c>
      <c r="D886" s="3"/>
      <c r="E886" s="3"/>
      <c r="F886" s="5" t="str">
        <f t="shared" si="52"/>
        <v/>
      </c>
      <c r="G886" s="16" t="str">
        <f>IF(D886&lt;&gt;"",D886-VLOOKUP(A886,Consolidado!$B$1:$L$1500,8,FALSE),"")</f>
        <v/>
      </c>
      <c r="H886" s="31"/>
      <c r="I886" s="32">
        <f t="shared" si="53"/>
        <v>0</v>
      </c>
      <c r="J886" s="33" t="str">
        <f t="shared" si="54"/>
        <v/>
      </c>
      <c r="K886" s="2"/>
      <c r="L886" s="15"/>
      <c r="M886" s="34">
        <f t="shared" si="55"/>
        <v>0</v>
      </c>
    </row>
    <row r="887" spans="1:13" x14ac:dyDescent="0.25">
      <c r="A887" s="31"/>
      <c r="B887" s="16" t="str">
        <f>IFERROR(VLOOKUP(A887,Consolidado!$B$1:$L$1500,2,FALSE),"")</f>
        <v/>
      </c>
      <c r="C887" s="16">
        <f>IFERROR(SUMIF(Consolidado!$B$1:$B$1500,VLOOKUP(RegistroPago!A887,Consolidado!$B$1:$L$1500,1,FALSE),Consolidado!$G$1:$G$1500),"")</f>
        <v>0</v>
      </c>
      <c r="D887" s="3"/>
      <c r="E887" s="3"/>
      <c r="F887" s="5" t="str">
        <f t="shared" si="52"/>
        <v/>
      </c>
      <c r="G887" s="16" t="str">
        <f>IF(D887&lt;&gt;"",D887-VLOOKUP(A887,Consolidado!$B$1:$L$1500,8,FALSE),"")</f>
        <v/>
      </c>
      <c r="H887" s="31"/>
      <c r="I887" s="32">
        <f t="shared" si="53"/>
        <v>0</v>
      </c>
      <c r="J887" s="33" t="str">
        <f t="shared" si="54"/>
        <v/>
      </c>
      <c r="K887" s="2"/>
      <c r="L887" s="15"/>
      <c r="M887" s="34">
        <f t="shared" si="55"/>
        <v>0</v>
      </c>
    </row>
    <row r="888" spans="1:13" x14ac:dyDescent="0.25">
      <c r="A888" s="31"/>
      <c r="B888" s="16" t="str">
        <f>IFERROR(VLOOKUP(A888,Consolidado!$B$1:$L$1500,2,FALSE),"")</f>
        <v/>
      </c>
      <c r="C888" s="16">
        <f>IFERROR(SUMIF(Consolidado!$B$1:$B$1500,VLOOKUP(RegistroPago!A888,Consolidado!$B$1:$L$1500,1,FALSE),Consolidado!$G$1:$G$1500),"")</f>
        <v>0</v>
      </c>
      <c r="D888" s="3"/>
      <c r="E888" s="3"/>
      <c r="F888" s="5" t="str">
        <f t="shared" si="52"/>
        <v/>
      </c>
      <c r="G888" s="16" t="str">
        <f>IF(D888&lt;&gt;"",D888-VLOOKUP(A888,Consolidado!$B$1:$L$1500,8,FALSE),"")</f>
        <v/>
      </c>
      <c r="H888" s="31"/>
      <c r="I888" s="32">
        <f t="shared" si="53"/>
        <v>0</v>
      </c>
      <c r="J888" s="33" t="str">
        <f t="shared" si="54"/>
        <v/>
      </c>
      <c r="K888" s="2"/>
      <c r="L888" s="15"/>
      <c r="M888" s="34">
        <f t="shared" si="55"/>
        <v>0</v>
      </c>
    </row>
    <row r="889" spans="1:13" x14ac:dyDescent="0.25">
      <c r="A889" s="31"/>
      <c r="B889" s="16" t="str">
        <f>IFERROR(VLOOKUP(A889,Consolidado!$B$1:$L$1500,2,FALSE),"")</f>
        <v/>
      </c>
      <c r="C889" s="16">
        <f>IFERROR(SUMIF(Consolidado!$B$1:$B$1500,VLOOKUP(RegistroPago!A889,Consolidado!$B$1:$L$1500,1,FALSE),Consolidado!$G$1:$G$1500),"")</f>
        <v>0</v>
      </c>
      <c r="D889" s="3"/>
      <c r="E889" s="3"/>
      <c r="F889" s="5" t="str">
        <f t="shared" si="52"/>
        <v/>
      </c>
      <c r="G889" s="16" t="str">
        <f>IF(D889&lt;&gt;"",D889-VLOOKUP(A889,Consolidado!$B$1:$L$1500,8,FALSE),"")</f>
        <v/>
      </c>
      <c r="H889" s="31"/>
      <c r="I889" s="32">
        <f t="shared" si="53"/>
        <v>0</v>
      </c>
      <c r="J889" s="33" t="str">
        <f t="shared" si="54"/>
        <v/>
      </c>
      <c r="K889" s="2"/>
      <c r="L889" s="15"/>
      <c r="M889" s="34">
        <f t="shared" si="55"/>
        <v>0</v>
      </c>
    </row>
    <row r="890" spans="1:13" x14ac:dyDescent="0.25">
      <c r="A890" s="31"/>
      <c r="B890" s="16" t="str">
        <f>IFERROR(VLOOKUP(A890,Consolidado!$B$1:$L$1500,2,FALSE),"")</f>
        <v/>
      </c>
      <c r="C890" s="16">
        <f>IFERROR(SUMIF(Consolidado!$B$1:$B$1500,VLOOKUP(RegistroPago!A890,Consolidado!$B$1:$L$1500,1,FALSE),Consolidado!$G$1:$G$1500),"")</f>
        <v>0</v>
      </c>
      <c r="D890" s="3"/>
      <c r="E890" s="3"/>
      <c r="F890" s="5" t="str">
        <f t="shared" si="52"/>
        <v/>
      </c>
      <c r="G890" s="16" t="str">
        <f>IF(D890&lt;&gt;"",D890-VLOOKUP(A890,Consolidado!$B$1:$L$1500,8,FALSE),"")</f>
        <v/>
      </c>
      <c r="H890" s="31"/>
      <c r="I890" s="32">
        <f t="shared" si="53"/>
        <v>0</v>
      </c>
      <c r="J890" s="33" t="str">
        <f t="shared" si="54"/>
        <v/>
      </c>
      <c r="K890" s="2"/>
      <c r="L890" s="15"/>
      <c r="M890" s="34">
        <f t="shared" si="55"/>
        <v>0</v>
      </c>
    </row>
    <row r="891" spans="1:13" x14ac:dyDescent="0.25">
      <c r="A891" s="31"/>
      <c r="B891" s="16" t="str">
        <f>IFERROR(VLOOKUP(A891,Consolidado!$B$1:$L$1500,2,FALSE),"")</f>
        <v/>
      </c>
      <c r="C891" s="16">
        <f>IFERROR(SUMIF(Consolidado!$B$1:$B$1500,VLOOKUP(RegistroPago!A891,Consolidado!$B$1:$L$1500,1,FALSE),Consolidado!$G$1:$G$1500),"")</f>
        <v>0</v>
      </c>
      <c r="D891" s="3"/>
      <c r="E891" s="3"/>
      <c r="F891" s="5" t="str">
        <f t="shared" si="52"/>
        <v/>
      </c>
      <c r="G891" s="16" t="str">
        <f>IF(D891&lt;&gt;"",D891-VLOOKUP(A891,Consolidado!$B$1:$L$1500,8,FALSE),"")</f>
        <v/>
      </c>
      <c r="H891" s="31"/>
      <c r="I891" s="32">
        <f t="shared" si="53"/>
        <v>0</v>
      </c>
      <c r="J891" s="33" t="str">
        <f t="shared" si="54"/>
        <v/>
      </c>
      <c r="K891" s="2"/>
      <c r="L891" s="15"/>
      <c r="M891" s="34">
        <f t="shared" si="55"/>
        <v>0</v>
      </c>
    </row>
    <row r="892" spans="1:13" x14ac:dyDescent="0.25">
      <c r="A892" s="31"/>
      <c r="B892" s="16" t="str">
        <f>IFERROR(VLOOKUP(A892,Consolidado!$B$1:$L$1500,2,FALSE),"")</f>
        <v/>
      </c>
      <c r="C892" s="16">
        <f>IFERROR(SUMIF(Consolidado!$B$1:$B$1500,VLOOKUP(RegistroPago!A892,Consolidado!$B$1:$L$1500,1,FALSE),Consolidado!$G$1:$G$1500),"")</f>
        <v>0</v>
      </c>
      <c r="D892" s="3"/>
      <c r="E892" s="3"/>
      <c r="F892" s="5" t="str">
        <f t="shared" si="52"/>
        <v/>
      </c>
      <c r="G892" s="16" t="str">
        <f>IF(D892&lt;&gt;"",D892-VLOOKUP(A892,Consolidado!$B$1:$L$1500,8,FALSE),"")</f>
        <v/>
      </c>
      <c r="H892" s="31"/>
      <c r="I892" s="32">
        <f t="shared" si="53"/>
        <v>0</v>
      </c>
      <c r="J892" s="33" t="str">
        <f t="shared" si="54"/>
        <v/>
      </c>
      <c r="K892" s="2"/>
      <c r="L892" s="15"/>
      <c r="M892" s="34">
        <f t="shared" si="55"/>
        <v>0</v>
      </c>
    </row>
    <row r="893" spans="1:13" x14ac:dyDescent="0.25">
      <c r="A893" s="31"/>
      <c r="B893" s="16" t="str">
        <f>IFERROR(VLOOKUP(A893,Consolidado!$B$1:$L$1500,2,FALSE),"")</f>
        <v/>
      </c>
      <c r="C893" s="16">
        <f>IFERROR(SUMIF(Consolidado!$B$1:$B$1500,VLOOKUP(RegistroPago!A893,Consolidado!$B$1:$L$1500,1,FALSE),Consolidado!$G$1:$G$1500),"")</f>
        <v>0</v>
      </c>
      <c r="D893" s="3"/>
      <c r="E893" s="3"/>
      <c r="F893" s="5" t="str">
        <f t="shared" si="52"/>
        <v/>
      </c>
      <c r="G893" s="16" t="str">
        <f>IF(D893&lt;&gt;"",D893-VLOOKUP(A893,Consolidado!$B$1:$L$1500,8,FALSE),"")</f>
        <v/>
      </c>
      <c r="H893" s="31"/>
      <c r="I893" s="32">
        <f t="shared" si="53"/>
        <v>0</v>
      </c>
      <c r="J893" s="33" t="str">
        <f t="shared" si="54"/>
        <v/>
      </c>
      <c r="K893" s="2"/>
      <c r="L893" s="15"/>
      <c r="M893" s="34">
        <f t="shared" si="55"/>
        <v>0</v>
      </c>
    </row>
    <row r="894" spans="1:13" x14ac:dyDescent="0.25">
      <c r="A894" s="31"/>
      <c r="B894" s="16" t="str">
        <f>IFERROR(VLOOKUP(A894,Consolidado!$B$1:$L$1500,2,FALSE),"")</f>
        <v/>
      </c>
      <c r="C894" s="16">
        <f>IFERROR(SUMIF(Consolidado!$B$1:$B$1500,VLOOKUP(RegistroPago!A894,Consolidado!$B$1:$L$1500,1,FALSE),Consolidado!$G$1:$G$1500),"")</f>
        <v>0</v>
      </c>
      <c r="D894" s="3"/>
      <c r="E894" s="3"/>
      <c r="F894" s="5" t="str">
        <f t="shared" si="52"/>
        <v/>
      </c>
      <c r="G894" s="16" t="str">
        <f>IF(D894&lt;&gt;"",D894-VLOOKUP(A894,Consolidado!$B$1:$L$1500,8,FALSE),"")</f>
        <v/>
      </c>
      <c r="H894" s="31"/>
      <c r="I894" s="32">
        <f t="shared" si="53"/>
        <v>0</v>
      </c>
      <c r="J894" s="33" t="str">
        <f t="shared" si="54"/>
        <v/>
      </c>
      <c r="K894" s="2"/>
      <c r="L894" s="15"/>
      <c r="M894" s="34">
        <f t="shared" si="55"/>
        <v>0</v>
      </c>
    </row>
    <row r="895" spans="1:13" x14ac:dyDescent="0.25">
      <c r="A895" s="31"/>
      <c r="B895" s="16" t="str">
        <f>IFERROR(VLOOKUP(A895,Consolidado!$B$1:$L$1500,2,FALSE),"")</f>
        <v/>
      </c>
      <c r="C895" s="16">
        <f>IFERROR(SUMIF(Consolidado!$B$1:$B$1500,VLOOKUP(RegistroPago!A895,Consolidado!$B$1:$L$1500,1,FALSE),Consolidado!$G$1:$G$1500),"")</f>
        <v>0</v>
      </c>
      <c r="D895" s="3"/>
      <c r="E895" s="3"/>
      <c r="F895" s="5" t="str">
        <f t="shared" si="52"/>
        <v/>
      </c>
      <c r="G895" s="16" t="str">
        <f>IF(D895&lt;&gt;"",D895-VLOOKUP(A895,Consolidado!$B$1:$L$1500,8,FALSE),"")</f>
        <v/>
      </c>
      <c r="H895" s="31"/>
      <c r="I895" s="32">
        <f t="shared" si="53"/>
        <v>0</v>
      </c>
      <c r="J895" s="33" t="str">
        <f t="shared" si="54"/>
        <v/>
      </c>
      <c r="K895" s="2"/>
      <c r="L895" s="15"/>
      <c r="M895" s="34">
        <f t="shared" si="55"/>
        <v>0</v>
      </c>
    </row>
    <row r="896" spans="1:13" x14ac:dyDescent="0.25">
      <c r="A896" s="31"/>
      <c r="B896" s="16" t="str">
        <f>IFERROR(VLOOKUP(A896,Consolidado!$B$1:$L$1500,2,FALSE),"")</f>
        <v/>
      </c>
      <c r="C896" s="16">
        <f>IFERROR(SUMIF(Consolidado!$B$1:$B$1500,VLOOKUP(RegistroPago!A896,Consolidado!$B$1:$L$1500,1,FALSE),Consolidado!$G$1:$G$1500),"")</f>
        <v>0</v>
      </c>
      <c r="D896" s="3"/>
      <c r="E896" s="3"/>
      <c r="F896" s="5" t="str">
        <f t="shared" si="52"/>
        <v/>
      </c>
      <c r="G896" s="16" t="str">
        <f>IF(D896&lt;&gt;"",D896-VLOOKUP(A896,Consolidado!$B$1:$L$1500,8,FALSE),"")</f>
        <v/>
      </c>
      <c r="H896" s="31"/>
      <c r="I896" s="32">
        <f t="shared" si="53"/>
        <v>0</v>
      </c>
      <c r="J896" s="33" t="str">
        <f t="shared" si="54"/>
        <v/>
      </c>
      <c r="K896" s="2"/>
      <c r="L896" s="15"/>
      <c r="M896" s="34">
        <f t="shared" si="55"/>
        <v>0</v>
      </c>
    </row>
    <row r="897" spans="1:13" x14ac:dyDescent="0.25">
      <c r="A897" s="31"/>
      <c r="B897" s="16" t="str">
        <f>IFERROR(VLOOKUP(A897,Consolidado!$B$1:$L$1500,2,FALSE),"")</f>
        <v/>
      </c>
      <c r="C897" s="16">
        <f>IFERROR(SUMIF(Consolidado!$B$1:$B$1500,VLOOKUP(RegistroPago!A897,Consolidado!$B$1:$L$1500,1,FALSE),Consolidado!$G$1:$G$1500),"")</f>
        <v>0</v>
      </c>
      <c r="D897" s="3"/>
      <c r="E897" s="3"/>
      <c r="F897" s="5" t="str">
        <f t="shared" si="52"/>
        <v/>
      </c>
      <c r="G897" s="16" t="str">
        <f>IF(D897&lt;&gt;"",D897-VLOOKUP(A897,Consolidado!$B$1:$L$1500,8,FALSE),"")</f>
        <v/>
      </c>
      <c r="H897" s="31"/>
      <c r="I897" s="32">
        <f t="shared" si="53"/>
        <v>0</v>
      </c>
      <c r="J897" s="33" t="str">
        <f t="shared" si="54"/>
        <v/>
      </c>
      <c r="K897" s="2"/>
      <c r="L897" s="15"/>
      <c r="M897" s="34">
        <f t="shared" si="55"/>
        <v>0</v>
      </c>
    </row>
    <row r="898" spans="1:13" x14ac:dyDescent="0.25">
      <c r="A898" s="31"/>
      <c r="B898" s="16" t="str">
        <f>IFERROR(VLOOKUP(A898,Consolidado!$B$1:$L$1500,2,FALSE),"")</f>
        <v/>
      </c>
      <c r="C898" s="16">
        <f>IFERROR(SUMIF(Consolidado!$B$1:$B$1500,VLOOKUP(RegistroPago!A898,Consolidado!$B$1:$L$1500,1,FALSE),Consolidado!$G$1:$G$1500),"")</f>
        <v>0</v>
      </c>
      <c r="D898" s="3"/>
      <c r="E898" s="3"/>
      <c r="F898" s="5" t="str">
        <f t="shared" si="52"/>
        <v/>
      </c>
      <c r="G898" s="16" t="str">
        <f>IF(D898&lt;&gt;"",D898-VLOOKUP(A898,Consolidado!$B$1:$L$1500,8,FALSE),"")</f>
        <v/>
      </c>
      <c r="H898" s="31"/>
      <c r="I898" s="32">
        <f t="shared" si="53"/>
        <v>0</v>
      </c>
      <c r="J898" s="33" t="str">
        <f t="shared" si="54"/>
        <v/>
      </c>
      <c r="K898" s="2"/>
      <c r="L898" s="15"/>
      <c r="M898" s="34">
        <f t="shared" si="55"/>
        <v>0</v>
      </c>
    </row>
    <row r="899" spans="1:13" x14ac:dyDescent="0.25">
      <c r="A899" s="31"/>
      <c r="B899" s="16" t="str">
        <f>IFERROR(VLOOKUP(A899,Consolidado!$B$1:$L$1500,2,FALSE),"")</f>
        <v/>
      </c>
      <c r="C899" s="16">
        <f>IFERROR(SUMIF(Consolidado!$B$1:$B$1500,VLOOKUP(RegistroPago!A899,Consolidado!$B$1:$L$1500,1,FALSE),Consolidado!$G$1:$G$1500),"")</f>
        <v>0</v>
      </c>
      <c r="D899" s="3"/>
      <c r="E899" s="3"/>
      <c r="F899" s="5" t="str">
        <f t="shared" ref="F899:F962" si="56">IF(COUNTIF($E$2:$E$2000,E899)&gt;1,"Ya registrado","")</f>
        <v/>
      </c>
      <c r="G899" s="16" t="str">
        <f>IF(D899&lt;&gt;"",D899-VLOOKUP(A899,Consolidado!$B$1:$L$1500,8,FALSE),"")</f>
        <v/>
      </c>
      <c r="H899" s="31"/>
      <c r="I899" s="32">
        <f t="shared" ref="I899:I962" si="57">IFERROR(SUMIF($E$1:$E$2000,H899,$C$1:$C$2000)-SUMIF($E$1:$E$2000,H899,$F$1:$F$2000),"")</f>
        <v>0</v>
      </c>
      <c r="J899" s="33" t="str">
        <f t="shared" ref="J899:J962" si="58">IFERROR(I899/SUMIF($E$1:$E$2000,H899,$C$1:$C$2000),"")</f>
        <v/>
      </c>
      <c r="K899" s="2"/>
      <c r="L899" s="15"/>
      <c r="M899" s="34">
        <f t="shared" ref="M899:M962" si="59">IFERROR(L899*SUMIF($E$1:$E$2000,H899,$F$1:$F$2000),"")</f>
        <v>0</v>
      </c>
    </row>
    <row r="900" spans="1:13" x14ac:dyDescent="0.25">
      <c r="A900" s="31"/>
      <c r="B900" s="16" t="str">
        <f>IFERROR(VLOOKUP(A900,Consolidado!$B$1:$L$1500,2,FALSE),"")</f>
        <v/>
      </c>
      <c r="C900" s="16">
        <f>IFERROR(SUMIF(Consolidado!$B$1:$B$1500,VLOOKUP(RegistroPago!A900,Consolidado!$B$1:$L$1500,1,FALSE),Consolidado!$G$1:$G$1500),"")</f>
        <v>0</v>
      </c>
      <c r="D900" s="3"/>
      <c r="E900" s="3"/>
      <c r="F900" s="5" t="str">
        <f t="shared" si="56"/>
        <v/>
      </c>
      <c r="G900" s="16" t="str">
        <f>IF(D900&lt;&gt;"",D900-VLOOKUP(A900,Consolidado!$B$1:$L$1500,8,FALSE),"")</f>
        <v/>
      </c>
      <c r="H900" s="31"/>
      <c r="I900" s="32">
        <f t="shared" si="57"/>
        <v>0</v>
      </c>
      <c r="J900" s="33" t="str">
        <f t="shared" si="58"/>
        <v/>
      </c>
      <c r="K900" s="2"/>
      <c r="L900" s="15"/>
      <c r="M900" s="34">
        <f t="shared" si="59"/>
        <v>0</v>
      </c>
    </row>
    <row r="901" spans="1:13" x14ac:dyDescent="0.25">
      <c r="A901" s="31"/>
      <c r="B901" s="16" t="str">
        <f>IFERROR(VLOOKUP(A901,Consolidado!$B$1:$L$1500,2,FALSE),"")</f>
        <v/>
      </c>
      <c r="C901" s="16">
        <f>IFERROR(SUMIF(Consolidado!$B$1:$B$1500,VLOOKUP(RegistroPago!A901,Consolidado!$B$1:$L$1500,1,FALSE),Consolidado!$G$1:$G$1500),"")</f>
        <v>0</v>
      </c>
      <c r="D901" s="3"/>
      <c r="E901" s="3"/>
      <c r="F901" s="5" t="str">
        <f t="shared" si="56"/>
        <v/>
      </c>
      <c r="G901" s="16" t="str">
        <f>IF(D901&lt;&gt;"",D901-VLOOKUP(A901,Consolidado!$B$1:$L$1500,8,FALSE),"")</f>
        <v/>
      </c>
      <c r="H901" s="31"/>
      <c r="I901" s="32">
        <f t="shared" si="57"/>
        <v>0</v>
      </c>
      <c r="J901" s="33" t="str">
        <f t="shared" si="58"/>
        <v/>
      </c>
      <c r="K901" s="2"/>
      <c r="L901" s="15"/>
      <c r="M901" s="34">
        <f t="shared" si="59"/>
        <v>0</v>
      </c>
    </row>
    <row r="902" spans="1:13" x14ac:dyDescent="0.25">
      <c r="A902" s="31"/>
      <c r="B902" s="16" t="str">
        <f>IFERROR(VLOOKUP(A902,Consolidado!$B$1:$L$1500,2,FALSE),"")</f>
        <v/>
      </c>
      <c r="C902" s="16">
        <f>IFERROR(SUMIF(Consolidado!$B$1:$B$1500,VLOOKUP(RegistroPago!A902,Consolidado!$B$1:$L$1500,1,FALSE),Consolidado!$G$1:$G$1500),"")</f>
        <v>0</v>
      </c>
      <c r="D902" s="3"/>
      <c r="E902" s="3"/>
      <c r="F902" s="5" t="str">
        <f t="shared" si="56"/>
        <v/>
      </c>
      <c r="G902" s="16" t="str">
        <f>IF(D902&lt;&gt;"",D902-VLOOKUP(A902,Consolidado!$B$1:$L$1500,8,FALSE),"")</f>
        <v/>
      </c>
      <c r="H902" s="31"/>
      <c r="I902" s="32">
        <f t="shared" si="57"/>
        <v>0</v>
      </c>
      <c r="J902" s="33" t="str">
        <f t="shared" si="58"/>
        <v/>
      </c>
      <c r="K902" s="2"/>
      <c r="L902" s="15"/>
      <c r="M902" s="34">
        <f t="shared" si="59"/>
        <v>0</v>
      </c>
    </row>
    <row r="903" spans="1:13" x14ac:dyDescent="0.25">
      <c r="A903" s="31"/>
      <c r="B903" s="16" t="str">
        <f>IFERROR(VLOOKUP(A903,Consolidado!$B$1:$L$1500,2,FALSE),"")</f>
        <v/>
      </c>
      <c r="C903" s="16">
        <f>IFERROR(SUMIF(Consolidado!$B$1:$B$1500,VLOOKUP(RegistroPago!A903,Consolidado!$B$1:$L$1500,1,FALSE),Consolidado!$G$1:$G$1500),"")</f>
        <v>0</v>
      </c>
      <c r="D903" s="3"/>
      <c r="E903" s="3"/>
      <c r="F903" s="5" t="str">
        <f t="shared" si="56"/>
        <v/>
      </c>
      <c r="G903" s="16" t="str">
        <f>IF(D903&lt;&gt;"",D903-VLOOKUP(A903,Consolidado!$B$1:$L$1500,8,FALSE),"")</f>
        <v/>
      </c>
      <c r="H903" s="31"/>
      <c r="I903" s="32">
        <f t="shared" si="57"/>
        <v>0</v>
      </c>
      <c r="J903" s="33" t="str">
        <f t="shared" si="58"/>
        <v/>
      </c>
      <c r="K903" s="2"/>
      <c r="L903" s="15"/>
      <c r="M903" s="34">
        <f t="shared" si="59"/>
        <v>0</v>
      </c>
    </row>
    <row r="904" spans="1:13" x14ac:dyDescent="0.25">
      <c r="A904" s="31"/>
      <c r="B904" s="16" t="str">
        <f>IFERROR(VLOOKUP(A904,Consolidado!$B$1:$L$1500,2,FALSE),"")</f>
        <v/>
      </c>
      <c r="C904" s="16">
        <f>IFERROR(SUMIF(Consolidado!$B$1:$B$1500,VLOOKUP(RegistroPago!A904,Consolidado!$B$1:$L$1500,1,FALSE),Consolidado!$G$1:$G$1500),"")</f>
        <v>0</v>
      </c>
      <c r="D904" s="3"/>
      <c r="E904" s="3"/>
      <c r="F904" s="5" t="str">
        <f t="shared" si="56"/>
        <v/>
      </c>
      <c r="G904" s="16" t="str">
        <f>IF(D904&lt;&gt;"",D904-VLOOKUP(A904,Consolidado!$B$1:$L$1500,8,FALSE),"")</f>
        <v/>
      </c>
      <c r="H904" s="31"/>
      <c r="I904" s="32">
        <f t="shared" si="57"/>
        <v>0</v>
      </c>
      <c r="J904" s="33" t="str">
        <f t="shared" si="58"/>
        <v/>
      </c>
      <c r="K904" s="2"/>
      <c r="L904" s="15"/>
      <c r="M904" s="34">
        <f t="shared" si="59"/>
        <v>0</v>
      </c>
    </row>
    <row r="905" spans="1:13" x14ac:dyDescent="0.25">
      <c r="A905" s="31"/>
      <c r="B905" s="16" t="str">
        <f>IFERROR(VLOOKUP(A905,Consolidado!$B$1:$L$1500,2,FALSE),"")</f>
        <v/>
      </c>
      <c r="C905" s="16">
        <f>IFERROR(SUMIF(Consolidado!$B$1:$B$1500,VLOOKUP(RegistroPago!A905,Consolidado!$B$1:$L$1500,1,FALSE),Consolidado!$G$1:$G$1500),"")</f>
        <v>0</v>
      </c>
      <c r="D905" s="3"/>
      <c r="E905" s="3"/>
      <c r="F905" s="5" t="str">
        <f t="shared" si="56"/>
        <v/>
      </c>
      <c r="G905" s="16" t="str">
        <f>IF(D905&lt;&gt;"",D905-VLOOKUP(A905,Consolidado!$B$1:$L$1500,8,FALSE),"")</f>
        <v/>
      </c>
      <c r="H905" s="31"/>
      <c r="I905" s="32">
        <f t="shared" si="57"/>
        <v>0</v>
      </c>
      <c r="J905" s="33" t="str">
        <f t="shared" si="58"/>
        <v/>
      </c>
      <c r="K905" s="2"/>
      <c r="L905" s="15"/>
      <c r="M905" s="34">
        <f t="shared" si="59"/>
        <v>0</v>
      </c>
    </row>
    <row r="906" spans="1:13" x14ac:dyDescent="0.25">
      <c r="A906" s="31"/>
      <c r="B906" s="16" t="str">
        <f>IFERROR(VLOOKUP(A906,Consolidado!$B$1:$L$1500,2,FALSE),"")</f>
        <v/>
      </c>
      <c r="C906" s="16">
        <f>IFERROR(SUMIF(Consolidado!$B$1:$B$1500,VLOOKUP(RegistroPago!A906,Consolidado!$B$1:$L$1500,1,FALSE),Consolidado!$G$1:$G$1500),"")</f>
        <v>0</v>
      </c>
      <c r="D906" s="3"/>
      <c r="E906" s="3"/>
      <c r="F906" s="5" t="str">
        <f t="shared" si="56"/>
        <v/>
      </c>
      <c r="G906" s="16" t="str">
        <f>IF(D906&lt;&gt;"",D906-VLOOKUP(A906,Consolidado!$B$1:$L$1500,8,FALSE),"")</f>
        <v/>
      </c>
      <c r="H906" s="31"/>
      <c r="I906" s="32">
        <f t="shared" si="57"/>
        <v>0</v>
      </c>
      <c r="J906" s="33" t="str">
        <f t="shared" si="58"/>
        <v/>
      </c>
      <c r="K906" s="2"/>
      <c r="L906" s="15"/>
      <c r="M906" s="34">
        <f t="shared" si="59"/>
        <v>0</v>
      </c>
    </row>
    <row r="907" spans="1:13" x14ac:dyDescent="0.25">
      <c r="A907" s="31"/>
      <c r="B907" s="16" t="str">
        <f>IFERROR(VLOOKUP(A907,Consolidado!$B$1:$L$1500,2,FALSE),"")</f>
        <v/>
      </c>
      <c r="C907" s="16">
        <f>IFERROR(SUMIF(Consolidado!$B$1:$B$1500,VLOOKUP(RegistroPago!A907,Consolidado!$B$1:$L$1500,1,FALSE),Consolidado!$G$1:$G$1500),"")</f>
        <v>0</v>
      </c>
      <c r="D907" s="3"/>
      <c r="E907" s="3"/>
      <c r="F907" s="5" t="str">
        <f t="shared" si="56"/>
        <v/>
      </c>
      <c r="G907" s="16" t="str">
        <f>IF(D907&lt;&gt;"",D907-VLOOKUP(A907,Consolidado!$B$1:$L$1500,8,FALSE),"")</f>
        <v/>
      </c>
      <c r="H907" s="31"/>
      <c r="I907" s="32">
        <f t="shared" si="57"/>
        <v>0</v>
      </c>
      <c r="J907" s="33" t="str">
        <f t="shared" si="58"/>
        <v/>
      </c>
      <c r="K907" s="2"/>
      <c r="L907" s="15"/>
      <c r="M907" s="34">
        <f t="shared" si="59"/>
        <v>0</v>
      </c>
    </row>
    <row r="908" spans="1:13" x14ac:dyDescent="0.25">
      <c r="A908" s="31"/>
      <c r="B908" s="16" t="str">
        <f>IFERROR(VLOOKUP(A908,Consolidado!$B$1:$L$1500,2,FALSE),"")</f>
        <v/>
      </c>
      <c r="C908" s="16">
        <f>IFERROR(SUMIF(Consolidado!$B$1:$B$1500,VLOOKUP(RegistroPago!A908,Consolidado!$B$1:$L$1500,1,FALSE),Consolidado!$G$1:$G$1500),"")</f>
        <v>0</v>
      </c>
      <c r="D908" s="3"/>
      <c r="E908" s="3"/>
      <c r="F908" s="5" t="str">
        <f t="shared" si="56"/>
        <v/>
      </c>
      <c r="G908" s="16" t="str">
        <f>IF(D908&lt;&gt;"",D908-VLOOKUP(A908,Consolidado!$B$1:$L$1500,8,FALSE),"")</f>
        <v/>
      </c>
      <c r="H908" s="31"/>
      <c r="I908" s="32">
        <f t="shared" si="57"/>
        <v>0</v>
      </c>
      <c r="J908" s="33" t="str">
        <f t="shared" si="58"/>
        <v/>
      </c>
      <c r="K908" s="2"/>
      <c r="L908" s="15"/>
      <c r="M908" s="34">
        <f t="shared" si="59"/>
        <v>0</v>
      </c>
    </row>
    <row r="909" spans="1:13" x14ac:dyDescent="0.25">
      <c r="A909" s="31"/>
      <c r="B909" s="16" t="str">
        <f>IFERROR(VLOOKUP(A909,Consolidado!$B$1:$L$1500,2,FALSE),"")</f>
        <v/>
      </c>
      <c r="C909" s="16">
        <f>IFERROR(SUMIF(Consolidado!$B$1:$B$1500,VLOOKUP(RegistroPago!A909,Consolidado!$B$1:$L$1500,1,FALSE),Consolidado!$G$1:$G$1500),"")</f>
        <v>0</v>
      </c>
      <c r="D909" s="3"/>
      <c r="E909" s="3"/>
      <c r="F909" s="5" t="str">
        <f t="shared" si="56"/>
        <v/>
      </c>
      <c r="G909" s="16" t="str">
        <f>IF(D909&lt;&gt;"",D909-VLOOKUP(A909,Consolidado!$B$1:$L$1500,8,FALSE),"")</f>
        <v/>
      </c>
      <c r="H909" s="31"/>
      <c r="I909" s="32">
        <f t="shared" si="57"/>
        <v>0</v>
      </c>
      <c r="J909" s="33" t="str">
        <f t="shared" si="58"/>
        <v/>
      </c>
      <c r="K909" s="2"/>
      <c r="L909" s="15"/>
      <c r="M909" s="34">
        <f t="shared" si="59"/>
        <v>0</v>
      </c>
    </row>
    <row r="910" spans="1:13" x14ac:dyDescent="0.25">
      <c r="A910" s="31"/>
      <c r="B910" s="16" t="str">
        <f>IFERROR(VLOOKUP(A910,Consolidado!$B$1:$L$1500,2,FALSE),"")</f>
        <v/>
      </c>
      <c r="C910" s="16">
        <f>IFERROR(SUMIF(Consolidado!$B$1:$B$1500,VLOOKUP(RegistroPago!A910,Consolidado!$B$1:$L$1500,1,FALSE),Consolidado!$G$1:$G$1500),"")</f>
        <v>0</v>
      </c>
      <c r="D910" s="3"/>
      <c r="E910" s="3"/>
      <c r="F910" s="5" t="str">
        <f t="shared" si="56"/>
        <v/>
      </c>
      <c r="G910" s="16" t="str">
        <f>IF(D910&lt;&gt;"",D910-VLOOKUP(A910,Consolidado!$B$1:$L$1500,8,FALSE),"")</f>
        <v/>
      </c>
      <c r="H910" s="31"/>
      <c r="I910" s="32">
        <f t="shared" si="57"/>
        <v>0</v>
      </c>
      <c r="J910" s="33" t="str">
        <f t="shared" si="58"/>
        <v/>
      </c>
      <c r="K910" s="2"/>
      <c r="L910" s="15"/>
      <c r="M910" s="34">
        <f t="shared" si="59"/>
        <v>0</v>
      </c>
    </row>
    <row r="911" spans="1:13" x14ac:dyDescent="0.25">
      <c r="A911" s="31"/>
      <c r="B911" s="16" t="str">
        <f>IFERROR(VLOOKUP(A911,Consolidado!$B$1:$L$1500,2,FALSE),"")</f>
        <v/>
      </c>
      <c r="C911" s="16">
        <f>IFERROR(SUMIF(Consolidado!$B$1:$B$1500,VLOOKUP(RegistroPago!A911,Consolidado!$B$1:$L$1500,1,FALSE),Consolidado!$G$1:$G$1500),"")</f>
        <v>0</v>
      </c>
      <c r="D911" s="3"/>
      <c r="E911" s="3"/>
      <c r="F911" s="5" t="str">
        <f t="shared" si="56"/>
        <v/>
      </c>
      <c r="G911" s="16" t="str">
        <f>IF(D911&lt;&gt;"",D911-VLOOKUP(A911,Consolidado!$B$1:$L$1500,8,FALSE),"")</f>
        <v/>
      </c>
      <c r="H911" s="31"/>
      <c r="I911" s="32">
        <f t="shared" si="57"/>
        <v>0</v>
      </c>
      <c r="J911" s="33" t="str">
        <f t="shared" si="58"/>
        <v/>
      </c>
      <c r="K911" s="2"/>
      <c r="L911" s="15"/>
      <c r="M911" s="34">
        <f t="shared" si="59"/>
        <v>0</v>
      </c>
    </row>
    <row r="912" spans="1:13" x14ac:dyDescent="0.25">
      <c r="A912" s="31"/>
      <c r="B912" s="16" t="str">
        <f>IFERROR(VLOOKUP(A912,Consolidado!$B$1:$L$1500,2,FALSE),"")</f>
        <v/>
      </c>
      <c r="C912" s="16">
        <f>IFERROR(SUMIF(Consolidado!$B$1:$B$1500,VLOOKUP(RegistroPago!A912,Consolidado!$B$1:$L$1500,1,FALSE),Consolidado!$G$1:$G$1500),"")</f>
        <v>0</v>
      </c>
      <c r="D912" s="3"/>
      <c r="E912" s="3"/>
      <c r="F912" s="5" t="str">
        <f t="shared" si="56"/>
        <v/>
      </c>
      <c r="G912" s="16" t="str">
        <f>IF(D912&lt;&gt;"",D912-VLOOKUP(A912,Consolidado!$B$1:$L$1500,8,FALSE),"")</f>
        <v/>
      </c>
      <c r="H912" s="31"/>
      <c r="I912" s="32">
        <f t="shared" si="57"/>
        <v>0</v>
      </c>
      <c r="J912" s="33" t="str">
        <f t="shared" si="58"/>
        <v/>
      </c>
      <c r="K912" s="2"/>
      <c r="L912" s="15"/>
      <c r="M912" s="34">
        <f t="shared" si="59"/>
        <v>0</v>
      </c>
    </row>
    <row r="913" spans="1:13" x14ac:dyDescent="0.25">
      <c r="A913" s="31"/>
      <c r="B913" s="16" t="str">
        <f>IFERROR(VLOOKUP(A913,Consolidado!$B$1:$L$1500,2,FALSE),"")</f>
        <v/>
      </c>
      <c r="C913" s="16">
        <f>IFERROR(SUMIF(Consolidado!$B$1:$B$1500,VLOOKUP(RegistroPago!A913,Consolidado!$B$1:$L$1500,1,FALSE),Consolidado!$G$1:$G$1500),"")</f>
        <v>0</v>
      </c>
      <c r="D913" s="3"/>
      <c r="E913" s="3"/>
      <c r="F913" s="5" t="str">
        <f t="shared" si="56"/>
        <v/>
      </c>
      <c r="G913" s="16" t="str">
        <f>IF(D913&lt;&gt;"",D913-VLOOKUP(A913,Consolidado!$B$1:$L$1500,8,FALSE),"")</f>
        <v/>
      </c>
      <c r="H913" s="31"/>
      <c r="I913" s="32">
        <f t="shared" si="57"/>
        <v>0</v>
      </c>
      <c r="J913" s="33" t="str">
        <f t="shared" si="58"/>
        <v/>
      </c>
      <c r="K913" s="2"/>
      <c r="L913" s="15"/>
      <c r="M913" s="34">
        <f t="shared" si="59"/>
        <v>0</v>
      </c>
    </row>
    <row r="914" spans="1:13" x14ac:dyDescent="0.25">
      <c r="A914" s="31"/>
      <c r="B914" s="16" t="str">
        <f>IFERROR(VLOOKUP(A914,Consolidado!$B$1:$L$1500,2,FALSE),"")</f>
        <v/>
      </c>
      <c r="C914" s="16">
        <f>IFERROR(SUMIF(Consolidado!$B$1:$B$1500,VLOOKUP(RegistroPago!A914,Consolidado!$B$1:$L$1500,1,FALSE),Consolidado!$G$1:$G$1500),"")</f>
        <v>0</v>
      </c>
      <c r="D914" s="3"/>
      <c r="E914" s="3"/>
      <c r="F914" s="5" t="str">
        <f t="shared" si="56"/>
        <v/>
      </c>
      <c r="G914" s="16" t="str">
        <f>IF(D914&lt;&gt;"",D914-VLOOKUP(A914,Consolidado!$B$1:$L$1500,8,FALSE),"")</f>
        <v/>
      </c>
      <c r="H914" s="31"/>
      <c r="I914" s="32">
        <f t="shared" si="57"/>
        <v>0</v>
      </c>
      <c r="J914" s="33" t="str">
        <f t="shared" si="58"/>
        <v/>
      </c>
      <c r="K914" s="2"/>
      <c r="L914" s="15"/>
      <c r="M914" s="34">
        <f t="shared" si="59"/>
        <v>0</v>
      </c>
    </row>
    <row r="915" spans="1:13" x14ac:dyDescent="0.25">
      <c r="A915" s="31"/>
      <c r="B915" s="16" t="str">
        <f>IFERROR(VLOOKUP(A915,Consolidado!$B$1:$L$1500,2,FALSE),"")</f>
        <v/>
      </c>
      <c r="C915" s="16">
        <f>IFERROR(SUMIF(Consolidado!$B$1:$B$1500,VLOOKUP(RegistroPago!A915,Consolidado!$B$1:$L$1500,1,FALSE),Consolidado!$G$1:$G$1500),"")</f>
        <v>0</v>
      </c>
      <c r="D915" s="3"/>
      <c r="E915" s="3"/>
      <c r="F915" s="5" t="str">
        <f t="shared" si="56"/>
        <v/>
      </c>
      <c r="G915" s="16" t="str">
        <f>IF(D915&lt;&gt;"",D915-VLOOKUP(A915,Consolidado!$B$1:$L$1500,8,FALSE),"")</f>
        <v/>
      </c>
      <c r="H915" s="31"/>
      <c r="I915" s="32">
        <f t="shared" si="57"/>
        <v>0</v>
      </c>
      <c r="J915" s="33" t="str">
        <f t="shared" si="58"/>
        <v/>
      </c>
      <c r="K915" s="2"/>
      <c r="L915" s="15"/>
      <c r="M915" s="34">
        <f t="shared" si="59"/>
        <v>0</v>
      </c>
    </row>
    <row r="916" spans="1:13" x14ac:dyDescent="0.25">
      <c r="A916" s="31"/>
      <c r="B916" s="16" t="str">
        <f>IFERROR(VLOOKUP(A916,Consolidado!$B$1:$L$1500,2,FALSE),"")</f>
        <v/>
      </c>
      <c r="C916" s="16">
        <f>IFERROR(SUMIF(Consolidado!$B$1:$B$1500,VLOOKUP(RegistroPago!A916,Consolidado!$B$1:$L$1500,1,FALSE),Consolidado!$G$1:$G$1500),"")</f>
        <v>0</v>
      </c>
      <c r="D916" s="3"/>
      <c r="E916" s="3"/>
      <c r="F916" s="5" t="str">
        <f t="shared" si="56"/>
        <v/>
      </c>
      <c r="G916" s="16" t="str">
        <f>IF(D916&lt;&gt;"",D916-VLOOKUP(A916,Consolidado!$B$1:$L$1500,8,FALSE),"")</f>
        <v/>
      </c>
      <c r="H916" s="31"/>
      <c r="I916" s="32">
        <f t="shared" si="57"/>
        <v>0</v>
      </c>
      <c r="J916" s="33" t="str">
        <f t="shared" si="58"/>
        <v/>
      </c>
      <c r="K916" s="2"/>
      <c r="L916" s="15"/>
      <c r="M916" s="34">
        <f t="shared" si="59"/>
        <v>0</v>
      </c>
    </row>
    <row r="917" spans="1:13" x14ac:dyDescent="0.25">
      <c r="A917" s="31"/>
      <c r="B917" s="16" t="str">
        <f>IFERROR(VLOOKUP(A917,Consolidado!$B$1:$L$1500,2,FALSE),"")</f>
        <v/>
      </c>
      <c r="C917" s="16">
        <f>IFERROR(SUMIF(Consolidado!$B$1:$B$1500,VLOOKUP(RegistroPago!A917,Consolidado!$B$1:$L$1500,1,FALSE),Consolidado!$G$1:$G$1500),"")</f>
        <v>0</v>
      </c>
      <c r="D917" s="3"/>
      <c r="E917" s="3"/>
      <c r="F917" s="5" t="str">
        <f t="shared" si="56"/>
        <v/>
      </c>
      <c r="G917" s="16" t="str">
        <f>IF(D917&lt;&gt;"",D917-VLOOKUP(A917,Consolidado!$B$1:$L$1500,8,FALSE),"")</f>
        <v/>
      </c>
      <c r="H917" s="31"/>
      <c r="I917" s="32">
        <f t="shared" si="57"/>
        <v>0</v>
      </c>
      <c r="J917" s="33" t="str">
        <f t="shared" si="58"/>
        <v/>
      </c>
      <c r="K917" s="2"/>
      <c r="L917" s="15"/>
      <c r="M917" s="34">
        <f t="shared" si="59"/>
        <v>0</v>
      </c>
    </row>
    <row r="918" spans="1:13" x14ac:dyDescent="0.25">
      <c r="A918" s="31"/>
      <c r="B918" s="16" t="str">
        <f>IFERROR(VLOOKUP(A918,Consolidado!$B$1:$L$1500,2,FALSE),"")</f>
        <v/>
      </c>
      <c r="C918" s="16">
        <f>IFERROR(SUMIF(Consolidado!$B$1:$B$1500,VLOOKUP(RegistroPago!A918,Consolidado!$B$1:$L$1500,1,FALSE),Consolidado!$G$1:$G$1500),"")</f>
        <v>0</v>
      </c>
      <c r="D918" s="3"/>
      <c r="E918" s="3"/>
      <c r="F918" s="5" t="str">
        <f t="shared" si="56"/>
        <v/>
      </c>
      <c r="G918" s="16" t="str">
        <f>IF(D918&lt;&gt;"",D918-VLOOKUP(A918,Consolidado!$B$1:$L$1500,8,FALSE),"")</f>
        <v/>
      </c>
      <c r="H918" s="31"/>
      <c r="I918" s="32">
        <f t="shared" si="57"/>
        <v>0</v>
      </c>
      <c r="J918" s="33" t="str">
        <f t="shared" si="58"/>
        <v/>
      </c>
      <c r="K918" s="2"/>
      <c r="L918" s="15"/>
      <c r="M918" s="34">
        <f t="shared" si="59"/>
        <v>0</v>
      </c>
    </row>
    <row r="919" spans="1:13" x14ac:dyDescent="0.25">
      <c r="A919" s="31"/>
      <c r="B919" s="16" t="str">
        <f>IFERROR(VLOOKUP(A919,Consolidado!$B$1:$L$1500,2,FALSE),"")</f>
        <v/>
      </c>
      <c r="C919" s="16">
        <f>IFERROR(SUMIF(Consolidado!$B$1:$B$1500,VLOOKUP(RegistroPago!A919,Consolidado!$B$1:$L$1500,1,FALSE),Consolidado!$G$1:$G$1500),"")</f>
        <v>0</v>
      </c>
      <c r="D919" s="3"/>
      <c r="E919" s="3"/>
      <c r="F919" s="5" t="str">
        <f t="shared" si="56"/>
        <v/>
      </c>
      <c r="G919" s="16" t="str">
        <f>IF(D919&lt;&gt;"",D919-VLOOKUP(A919,Consolidado!$B$1:$L$1500,8,FALSE),"")</f>
        <v/>
      </c>
      <c r="H919" s="31"/>
      <c r="I919" s="32">
        <f t="shared" si="57"/>
        <v>0</v>
      </c>
      <c r="J919" s="33" t="str">
        <f t="shared" si="58"/>
        <v/>
      </c>
      <c r="K919" s="2"/>
      <c r="L919" s="15"/>
      <c r="M919" s="34">
        <f t="shared" si="59"/>
        <v>0</v>
      </c>
    </row>
    <row r="920" spans="1:13" x14ac:dyDescent="0.25">
      <c r="A920" s="31"/>
      <c r="B920" s="16" t="str">
        <f>IFERROR(VLOOKUP(A920,Consolidado!$B$1:$L$1500,2,FALSE),"")</f>
        <v/>
      </c>
      <c r="C920" s="16">
        <f>IFERROR(SUMIF(Consolidado!$B$1:$B$1500,VLOOKUP(RegistroPago!A920,Consolidado!$B$1:$L$1500,1,FALSE),Consolidado!$G$1:$G$1500),"")</f>
        <v>0</v>
      </c>
      <c r="D920" s="3"/>
      <c r="E920" s="3"/>
      <c r="F920" s="5" t="str">
        <f t="shared" si="56"/>
        <v/>
      </c>
      <c r="G920" s="16" t="str">
        <f>IF(D920&lt;&gt;"",D920-VLOOKUP(A920,Consolidado!$B$1:$L$1500,8,FALSE),"")</f>
        <v/>
      </c>
      <c r="H920" s="31"/>
      <c r="I920" s="32">
        <f t="shared" si="57"/>
        <v>0</v>
      </c>
      <c r="J920" s="33" t="str">
        <f t="shared" si="58"/>
        <v/>
      </c>
      <c r="K920" s="2"/>
      <c r="L920" s="15"/>
      <c r="M920" s="34">
        <f t="shared" si="59"/>
        <v>0</v>
      </c>
    </row>
    <row r="921" spans="1:13" x14ac:dyDescent="0.25">
      <c r="A921" s="31"/>
      <c r="B921" s="16" t="str">
        <f>IFERROR(VLOOKUP(A921,Consolidado!$B$1:$L$1500,2,FALSE),"")</f>
        <v/>
      </c>
      <c r="C921" s="16">
        <f>IFERROR(SUMIF(Consolidado!$B$1:$B$1500,VLOOKUP(RegistroPago!A921,Consolidado!$B$1:$L$1500,1,FALSE),Consolidado!$G$1:$G$1500),"")</f>
        <v>0</v>
      </c>
      <c r="D921" s="3"/>
      <c r="E921" s="3"/>
      <c r="F921" s="5" t="str">
        <f t="shared" si="56"/>
        <v/>
      </c>
      <c r="G921" s="16" t="str">
        <f>IF(D921&lt;&gt;"",D921-VLOOKUP(A921,Consolidado!$B$1:$L$1500,8,FALSE),"")</f>
        <v/>
      </c>
      <c r="H921" s="31"/>
      <c r="I921" s="32">
        <f t="shared" si="57"/>
        <v>0</v>
      </c>
      <c r="J921" s="33" t="str">
        <f t="shared" si="58"/>
        <v/>
      </c>
      <c r="K921" s="2"/>
      <c r="L921" s="15"/>
      <c r="M921" s="34">
        <f t="shared" si="59"/>
        <v>0</v>
      </c>
    </row>
    <row r="922" spans="1:13" x14ac:dyDescent="0.25">
      <c r="A922" s="31"/>
      <c r="B922" s="16" t="str">
        <f>IFERROR(VLOOKUP(A922,Consolidado!$B$1:$L$1500,2,FALSE),"")</f>
        <v/>
      </c>
      <c r="C922" s="16">
        <f>IFERROR(SUMIF(Consolidado!$B$1:$B$1500,VLOOKUP(RegistroPago!A922,Consolidado!$B$1:$L$1500,1,FALSE),Consolidado!$G$1:$G$1500),"")</f>
        <v>0</v>
      </c>
      <c r="D922" s="3"/>
      <c r="E922" s="3"/>
      <c r="F922" s="5" t="str">
        <f t="shared" si="56"/>
        <v/>
      </c>
      <c r="G922" s="16" t="str">
        <f>IF(D922&lt;&gt;"",D922-VLOOKUP(A922,Consolidado!$B$1:$L$1500,8,FALSE),"")</f>
        <v/>
      </c>
      <c r="H922" s="31"/>
      <c r="I922" s="32">
        <f t="shared" si="57"/>
        <v>0</v>
      </c>
      <c r="J922" s="33" t="str">
        <f t="shared" si="58"/>
        <v/>
      </c>
      <c r="K922" s="2"/>
      <c r="L922" s="15"/>
      <c r="M922" s="34">
        <f t="shared" si="59"/>
        <v>0</v>
      </c>
    </row>
    <row r="923" spans="1:13" x14ac:dyDescent="0.25">
      <c r="A923" s="31"/>
      <c r="B923" s="16" t="str">
        <f>IFERROR(VLOOKUP(A923,Consolidado!$B$1:$L$1500,2,FALSE),"")</f>
        <v/>
      </c>
      <c r="C923" s="16">
        <f>IFERROR(SUMIF(Consolidado!$B$1:$B$1500,VLOOKUP(RegistroPago!A923,Consolidado!$B$1:$L$1500,1,FALSE),Consolidado!$G$1:$G$1500),"")</f>
        <v>0</v>
      </c>
      <c r="D923" s="3"/>
      <c r="E923" s="3"/>
      <c r="F923" s="5" t="str">
        <f t="shared" si="56"/>
        <v/>
      </c>
      <c r="G923" s="16" t="str">
        <f>IF(D923&lt;&gt;"",D923-VLOOKUP(A923,Consolidado!$B$1:$L$1500,8,FALSE),"")</f>
        <v/>
      </c>
      <c r="H923" s="31"/>
      <c r="I923" s="32">
        <f t="shared" si="57"/>
        <v>0</v>
      </c>
      <c r="J923" s="33" t="str">
        <f t="shared" si="58"/>
        <v/>
      </c>
      <c r="K923" s="2"/>
      <c r="L923" s="15"/>
      <c r="M923" s="34">
        <f t="shared" si="59"/>
        <v>0</v>
      </c>
    </row>
    <row r="924" spans="1:13" x14ac:dyDescent="0.25">
      <c r="A924" s="31"/>
      <c r="B924" s="16" t="str">
        <f>IFERROR(VLOOKUP(A924,Consolidado!$B$1:$L$1500,2,FALSE),"")</f>
        <v/>
      </c>
      <c r="C924" s="16">
        <f>IFERROR(SUMIF(Consolidado!$B$1:$B$1500,VLOOKUP(RegistroPago!A924,Consolidado!$B$1:$L$1500,1,FALSE),Consolidado!$G$1:$G$1500),"")</f>
        <v>0</v>
      </c>
      <c r="D924" s="3"/>
      <c r="E924" s="3"/>
      <c r="F924" s="5" t="str">
        <f t="shared" si="56"/>
        <v/>
      </c>
      <c r="G924" s="16" t="str">
        <f>IF(D924&lt;&gt;"",D924-VLOOKUP(A924,Consolidado!$B$1:$L$1500,8,FALSE),"")</f>
        <v/>
      </c>
      <c r="H924" s="31"/>
      <c r="I924" s="32">
        <f t="shared" si="57"/>
        <v>0</v>
      </c>
      <c r="J924" s="33" t="str">
        <f t="shared" si="58"/>
        <v/>
      </c>
      <c r="K924" s="2"/>
      <c r="L924" s="15"/>
      <c r="M924" s="34">
        <f t="shared" si="59"/>
        <v>0</v>
      </c>
    </row>
    <row r="925" spans="1:13" x14ac:dyDescent="0.25">
      <c r="A925" s="31"/>
      <c r="B925" s="16" t="str">
        <f>IFERROR(VLOOKUP(A925,Consolidado!$B$1:$L$1500,2,FALSE),"")</f>
        <v/>
      </c>
      <c r="C925" s="16">
        <f>IFERROR(SUMIF(Consolidado!$B$1:$B$1500,VLOOKUP(RegistroPago!A925,Consolidado!$B$1:$L$1500,1,FALSE),Consolidado!$G$1:$G$1500),"")</f>
        <v>0</v>
      </c>
      <c r="D925" s="3"/>
      <c r="E925" s="3"/>
      <c r="F925" s="5" t="str">
        <f t="shared" si="56"/>
        <v/>
      </c>
      <c r="G925" s="16" t="str">
        <f>IF(D925&lt;&gt;"",D925-VLOOKUP(A925,Consolidado!$B$1:$L$1500,8,FALSE),"")</f>
        <v/>
      </c>
      <c r="H925" s="31"/>
      <c r="I925" s="32">
        <f t="shared" si="57"/>
        <v>0</v>
      </c>
      <c r="J925" s="33" t="str">
        <f t="shared" si="58"/>
        <v/>
      </c>
      <c r="K925" s="2"/>
      <c r="L925" s="15"/>
      <c r="M925" s="34">
        <f t="shared" si="59"/>
        <v>0</v>
      </c>
    </row>
    <row r="926" spans="1:13" x14ac:dyDescent="0.25">
      <c r="A926" s="31"/>
      <c r="B926" s="16" t="str">
        <f>IFERROR(VLOOKUP(A926,Consolidado!$B$1:$L$1500,2,FALSE),"")</f>
        <v/>
      </c>
      <c r="C926" s="16">
        <f>IFERROR(SUMIF(Consolidado!$B$1:$B$1500,VLOOKUP(RegistroPago!A926,Consolidado!$B$1:$L$1500,1,FALSE),Consolidado!$G$1:$G$1500),"")</f>
        <v>0</v>
      </c>
      <c r="D926" s="3"/>
      <c r="E926" s="3"/>
      <c r="F926" s="5" t="str">
        <f t="shared" si="56"/>
        <v/>
      </c>
      <c r="G926" s="16" t="str">
        <f>IF(D926&lt;&gt;"",D926-VLOOKUP(A926,Consolidado!$B$1:$L$1500,8,FALSE),"")</f>
        <v/>
      </c>
      <c r="H926" s="31"/>
      <c r="I926" s="32">
        <f t="shared" si="57"/>
        <v>0</v>
      </c>
      <c r="J926" s="33" t="str">
        <f t="shared" si="58"/>
        <v/>
      </c>
      <c r="K926" s="2"/>
      <c r="L926" s="15"/>
      <c r="M926" s="34">
        <f t="shared" si="59"/>
        <v>0</v>
      </c>
    </row>
    <row r="927" spans="1:13" x14ac:dyDescent="0.25">
      <c r="A927" s="31"/>
      <c r="B927" s="16" t="str">
        <f>IFERROR(VLOOKUP(A927,Consolidado!$B$1:$L$1500,2,FALSE),"")</f>
        <v/>
      </c>
      <c r="C927" s="16">
        <f>IFERROR(SUMIF(Consolidado!$B$1:$B$1500,VLOOKUP(RegistroPago!A927,Consolidado!$B$1:$L$1500,1,FALSE),Consolidado!$G$1:$G$1500),"")</f>
        <v>0</v>
      </c>
      <c r="D927" s="3"/>
      <c r="E927" s="3"/>
      <c r="F927" s="5" t="str">
        <f t="shared" si="56"/>
        <v/>
      </c>
      <c r="G927" s="16" t="str">
        <f>IF(D927&lt;&gt;"",D927-VLOOKUP(A927,Consolidado!$B$1:$L$1500,8,FALSE),"")</f>
        <v/>
      </c>
      <c r="H927" s="31"/>
      <c r="I927" s="32">
        <f t="shared" si="57"/>
        <v>0</v>
      </c>
      <c r="J927" s="33" t="str">
        <f t="shared" si="58"/>
        <v/>
      </c>
      <c r="K927" s="2"/>
      <c r="L927" s="15"/>
      <c r="M927" s="34">
        <f t="shared" si="59"/>
        <v>0</v>
      </c>
    </row>
    <row r="928" spans="1:13" x14ac:dyDescent="0.25">
      <c r="A928" s="31"/>
      <c r="B928" s="16" t="str">
        <f>IFERROR(VLOOKUP(A928,Consolidado!$B$1:$L$1500,2,FALSE),"")</f>
        <v/>
      </c>
      <c r="C928" s="16">
        <f>IFERROR(SUMIF(Consolidado!$B$1:$B$1500,VLOOKUP(RegistroPago!A928,Consolidado!$B$1:$L$1500,1,FALSE),Consolidado!$G$1:$G$1500),"")</f>
        <v>0</v>
      </c>
      <c r="D928" s="3"/>
      <c r="E928" s="3"/>
      <c r="F928" s="5" t="str">
        <f t="shared" si="56"/>
        <v/>
      </c>
      <c r="G928" s="16" t="str">
        <f>IF(D928&lt;&gt;"",D928-VLOOKUP(A928,Consolidado!$B$1:$L$1500,8,FALSE),"")</f>
        <v/>
      </c>
      <c r="H928" s="31"/>
      <c r="I928" s="32">
        <f t="shared" si="57"/>
        <v>0</v>
      </c>
      <c r="J928" s="33" t="str">
        <f t="shared" si="58"/>
        <v/>
      </c>
      <c r="K928" s="2"/>
      <c r="L928" s="15"/>
      <c r="M928" s="34">
        <f t="shared" si="59"/>
        <v>0</v>
      </c>
    </row>
    <row r="929" spans="1:13" x14ac:dyDescent="0.25">
      <c r="A929" s="31"/>
      <c r="B929" s="16" t="str">
        <f>IFERROR(VLOOKUP(A929,Consolidado!$B$1:$L$1500,2,FALSE),"")</f>
        <v/>
      </c>
      <c r="C929" s="16">
        <f>IFERROR(SUMIF(Consolidado!$B$1:$B$1500,VLOOKUP(RegistroPago!A929,Consolidado!$B$1:$L$1500,1,FALSE),Consolidado!$G$1:$G$1500),"")</f>
        <v>0</v>
      </c>
      <c r="D929" s="3"/>
      <c r="E929" s="3"/>
      <c r="F929" s="5" t="str">
        <f t="shared" si="56"/>
        <v/>
      </c>
      <c r="G929" s="16" t="str">
        <f>IF(D929&lt;&gt;"",D929-VLOOKUP(A929,Consolidado!$B$1:$L$1500,8,FALSE),"")</f>
        <v/>
      </c>
      <c r="H929" s="31"/>
      <c r="I929" s="32">
        <f t="shared" si="57"/>
        <v>0</v>
      </c>
      <c r="J929" s="33" t="str">
        <f t="shared" si="58"/>
        <v/>
      </c>
      <c r="K929" s="2"/>
      <c r="L929" s="15"/>
      <c r="M929" s="34">
        <f t="shared" si="59"/>
        <v>0</v>
      </c>
    </row>
    <row r="930" spans="1:13" x14ac:dyDescent="0.25">
      <c r="A930" s="31"/>
      <c r="B930" s="16" t="str">
        <f>IFERROR(VLOOKUP(A930,Consolidado!$B$1:$L$1500,2,FALSE),"")</f>
        <v/>
      </c>
      <c r="C930" s="16">
        <f>IFERROR(SUMIF(Consolidado!$B$1:$B$1500,VLOOKUP(RegistroPago!A930,Consolidado!$B$1:$L$1500,1,FALSE),Consolidado!$G$1:$G$1500),"")</f>
        <v>0</v>
      </c>
      <c r="D930" s="3"/>
      <c r="E930" s="3"/>
      <c r="F930" s="5" t="str">
        <f t="shared" si="56"/>
        <v/>
      </c>
      <c r="G930" s="16" t="str">
        <f>IF(D930&lt;&gt;"",D930-VLOOKUP(A930,Consolidado!$B$1:$L$1500,8,FALSE),"")</f>
        <v/>
      </c>
      <c r="H930" s="31"/>
      <c r="I930" s="32">
        <f t="shared" si="57"/>
        <v>0</v>
      </c>
      <c r="J930" s="33" t="str">
        <f t="shared" si="58"/>
        <v/>
      </c>
      <c r="K930" s="2"/>
      <c r="L930" s="15"/>
      <c r="M930" s="34">
        <f t="shared" si="59"/>
        <v>0</v>
      </c>
    </row>
    <row r="931" spans="1:13" x14ac:dyDescent="0.25">
      <c r="A931" s="31"/>
      <c r="B931" s="16" t="str">
        <f>IFERROR(VLOOKUP(A931,Consolidado!$B$1:$L$1500,2,FALSE),"")</f>
        <v/>
      </c>
      <c r="C931" s="16">
        <f>IFERROR(SUMIF(Consolidado!$B$1:$B$1500,VLOOKUP(RegistroPago!A931,Consolidado!$B$1:$L$1500,1,FALSE),Consolidado!$G$1:$G$1500),"")</f>
        <v>0</v>
      </c>
      <c r="D931" s="3"/>
      <c r="E931" s="3"/>
      <c r="F931" s="5" t="str">
        <f t="shared" si="56"/>
        <v/>
      </c>
      <c r="G931" s="16" t="str">
        <f>IF(D931&lt;&gt;"",D931-VLOOKUP(A931,Consolidado!$B$1:$L$1500,8,FALSE),"")</f>
        <v/>
      </c>
      <c r="H931" s="31"/>
      <c r="I931" s="32">
        <f t="shared" si="57"/>
        <v>0</v>
      </c>
      <c r="J931" s="33" t="str">
        <f t="shared" si="58"/>
        <v/>
      </c>
      <c r="K931" s="2"/>
      <c r="L931" s="15"/>
      <c r="M931" s="34">
        <f t="shared" si="59"/>
        <v>0</v>
      </c>
    </row>
    <row r="932" spans="1:13" x14ac:dyDescent="0.25">
      <c r="A932" s="31"/>
      <c r="B932" s="16" t="str">
        <f>IFERROR(VLOOKUP(A932,Consolidado!$B$1:$L$1500,2,FALSE),"")</f>
        <v/>
      </c>
      <c r="C932" s="16">
        <f>IFERROR(SUMIF(Consolidado!$B$1:$B$1500,VLOOKUP(RegistroPago!A932,Consolidado!$B$1:$L$1500,1,FALSE),Consolidado!$G$1:$G$1500),"")</f>
        <v>0</v>
      </c>
      <c r="D932" s="3"/>
      <c r="E932" s="3"/>
      <c r="F932" s="5" t="str">
        <f t="shared" si="56"/>
        <v/>
      </c>
      <c r="G932" s="16" t="str">
        <f>IF(D932&lt;&gt;"",D932-VLOOKUP(A932,Consolidado!$B$1:$L$1500,8,FALSE),"")</f>
        <v/>
      </c>
      <c r="H932" s="31"/>
      <c r="I932" s="32">
        <f t="shared" si="57"/>
        <v>0</v>
      </c>
      <c r="J932" s="33" t="str">
        <f t="shared" si="58"/>
        <v/>
      </c>
      <c r="K932" s="2"/>
      <c r="L932" s="15"/>
      <c r="M932" s="34">
        <f t="shared" si="59"/>
        <v>0</v>
      </c>
    </row>
    <row r="933" spans="1:13" x14ac:dyDescent="0.25">
      <c r="A933" s="31"/>
      <c r="B933" s="16" t="str">
        <f>IFERROR(VLOOKUP(A933,Consolidado!$B$1:$L$1500,2,FALSE),"")</f>
        <v/>
      </c>
      <c r="C933" s="16">
        <f>IFERROR(SUMIF(Consolidado!$B$1:$B$1500,VLOOKUP(RegistroPago!A933,Consolidado!$B$1:$L$1500,1,FALSE),Consolidado!$G$1:$G$1500),"")</f>
        <v>0</v>
      </c>
      <c r="D933" s="3"/>
      <c r="E933" s="3"/>
      <c r="F933" s="5" t="str">
        <f t="shared" si="56"/>
        <v/>
      </c>
      <c r="G933" s="16" t="str">
        <f>IF(D933&lt;&gt;"",D933-VLOOKUP(A933,Consolidado!$B$1:$L$1500,8,FALSE),"")</f>
        <v/>
      </c>
      <c r="H933" s="31"/>
      <c r="I933" s="32">
        <f t="shared" si="57"/>
        <v>0</v>
      </c>
      <c r="J933" s="33" t="str">
        <f t="shared" si="58"/>
        <v/>
      </c>
      <c r="K933" s="2"/>
      <c r="L933" s="15"/>
      <c r="M933" s="34">
        <f t="shared" si="59"/>
        <v>0</v>
      </c>
    </row>
    <row r="934" spans="1:13" x14ac:dyDescent="0.25">
      <c r="A934" s="31"/>
      <c r="B934" s="16" t="str">
        <f>IFERROR(VLOOKUP(A934,Consolidado!$B$1:$L$1500,2,FALSE),"")</f>
        <v/>
      </c>
      <c r="C934" s="16">
        <f>IFERROR(SUMIF(Consolidado!$B$1:$B$1500,VLOOKUP(RegistroPago!A934,Consolidado!$B$1:$L$1500,1,FALSE),Consolidado!$G$1:$G$1500),"")</f>
        <v>0</v>
      </c>
      <c r="D934" s="3"/>
      <c r="E934" s="3"/>
      <c r="F934" s="5" t="str">
        <f t="shared" si="56"/>
        <v/>
      </c>
      <c r="G934" s="16" t="str">
        <f>IF(D934&lt;&gt;"",D934-VLOOKUP(A934,Consolidado!$B$1:$L$1500,8,FALSE),"")</f>
        <v/>
      </c>
      <c r="H934" s="31"/>
      <c r="I934" s="32">
        <f t="shared" si="57"/>
        <v>0</v>
      </c>
      <c r="J934" s="33" t="str">
        <f t="shared" si="58"/>
        <v/>
      </c>
      <c r="K934" s="2"/>
      <c r="L934" s="15"/>
      <c r="M934" s="34">
        <f t="shared" si="59"/>
        <v>0</v>
      </c>
    </row>
    <row r="935" spans="1:13" x14ac:dyDescent="0.25">
      <c r="A935" s="31"/>
      <c r="B935" s="16" t="str">
        <f>IFERROR(VLOOKUP(A935,Consolidado!$B$1:$L$1500,2,FALSE),"")</f>
        <v/>
      </c>
      <c r="C935" s="16">
        <f>IFERROR(SUMIF(Consolidado!$B$1:$B$1500,VLOOKUP(RegistroPago!A935,Consolidado!$B$1:$L$1500,1,FALSE),Consolidado!$G$1:$G$1500),"")</f>
        <v>0</v>
      </c>
      <c r="D935" s="3"/>
      <c r="E935" s="3"/>
      <c r="F935" s="5" t="str">
        <f t="shared" si="56"/>
        <v/>
      </c>
      <c r="G935" s="16" t="str">
        <f>IF(D935&lt;&gt;"",D935-VLOOKUP(A935,Consolidado!$B$1:$L$1500,8,FALSE),"")</f>
        <v/>
      </c>
      <c r="H935" s="31"/>
      <c r="I935" s="32">
        <f t="shared" si="57"/>
        <v>0</v>
      </c>
      <c r="J935" s="33" t="str">
        <f t="shared" si="58"/>
        <v/>
      </c>
      <c r="K935" s="2"/>
      <c r="L935" s="15"/>
      <c r="M935" s="34">
        <f t="shared" si="59"/>
        <v>0</v>
      </c>
    </row>
    <row r="936" spans="1:13" x14ac:dyDescent="0.25">
      <c r="A936" s="31"/>
      <c r="B936" s="16" t="str">
        <f>IFERROR(VLOOKUP(A936,Consolidado!$B$1:$L$1500,2,FALSE),"")</f>
        <v/>
      </c>
      <c r="C936" s="16">
        <f>IFERROR(SUMIF(Consolidado!$B$1:$B$1500,VLOOKUP(RegistroPago!A936,Consolidado!$B$1:$L$1500,1,FALSE),Consolidado!$G$1:$G$1500),"")</f>
        <v>0</v>
      </c>
      <c r="D936" s="3"/>
      <c r="E936" s="3"/>
      <c r="F936" s="5" t="str">
        <f t="shared" si="56"/>
        <v/>
      </c>
      <c r="G936" s="16" t="str">
        <f>IF(D936&lt;&gt;"",D936-VLOOKUP(A936,Consolidado!$B$1:$L$1500,8,FALSE),"")</f>
        <v/>
      </c>
      <c r="H936" s="31"/>
      <c r="I936" s="32">
        <f t="shared" si="57"/>
        <v>0</v>
      </c>
      <c r="J936" s="33" t="str">
        <f t="shared" si="58"/>
        <v/>
      </c>
      <c r="K936" s="2"/>
      <c r="L936" s="15"/>
      <c r="M936" s="34">
        <f t="shared" si="59"/>
        <v>0</v>
      </c>
    </row>
    <row r="937" spans="1:13" x14ac:dyDescent="0.25">
      <c r="A937" s="31"/>
      <c r="B937" s="16" t="str">
        <f>IFERROR(VLOOKUP(A937,Consolidado!$B$1:$L$1500,2,FALSE),"")</f>
        <v/>
      </c>
      <c r="C937" s="16">
        <f>IFERROR(SUMIF(Consolidado!$B$1:$B$1500,VLOOKUP(RegistroPago!A937,Consolidado!$B$1:$L$1500,1,FALSE),Consolidado!$G$1:$G$1500),"")</f>
        <v>0</v>
      </c>
      <c r="D937" s="3"/>
      <c r="E937" s="3"/>
      <c r="F937" s="5" t="str">
        <f t="shared" si="56"/>
        <v/>
      </c>
      <c r="G937" s="16" t="str">
        <f>IF(D937&lt;&gt;"",D937-VLOOKUP(A937,Consolidado!$B$1:$L$1500,8,FALSE),"")</f>
        <v/>
      </c>
      <c r="H937" s="31"/>
      <c r="I937" s="32">
        <f t="shared" si="57"/>
        <v>0</v>
      </c>
      <c r="J937" s="33" t="str">
        <f t="shared" si="58"/>
        <v/>
      </c>
      <c r="K937" s="2"/>
      <c r="L937" s="15"/>
      <c r="M937" s="34">
        <f t="shared" si="59"/>
        <v>0</v>
      </c>
    </row>
    <row r="938" spans="1:13" x14ac:dyDescent="0.25">
      <c r="A938" s="31"/>
      <c r="B938" s="16" t="str">
        <f>IFERROR(VLOOKUP(A938,Consolidado!$B$1:$L$1500,2,FALSE),"")</f>
        <v/>
      </c>
      <c r="C938" s="16">
        <f>IFERROR(SUMIF(Consolidado!$B$1:$B$1500,VLOOKUP(RegistroPago!A938,Consolidado!$B$1:$L$1500,1,FALSE),Consolidado!$G$1:$G$1500),"")</f>
        <v>0</v>
      </c>
      <c r="D938" s="3"/>
      <c r="E938" s="3"/>
      <c r="F938" s="5" t="str">
        <f t="shared" si="56"/>
        <v/>
      </c>
      <c r="G938" s="16" t="str">
        <f>IF(D938&lt;&gt;"",D938-VLOOKUP(A938,Consolidado!$B$1:$L$1500,8,FALSE),"")</f>
        <v/>
      </c>
      <c r="H938" s="31"/>
      <c r="I938" s="32">
        <f t="shared" si="57"/>
        <v>0</v>
      </c>
      <c r="J938" s="33" t="str">
        <f t="shared" si="58"/>
        <v/>
      </c>
      <c r="K938" s="2"/>
      <c r="L938" s="15"/>
      <c r="M938" s="34">
        <f t="shared" si="59"/>
        <v>0</v>
      </c>
    </row>
    <row r="939" spans="1:13" x14ac:dyDescent="0.25">
      <c r="A939" s="31"/>
      <c r="B939" s="16" t="str">
        <f>IFERROR(VLOOKUP(A939,Consolidado!$B$1:$L$1500,2,FALSE),"")</f>
        <v/>
      </c>
      <c r="C939" s="16">
        <f>IFERROR(SUMIF(Consolidado!$B$1:$B$1500,VLOOKUP(RegistroPago!A939,Consolidado!$B$1:$L$1500,1,FALSE),Consolidado!$G$1:$G$1500),"")</f>
        <v>0</v>
      </c>
      <c r="D939" s="3"/>
      <c r="E939" s="3"/>
      <c r="F939" s="5" t="str">
        <f t="shared" si="56"/>
        <v/>
      </c>
      <c r="G939" s="16" t="str">
        <f>IF(D939&lt;&gt;"",D939-VLOOKUP(A939,Consolidado!$B$1:$L$1500,8,FALSE),"")</f>
        <v/>
      </c>
      <c r="H939" s="31"/>
      <c r="I939" s="32">
        <f t="shared" si="57"/>
        <v>0</v>
      </c>
      <c r="J939" s="33" t="str">
        <f t="shared" si="58"/>
        <v/>
      </c>
      <c r="K939" s="2"/>
      <c r="L939" s="15"/>
      <c r="M939" s="34">
        <f t="shared" si="59"/>
        <v>0</v>
      </c>
    </row>
    <row r="940" spans="1:13" x14ac:dyDescent="0.25">
      <c r="A940" s="31"/>
      <c r="B940" s="16" t="str">
        <f>IFERROR(VLOOKUP(A940,Consolidado!$B$1:$L$1500,2,FALSE),"")</f>
        <v/>
      </c>
      <c r="C940" s="16">
        <f>IFERROR(SUMIF(Consolidado!$B$1:$B$1500,VLOOKUP(RegistroPago!A940,Consolidado!$B$1:$L$1500,1,FALSE),Consolidado!$G$1:$G$1500),"")</f>
        <v>0</v>
      </c>
      <c r="D940" s="3"/>
      <c r="E940" s="3"/>
      <c r="F940" s="5" t="str">
        <f t="shared" si="56"/>
        <v/>
      </c>
      <c r="G940" s="16" t="str">
        <f>IF(D940&lt;&gt;"",D940-VLOOKUP(A940,Consolidado!$B$1:$L$1500,8,FALSE),"")</f>
        <v/>
      </c>
      <c r="H940" s="31"/>
      <c r="I940" s="32">
        <f t="shared" si="57"/>
        <v>0</v>
      </c>
      <c r="J940" s="33" t="str">
        <f t="shared" si="58"/>
        <v/>
      </c>
      <c r="K940" s="2"/>
      <c r="L940" s="15"/>
      <c r="M940" s="34">
        <f t="shared" si="59"/>
        <v>0</v>
      </c>
    </row>
    <row r="941" spans="1:13" x14ac:dyDescent="0.25">
      <c r="A941" s="31"/>
      <c r="B941" s="16" t="str">
        <f>IFERROR(VLOOKUP(A941,Consolidado!$B$1:$L$1500,2,FALSE),"")</f>
        <v/>
      </c>
      <c r="C941" s="16">
        <f>IFERROR(SUMIF(Consolidado!$B$1:$B$1500,VLOOKUP(RegistroPago!A941,Consolidado!$B$1:$L$1500,1,FALSE),Consolidado!$G$1:$G$1500),"")</f>
        <v>0</v>
      </c>
      <c r="D941" s="3"/>
      <c r="E941" s="3"/>
      <c r="F941" s="5" t="str">
        <f t="shared" si="56"/>
        <v/>
      </c>
      <c r="G941" s="16" t="str">
        <f>IF(D941&lt;&gt;"",D941-VLOOKUP(A941,Consolidado!$B$1:$L$1500,8,FALSE),"")</f>
        <v/>
      </c>
      <c r="H941" s="31"/>
      <c r="I941" s="32">
        <f t="shared" si="57"/>
        <v>0</v>
      </c>
      <c r="J941" s="33" t="str">
        <f t="shared" si="58"/>
        <v/>
      </c>
      <c r="K941" s="2"/>
      <c r="L941" s="15"/>
      <c r="M941" s="34">
        <f t="shared" si="59"/>
        <v>0</v>
      </c>
    </row>
    <row r="942" spans="1:13" x14ac:dyDescent="0.25">
      <c r="A942" s="31"/>
      <c r="B942" s="16" t="str">
        <f>IFERROR(VLOOKUP(A942,Consolidado!$B$1:$L$1500,2,FALSE),"")</f>
        <v/>
      </c>
      <c r="C942" s="16">
        <f>IFERROR(SUMIF(Consolidado!$B$1:$B$1500,VLOOKUP(RegistroPago!A942,Consolidado!$B$1:$L$1500,1,FALSE),Consolidado!$G$1:$G$1500),"")</f>
        <v>0</v>
      </c>
      <c r="D942" s="3"/>
      <c r="E942" s="3"/>
      <c r="F942" s="5" t="str">
        <f t="shared" si="56"/>
        <v/>
      </c>
      <c r="G942" s="16" t="str">
        <f>IF(D942&lt;&gt;"",D942-VLOOKUP(A942,Consolidado!$B$1:$L$1500,8,FALSE),"")</f>
        <v/>
      </c>
      <c r="H942" s="31"/>
      <c r="I942" s="32">
        <f t="shared" si="57"/>
        <v>0</v>
      </c>
      <c r="J942" s="33" t="str">
        <f t="shared" si="58"/>
        <v/>
      </c>
      <c r="K942" s="2"/>
      <c r="L942" s="15"/>
      <c r="M942" s="34">
        <f t="shared" si="59"/>
        <v>0</v>
      </c>
    </row>
    <row r="943" spans="1:13" x14ac:dyDescent="0.25">
      <c r="A943" s="31"/>
      <c r="B943" s="16" t="str">
        <f>IFERROR(VLOOKUP(A943,Consolidado!$B$1:$L$1500,2,FALSE),"")</f>
        <v/>
      </c>
      <c r="C943" s="16">
        <f>IFERROR(SUMIF(Consolidado!$B$1:$B$1500,VLOOKUP(RegistroPago!A943,Consolidado!$B$1:$L$1500,1,FALSE),Consolidado!$G$1:$G$1500),"")</f>
        <v>0</v>
      </c>
      <c r="D943" s="3"/>
      <c r="E943" s="3"/>
      <c r="F943" s="5" t="str">
        <f t="shared" si="56"/>
        <v/>
      </c>
      <c r="G943" s="16" t="str">
        <f>IF(D943&lt;&gt;"",D943-VLOOKUP(A943,Consolidado!$B$1:$L$1500,8,FALSE),"")</f>
        <v/>
      </c>
      <c r="H943" s="31"/>
      <c r="I943" s="32">
        <f t="shared" si="57"/>
        <v>0</v>
      </c>
      <c r="J943" s="33" t="str">
        <f t="shared" si="58"/>
        <v/>
      </c>
      <c r="K943" s="2"/>
      <c r="L943" s="15"/>
      <c r="M943" s="34">
        <f t="shared" si="59"/>
        <v>0</v>
      </c>
    </row>
    <row r="944" spans="1:13" x14ac:dyDescent="0.25">
      <c r="A944" s="31"/>
      <c r="B944" s="16" t="str">
        <f>IFERROR(VLOOKUP(A944,Consolidado!$B$1:$L$1500,2,FALSE),"")</f>
        <v/>
      </c>
      <c r="C944" s="16">
        <f>IFERROR(SUMIF(Consolidado!$B$1:$B$1500,VLOOKUP(RegistroPago!A944,Consolidado!$B$1:$L$1500,1,FALSE),Consolidado!$G$1:$G$1500),"")</f>
        <v>0</v>
      </c>
      <c r="D944" s="3"/>
      <c r="E944" s="3"/>
      <c r="F944" s="5" t="str">
        <f t="shared" si="56"/>
        <v/>
      </c>
      <c r="G944" s="16" t="str">
        <f>IF(D944&lt;&gt;"",D944-VLOOKUP(A944,Consolidado!$B$1:$L$1500,8,FALSE),"")</f>
        <v/>
      </c>
      <c r="H944" s="31"/>
      <c r="I944" s="32">
        <f t="shared" si="57"/>
        <v>0</v>
      </c>
      <c r="J944" s="33" t="str">
        <f t="shared" si="58"/>
        <v/>
      </c>
      <c r="K944" s="2"/>
      <c r="L944" s="15"/>
      <c r="M944" s="34">
        <f t="shared" si="59"/>
        <v>0</v>
      </c>
    </row>
    <row r="945" spans="1:13" x14ac:dyDescent="0.25">
      <c r="A945" s="31"/>
      <c r="B945" s="16" t="str">
        <f>IFERROR(VLOOKUP(A945,Consolidado!$B$1:$L$1500,2,FALSE),"")</f>
        <v/>
      </c>
      <c r="C945" s="16">
        <f>IFERROR(SUMIF(Consolidado!$B$1:$B$1500,VLOOKUP(RegistroPago!A945,Consolidado!$B$1:$L$1500,1,FALSE),Consolidado!$G$1:$G$1500),"")</f>
        <v>0</v>
      </c>
      <c r="D945" s="3"/>
      <c r="E945" s="3"/>
      <c r="F945" s="5" t="str">
        <f t="shared" si="56"/>
        <v/>
      </c>
      <c r="G945" s="16" t="str">
        <f>IF(D945&lt;&gt;"",D945-VLOOKUP(A945,Consolidado!$B$1:$L$1500,8,FALSE),"")</f>
        <v/>
      </c>
      <c r="H945" s="31"/>
      <c r="I945" s="32">
        <f t="shared" si="57"/>
        <v>0</v>
      </c>
      <c r="J945" s="33" t="str">
        <f t="shared" si="58"/>
        <v/>
      </c>
      <c r="K945" s="2"/>
      <c r="L945" s="15"/>
      <c r="M945" s="34">
        <f t="shared" si="59"/>
        <v>0</v>
      </c>
    </row>
    <row r="946" spans="1:13" x14ac:dyDescent="0.25">
      <c r="A946" s="31"/>
      <c r="B946" s="16" t="str">
        <f>IFERROR(VLOOKUP(A946,Consolidado!$B$1:$L$1500,2,FALSE),"")</f>
        <v/>
      </c>
      <c r="C946" s="16">
        <f>IFERROR(SUMIF(Consolidado!$B$1:$B$1500,VLOOKUP(RegistroPago!A946,Consolidado!$B$1:$L$1500,1,FALSE),Consolidado!$G$1:$G$1500),"")</f>
        <v>0</v>
      </c>
      <c r="D946" s="3"/>
      <c r="E946" s="3"/>
      <c r="F946" s="5" t="str">
        <f t="shared" si="56"/>
        <v/>
      </c>
      <c r="G946" s="16" t="str">
        <f>IF(D946&lt;&gt;"",D946-VLOOKUP(A946,Consolidado!$B$1:$L$1500,8,FALSE),"")</f>
        <v/>
      </c>
      <c r="H946" s="31"/>
      <c r="I946" s="32">
        <f t="shared" si="57"/>
        <v>0</v>
      </c>
      <c r="J946" s="33" t="str">
        <f t="shared" si="58"/>
        <v/>
      </c>
      <c r="K946" s="2"/>
      <c r="L946" s="15"/>
      <c r="M946" s="34">
        <f t="shared" si="59"/>
        <v>0</v>
      </c>
    </row>
    <row r="947" spans="1:13" x14ac:dyDescent="0.25">
      <c r="A947" s="31"/>
      <c r="B947" s="16" t="str">
        <f>IFERROR(VLOOKUP(A947,Consolidado!$B$1:$L$1500,2,FALSE),"")</f>
        <v/>
      </c>
      <c r="C947" s="16">
        <f>IFERROR(SUMIF(Consolidado!$B$1:$B$1500,VLOOKUP(RegistroPago!A947,Consolidado!$B$1:$L$1500,1,FALSE),Consolidado!$G$1:$G$1500),"")</f>
        <v>0</v>
      </c>
      <c r="D947" s="3"/>
      <c r="E947" s="3"/>
      <c r="F947" s="5" t="str">
        <f t="shared" si="56"/>
        <v/>
      </c>
      <c r="G947" s="16" t="str">
        <f>IF(D947&lt;&gt;"",D947-VLOOKUP(A947,Consolidado!$B$1:$L$1500,8,FALSE),"")</f>
        <v/>
      </c>
      <c r="H947" s="31"/>
      <c r="I947" s="32">
        <f t="shared" si="57"/>
        <v>0</v>
      </c>
      <c r="J947" s="33" t="str">
        <f t="shared" si="58"/>
        <v/>
      </c>
      <c r="K947" s="2"/>
      <c r="L947" s="15"/>
      <c r="M947" s="34">
        <f t="shared" si="59"/>
        <v>0</v>
      </c>
    </row>
    <row r="948" spans="1:13" x14ac:dyDescent="0.25">
      <c r="A948" s="31"/>
      <c r="B948" s="16" t="str">
        <f>IFERROR(VLOOKUP(A948,Consolidado!$B$1:$L$1500,2,FALSE),"")</f>
        <v/>
      </c>
      <c r="C948" s="16">
        <f>IFERROR(SUMIF(Consolidado!$B$1:$B$1500,VLOOKUP(RegistroPago!A948,Consolidado!$B$1:$L$1500,1,FALSE),Consolidado!$G$1:$G$1500),"")</f>
        <v>0</v>
      </c>
      <c r="D948" s="3"/>
      <c r="E948" s="3"/>
      <c r="F948" s="5" t="str">
        <f t="shared" si="56"/>
        <v/>
      </c>
      <c r="G948" s="16" t="str">
        <f>IF(D948&lt;&gt;"",D948-VLOOKUP(A948,Consolidado!$B$1:$L$1500,8,FALSE),"")</f>
        <v/>
      </c>
      <c r="H948" s="31"/>
      <c r="I948" s="32">
        <f t="shared" si="57"/>
        <v>0</v>
      </c>
      <c r="J948" s="33" t="str">
        <f t="shared" si="58"/>
        <v/>
      </c>
      <c r="K948" s="2"/>
      <c r="L948" s="15"/>
      <c r="M948" s="34">
        <f t="shared" si="59"/>
        <v>0</v>
      </c>
    </row>
    <row r="949" spans="1:13" x14ac:dyDescent="0.25">
      <c r="A949" s="31"/>
      <c r="B949" s="16" t="str">
        <f>IFERROR(VLOOKUP(A949,Consolidado!$B$1:$L$1500,2,FALSE),"")</f>
        <v/>
      </c>
      <c r="C949" s="16">
        <f>IFERROR(SUMIF(Consolidado!$B$1:$B$1500,VLOOKUP(RegistroPago!A949,Consolidado!$B$1:$L$1500,1,FALSE),Consolidado!$G$1:$G$1500),"")</f>
        <v>0</v>
      </c>
      <c r="D949" s="3"/>
      <c r="E949" s="3"/>
      <c r="F949" s="5" t="str">
        <f t="shared" si="56"/>
        <v/>
      </c>
      <c r="G949" s="16" t="str">
        <f>IF(D949&lt;&gt;"",D949-VLOOKUP(A949,Consolidado!$B$1:$L$1500,8,FALSE),"")</f>
        <v/>
      </c>
      <c r="H949" s="31"/>
      <c r="I949" s="32">
        <f t="shared" si="57"/>
        <v>0</v>
      </c>
      <c r="J949" s="33" t="str">
        <f t="shared" si="58"/>
        <v/>
      </c>
      <c r="K949" s="2"/>
      <c r="L949" s="15"/>
      <c r="M949" s="34">
        <f t="shared" si="59"/>
        <v>0</v>
      </c>
    </row>
    <row r="950" spans="1:13" x14ac:dyDescent="0.25">
      <c r="A950" s="31"/>
      <c r="B950" s="16" t="str">
        <f>IFERROR(VLOOKUP(A950,Consolidado!$B$1:$L$1500,2,FALSE),"")</f>
        <v/>
      </c>
      <c r="C950" s="16">
        <f>IFERROR(SUMIF(Consolidado!$B$1:$B$1500,VLOOKUP(RegistroPago!A950,Consolidado!$B$1:$L$1500,1,FALSE),Consolidado!$G$1:$G$1500),"")</f>
        <v>0</v>
      </c>
      <c r="D950" s="3"/>
      <c r="E950" s="3"/>
      <c r="F950" s="5" t="str">
        <f t="shared" si="56"/>
        <v/>
      </c>
      <c r="G950" s="16" t="str">
        <f>IF(D950&lt;&gt;"",D950-VLOOKUP(A950,Consolidado!$B$1:$L$1500,8,FALSE),"")</f>
        <v/>
      </c>
      <c r="H950" s="31"/>
      <c r="I950" s="32">
        <f t="shared" si="57"/>
        <v>0</v>
      </c>
      <c r="J950" s="33" t="str">
        <f t="shared" si="58"/>
        <v/>
      </c>
      <c r="K950" s="2"/>
      <c r="L950" s="15"/>
      <c r="M950" s="34">
        <f t="shared" si="59"/>
        <v>0</v>
      </c>
    </row>
    <row r="951" spans="1:13" x14ac:dyDescent="0.25">
      <c r="A951" s="31"/>
      <c r="B951" s="16" t="str">
        <f>IFERROR(VLOOKUP(A951,Consolidado!$B$1:$L$1500,2,FALSE),"")</f>
        <v/>
      </c>
      <c r="C951" s="16">
        <f>IFERROR(SUMIF(Consolidado!$B$1:$B$1500,VLOOKUP(RegistroPago!A951,Consolidado!$B$1:$L$1500,1,FALSE),Consolidado!$G$1:$G$1500),"")</f>
        <v>0</v>
      </c>
      <c r="D951" s="3"/>
      <c r="E951" s="3"/>
      <c r="F951" s="5" t="str">
        <f t="shared" si="56"/>
        <v/>
      </c>
      <c r="G951" s="16" t="str">
        <f>IF(D951&lt;&gt;"",D951-VLOOKUP(A951,Consolidado!$B$1:$L$1500,8,FALSE),"")</f>
        <v/>
      </c>
      <c r="H951" s="31"/>
      <c r="I951" s="32">
        <f t="shared" si="57"/>
        <v>0</v>
      </c>
      <c r="J951" s="33" t="str">
        <f t="shared" si="58"/>
        <v/>
      </c>
      <c r="K951" s="2"/>
      <c r="L951" s="15"/>
      <c r="M951" s="34">
        <f t="shared" si="59"/>
        <v>0</v>
      </c>
    </row>
    <row r="952" spans="1:13" x14ac:dyDescent="0.25">
      <c r="A952" s="31"/>
      <c r="B952" s="16" t="str">
        <f>IFERROR(VLOOKUP(A952,Consolidado!$B$1:$L$1500,2,FALSE),"")</f>
        <v/>
      </c>
      <c r="C952" s="16">
        <f>IFERROR(SUMIF(Consolidado!$B$1:$B$1500,VLOOKUP(RegistroPago!A952,Consolidado!$B$1:$L$1500,1,FALSE),Consolidado!$G$1:$G$1500),"")</f>
        <v>0</v>
      </c>
      <c r="D952" s="3"/>
      <c r="E952" s="3"/>
      <c r="F952" s="5" t="str">
        <f t="shared" si="56"/>
        <v/>
      </c>
      <c r="G952" s="16" t="str">
        <f>IF(D952&lt;&gt;"",D952-VLOOKUP(A952,Consolidado!$B$1:$L$1500,8,FALSE),"")</f>
        <v/>
      </c>
      <c r="H952" s="31"/>
      <c r="I952" s="32">
        <f t="shared" si="57"/>
        <v>0</v>
      </c>
      <c r="J952" s="33" t="str">
        <f t="shared" si="58"/>
        <v/>
      </c>
      <c r="K952" s="2"/>
      <c r="L952" s="15"/>
      <c r="M952" s="34">
        <f t="shared" si="59"/>
        <v>0</v>
      </c>
    </row>
    <row r="953" spans="1:13" x14ac:dyDescent="0.25">
      <c r="A953" s="31"/>
      <c r="B953" s="16" t="str">
        <f>IFERROR(VLOOKUP(A953,Consolidado!$B$1:$L$1500,2,FALSE),"")</f>
        <v/>
      </c>
      <c r="C953" s="16">
        <f>IFERROR(SUMIF(Consolidado!$B$1:$B$1500,VLOOKUP(RegistroPago!A953,Consolidado!$B$1:$L$1500,1,FALSE),Consolidado!$G$1:$G$1500),"")</f>
        <v>0</v>
      </c>
      <c r="D953" s="3"/>
      <c r="E953" s="3"/>
      <c r="F953" s="5" t="str">
        <f t="shared" si="56"/>
        <v/>
      </c>
      <c r="G953" s="16" t="str">
        <f>IF(D953&lt;&gt;"",D953-VLOOKUP(A953,Consolidado!$B$1:$L$1500,8,FALSE),"")</f>
        <v/>
      </c>
      <c r="H953" s="31"/>
      <c r="I953" s="32">
        <f t="shared" si="57"/>
        <v>0</v>
      </c>
      <c r="J953" s="33" t="str">
        <f t="shared" si="58"/>
        <v/>
      </c>
      <c r="K953" s="2"/>
      <c r="L953" s="15"/>
      <c r="M953" s="34">
        <f t="shared" si="59"/>
        <v>0</v>
      </c>
    </row>
    <row r="954" spans="1:13" x14ac:dyDescent="0.25">
      <c r="A954" s="31"/>
      <c r="B954" s="16" t="str">
        <f>IFERROR(VLOOKUP(A954,Consolidado!$B$1:$L$1500,2,FALSE),"")</f>
        <v/>
      </c>
      <c r="C954" s="16">
        <f>IFERROR(SUMIF(Consolidado!$B$1:$B$1500,VLOOKUP(RegistroPago!A954,Consolidado!$B$1:$L$1500,1,FALSE),Consolidado!$G$1:$G$1500),"")</f>
        <v>0</v>
      </c>
      <c r="D954" s="3"/>
      <c r="E954" s="3"/>
      <c r="F954" s="5" t="str">
        <f t="shared" si="56"/>
        <v/>
      </c>
      <c r="G954" s="16" t="str">
        <f>IF(D954&lt;&gt;"",D954-VLOOKUP(A954,Consolidado!$B$1:$L$1500,8,FALSE),"")</f>
        <v/>
      </c>
      <c r="H954" s="31"/>
      <c r="I954" s="32">
        <f t="shared" si="57"/>
        <v>0</v>
      </c>
      <c r="J954" s="33" t="str">
        <f t="shared" si="58"/>
        <v/>
      </c>
      <c r="K954" s="2"/>
      <c r="L954" s="15"/>
      <c r="M954" s="34">
        <f t="shared" si="59"/>
        <v>0</v>
      </c>
    </row>
    <row r="955" spans="1:13" x14ac:dyDescent="0.25">
      <c r="A955" s="31"/>
      <c r="B955" s="16" t="str">
        <f>IFERROR(VLOOKUP(A955,Consolidado!$B$1:$L$1500,2,FALSE),"")</f>
        <v/>
      </c>
      <c r="C955" s="16">
        <f>IFERROR(SUMIF(Consolidado!$B$1:$B$1500,VLOOKUP(RegistroPago!A955,Consolidado!$B$1:$L$1500,1,FALSE),Consolidado!$G$1:$G$1500),"")</f>
        <v>0</v>
      </c>
      <c r="D955" s="3"/>
      <c r="E955" s="3"/>
      <c r="F955" s="5" t="str">
        <f t="shared" si="56"/>
        <v/>
      </c>
      <c r="G955" s="16" t="str">
        <f>IF(D955&lt;&gt;"",D955-VLOOKUP(A955,Consolidado!$B$1:$L$1500,8,FALSE),"")</f>
        <v/>
      </c>
      <c r="H955" s="31"/>
      <c r="I955" s="32">
        <f t="shared" si="57"/>
        <v>0</v>
      </c>
      <c r="J955" s="33" t="str">
        <f t="shared" si="58"/>
        <v/>
      </c>
      <c r="K955" s="2"/>
      <c r="L955" s="15"/>
      <c r="M955" s="34">
        <f t="shared" si="59"/>
        <v>0</v>
      </c>
    </row>
    <row r="956" spans="1:13" x14ac:dyDescent="0.25">
      <c r="A956" s="31"/>
      <c r="B956" s="16" t="str">
        <f>IFERROR(VLOOKUP(A956,Consolidado!$B$1:$L$1500,2,FALSE),"")</f>
        <v/>
      </c>
      <c r="C956" s="16">
        <f>IFERROR(SUMIF(Consolidado!$B$1:$B$1500,VLOOKUP(RegistroPago!A956,Consolidado!$B$1:$L$1500,1,FALSE),Consolidado!$G$1:$G$1500),"")</f>
        <v>0</v>
      </c>
      <c r="D956" s="3"/>
      <c r="E956" s="3"/>
      <c r="F956" s="5" t="str">
        <f t="shared" si="56"/>
        <v/>
      </c>
      <c r="G956" s="16" t="str">
        <f>IF(D956&lt;&gt;"",D956-VLOOKUP(A956,Consolidado!$B$1:$L$1500,8,FALSE),"")</f>
        <v/>
      </c>
      <c r="H956" s="31"/>
      <c r="I956" s="32">
        <f t="shared" si="57"/>
        <v>0</v>
      </c>
      <c r="J956" s="33" t="str">
        <f t="shared" si="58"/>
        <v/>
      </c>
      <c r="K956" s="2"/>
      <c r="L956" s="15"/>
      <c r="M956" s="34">
        <f t="shared" si="59"/>
        <v>0</v>
      </c>
    </row>
    <row r="957" spans="1:13" x14ac:dyDescent="0.25">
      <c r="A957" s="31"/>
      <c r="B957" s="16" t="str">
        <f>IFERROR(VLOOKUP(A957,Consolidado!$B$1:$L$1500,2,FALSE),"")</f>
        <v/>
      </c>
      <c r="C957" s="16">
        <f>IFERROR(SUMIF(Consolidado!$B$1:$B$1500,VLOOKUP(RegistroPago!A957,Consolidado!$B$1:$L$1500,1,FALSE),Consolidado!$G$1:$G$1500),"")</f>
        <v>0</v>
      </c>
      <c r="D957" s="3"/>
      <c r="E957" s="3"/>
      <c r="F957" s="5" t="str">
        <f t="shared" si="56"/>
        <v/>
      </c>
      <c r="G957" s="16" t="str">
        <f>IF(D957&lt;&gt;"",D957-VLOOKUP(A957,Consolidado!$B$1:$L$1500,8,FALSE),"")</f>
        <v/>
      </c>
      <c r="H957" s="31"/>
      <c r="I957" s="32">
        <f t="shared" si="57"/>
        <v>0</v>
      </c>
      <c r="J957" s="33" t="str">
        <f t="shared" si="58"/>
        <v/>
      </c>
      <c r="K957" s="2"/>
      <c r="L957" s="15"/>
      <c r="M957" s="34">
        <f t="shared" si="59"/>
        <v>0</v>
      </c>
    </row>
    <row r="958" spans="1:13" x14ac:dyDescent="0.25">
      <c r="A958" s="31"/>
      <c r="B958" s="16" t="str">
        <f>IFERROR(VLOOKUP(A958,Consolidado!$B$1:$L$1500,2,FALSE),"")</f>
        <v/>
      </c>
      <c r="C958" s="16">
        <f>IFERROR(SUMIF(Consolidado!$B$1:$B$1500,VLOOKUP(RegistroPago!A958,Consolidado!$B$1:$L$1500,1,FALSE),Consolidado!$G$1:$G$1500),"")</f>
        <v>0</v>
      </c>
      <c r="D958" s="3"/>
      <c r="E958" s="3"/>
      <c r="F958" s="5" t="str">
        <f t="shared" si="56"/>
        <v/>
      </c>
      <c r="G958" s="16" t="str">
        <f>IF(D958&lt;&gt;"",D958-VLOOKUP(A958,Consolidado!$B$1:$L$1500,8,FALSE),"")</f>
        <v/>
      </c>
      <c r="H958" s="31"/>
      <c r="I958" s="32">
        <f t="shared" si="57"/>
        <v>0</v>
      </c>
      <c r="J958" s="33" t="str">
        <f t="shared" si="58"/>
        <v/>
      </c>
      <c r="K958" s="2"/>
      <c r="L958" s="15"/>
      <c r="M958" s="34">
        <f t="shared" si="59"/>
        <v>0</v>
      </c>
    </row>
    <row r="959" spans="1:13" x14ac:dyDescent="0.25">
      <c r="A959" s="31"/>
      <c r="B959" s="16" t="str">
        <f>IFERROR(VLOOKUP(A959,Consolidado!$B$1:$L$1500,2,FALSE),"")</f>
        <v/>
      </c>
      <c r="C959" s="16">
        <f>IFERROR(SUMIF(Consolidado!$B$1:$B$1500,VLOOKUP(RegistroPago!A959,Consolidado!$B$1:$L$1500,1,FALSE),Consolidado!$G$1:$G$1500),"")</f>
        <v>0</v>
      </c>
      <c r="D959" s="3"/>
      <c r="E959" s="3"/>
      <c r="F959" s="5" t="str">
        <f t="shared" si="56"/>
        <v/>
      </c>
      <c r="G959" s="16" t="str">
        <f>IF(D959&lt;&gt;"",D959-VLOOKUP(A959,Consolidado!$B$1:$L$1500,8,FALSE),"")</f>
        <v/>
      </c>
      <c r="H959" s="31"/>
      <c r="I959" s="32">
        <f t="shared" si="57"/>
        <v>0</v>
      </c>
      <c r="J959" s="33" t="str">
        <f t="shared" si="58"/>
        <v/>
      </c>
      <c r="K959" s="2"/>
      <c r="L959" s="15"/>
      <c r="M959" s="34">
        <f t="shared" si="59"/>
        <v>0</v>
      </c>
    </row>
    <row r="960" spans="1:13" x14ac:dyDescent="0.25">
      <c r="A960" s="31"/>
      <c r="B960" s="16" t="str">
        <f>IFERROR(VLOOKUP(A960,Consolidado!$B$1:$L$1500,2,FALSE),"")</f>
        <v/>
      </c>
      <c r="C960" s="16">
        <f>IFERROR(SUMIF(Consolidado!$B$1:$B$1500,VLOOKUP(RegistroPago!A960,Consolidado!$B$1:$L$1500,1,FALSE),Consolidado!$G$1:$G$1500),"")</f>
        <v>0</v>
      </c>
      <c r="D960" s="3"/>
      <c r="E960" s="3"/>
      <c r="F960" s="5" t="str">
        <f t="shared" si="56"/>
        <v/>
      </c>
      <c r="G960" s="16" t="str">
        <f>IF(D960&lt;&gt;"",D960-VLOOKUP(A960,Consolidado!$B$1:$L$1500,8,FALSE),"")</f>
        <v/>
      </c>
      <c r="H960" s="31"/>
      <c r="I960" s="32">
        <f t="shared" si="57"/>
        <v>0</v>
      </c>
      <c r="J960" s="33" t="str">
        <f t="shared" si="58"/>
        <v/>
      </c>
      <c r="K960" s="2"/>
      <c r="L960" s="15"/>
      <c r="M960" s="34">
        <f t="shared" si="59"/>
        <v>0</v>
      </c>
    </row>
    <row r="961" spans="1:13" x14ac:dyDescent="0.25">
      <c r="A961" s="31"/>
      <c r="B961" s="16" t="str">
        <f>IFERROR(VLOOKUP(A961,Consolidado!$B$1:$L$1500,2,FALSE),"")</f>
        <v/>
      </c>
      <c r="C961" s="16">
        <f>IFERROR(SUMIF(Consolidado!$B$1:$B$1500,VLOOKUP(RegistroPago!A961,Consolidado!$B$1:$L$1500,1,FALSE),Consolidado!$G$1:$G$1500),"")</f>
        <v>0</v>
      </c>
      <c r="D961" s="3"/>
      <c r="E961" s="3"/>
      <c r="F961" s="5" t="str">
        <f t="shared" si="56"/>
        <v/>
      </c>
      <c r="G961" s="16" t="str">
        <f>IF(D961&lt;&gt;"",D961-VLOOKUP(A961,Consolidado!$B$1:$L$1500,8,FALSE),"")</f>
        <v/>
      </c>
      <c r="H961" s="31"/>
      <c r="I961" s="32">
        <f t="shared" si="57"/>
        <v>0</v>
      </c>
      <c r="J961" s="33" t="str">
        <f t="shared" si="58"/>
        <v/>
      </c>
      <c r="K961" s="2"/>
      <c r="L961" s="15"/>
      <c r="M961" s="34">
        <f t="shared" si="59"/>
        <v>0</v>
      </c>
    </row>
    <row r="962" spans="1:13" x14ac:dyDescent="0.25">
      <c r="A962" s="31"/>
      <c r="B962" s="16" t="str">
        <f>IFERROR(VLOOKUP(A962,Consolidado!$B$1:$L$1500,2,FALSE),"")</f>
        <v/>
      </c>
      <c r="C962" s="16">
        <f>IFERROR(SUMIF(Consolidado!$B$1:$B$1500,VLOOKUP(RegistroPago!A962,Consolidado!$B$1:$L$1500,1,FALSE),Consolidado!$G$1:$G$1500),"")</f>
        <v>0</v>
      </c>
      <c r="D962" s="3"/>
      <c r="E962" s="3"/>
      <c r="F962" s="5" t="str">
        <f t="shared" si="56"/>
        <v/>
      </c>
      <c r="G962" s="16" t="str">
        <f>IF(D962&lt;&gt;"",D962-VLOOKUP(A962,Consolidado!$B$1:$L$1500,8,FALSE),"")</f>
        <v/>
      </c>
      <c r="H962" s="31"/>
      <c r="I962" s="32">
        <f t="shared" si="57"/>
        <v>0</v>
      </c>
      <c r="J962" s="33" t="str">
        <f t="shared" si="58"/>
        <v/>
      </c>
      <c r="K962" s="2"/>
      <c r="L962" s="15"/>
      <c r="M962" s="34">
        <f t="shared" si="59"/>
        <v>0</v>
      </c>
    </row>
    <row r="963" spans="1:13" x14ac:dyDescent="0.25">
      <c r="A963" s="31"/>
      <c r="B963" s="16" t="str">
        <f>IFERROR(VLOOKUP(A963,Consolidado!$B$1:$L$1500,2,FALSE),"")</f>
        <v/>
      </c>
      <c r="C963" s="16">
        <f>IFERROR(SUMIF(Consolidado!$B$1:$B$1500,VLOOKUP(RegistroPago!A963,Consolidado!$B$1:$L$1500,1,FALSE),Consolidado!$G$1:$G$1500),"")</f>
        <v>0</v>
      </c>
      <c r="D963" s="3"/>
      <c r="E963" s="3"/>
      <c r="F963" s="5" t="str">
        <f t="shared" ref="F963:F1026" si="60">IF(COUNTIF($E$2:$E$2000,E963)&gt;1,"Ya registrado","")</f>
        <v/>
      </c>
      <c r="G963" s="16" t="str">
        <f>IF(D963&lt;&gt;"",D963-VLOOKUP(A963,Consolidado!$B$1:$L$1500,8,FALSE),"")</f>
        <v/>
      </c>
      <c r="H963" s="31"/>
      <c r="I963" s="32">
        <f t="shared" ref="I963:I1000" si="61">IFERROR(SUMIF($E$1:$E$2000,H963,$C$1:$C$2000)-SUMIF($E$1:$E$2000,H963,$F$1:$F$2000),"")</f>
        <v>0</v>
      </c>
      <c r="J963" s="33" t="str">
        <f t="shared" ref="J963:J1000" si="62">IFERROR(I963/SUMIF($E$1:$E$2000,H963,$C$1:$C$2000),"")</f>
        <v/>
      </c>
      <c r="K963" s="2"/>
      <c r="L963" s="15"/>
      <c r="M963" s="34">
        <f t="shared" ref="M963:M1000" si="63">IFERROR(L963*SUMIF($E$1:$E$2000,H963,$F$1:$F$2000),"")</f>
        <v>0</v>
      </c>
    </row>
    <row r="964" spans="1:13" x14ac:dyDescent="0.25">
      <c r="A964" s="31"/>
      <c r="B964" s="16" t="str">
        <f>IFERROR(VLOOKUP(A964,Consolidado!$B$1:$L$1500,2,FALSE),"")</f>
        <v/>
      </c>
      <c r="C964" s="16">
        <f>IFERROR(SUMIF(Consolidado!$B$1:$B$1500,VLOOKUP(RegistroPago!A964,Consolidado!$B$1:$L$1500,1,FALSE),Consolidado!$G$1:$G$1500),"")</f>
        <v>0</v>
      </c>
      <c r="D964" s="3"/>
      <c r="E964" s="3"/>
      <c r="F964" s="5" t="str">
        <f t="shared" si="60"/>
        <v/>
      </c>
      <c r="G964" s="16" t="str">
        <f>IF(D964&lt;&gt;"",D964-VLOOKUP(A964,Consolidado!$B$1:$L$1500,8,FALSE),"")</f>
        <v/>
      </c>
      <c r="H964" s="31"/>
      <c r="I964" s="32">
        <f t="shared" si="61"/>
        <v>0</v>
      </c>
      <c r="J964" s="33" t="str">
        <f t="shared" si="62"/>
        <v/>
      </c>
      <c r="K964" s="2"/>
      <c r="L964" s="15"/>
      <c r="M964" s="34">
        <f t="shared" si="63"/>
        <v>0</v>
      </c>
    </row>
    <row r="965" spans="1:13" x14ac:dyDescent="0.25">
      <c r="A965" s="31"/>
      <c r="B965" s="16" t="str">
        <f>IFERROR(VLOOKUP(A965,Consolidado!$B$1:$L$1500,2,FALSE),"")</f>
        <v/>
      </c>
      <c r="C965" s="16">
        <f>IFERROR(SUMIF(Consolidado!$B$1:$B$1500,VLOOKUP(RegistroPago!A965,Consolidado!$B$1:$L$1500,1,FALSE),Consolidado!$G$1:$G$1500),"")</f>
        <v>0</v>
      </c>
      <c r="D965" s="3"/>
      <c r="E965" s="3"/>
      <c r="F965" s="5" t="str">
        <f t="shared" si="60"/>
        <v/>
      </c>
      <c r="G965" s="16" t="str">
        <f>IF(D965&lt;&gt;"",D965-VLOOKUP(A965,Consolidado!$B$1:$L$1500,8,FALSE),"")</f>
        <v/>
      </c>
      <c r="H965" s="31"/>
      <c r="I965" s="32">
        <f t="shared" si="61"/>
        <v>0</v>
      </c>
      <c r="J965" s="33" t="str">
        <f t="shared" si="62"/>
        <v/>
      </c>
      <c r="K965" s="2"/>
      <c r="L965" s="15"/>
      <c r="M965" s="34">
        <f t="shared" si="63"/>
        <v>0</v>
      </c>
    </row>
    <row r="966" spans="1:13" x14ac:dyDescent="0.25">
      <c r="A966" s="31"/>
      <c r="B966" s="16" t="str">
        <f>IFERROR(VLOOKUP(A966,Consolidado!$B$1:$L$1500,2,FALSE),"")</f>
        <v/>
      </c>
      <c r="C966" s="16">
        <f>IFERROR(SUMIF(Consolidado!$B$1:$B$1500,VLOOKUP(RegistroPago!A966,Consolidado!$B$1:$L$1500,1,FALSE),Consolidado!$G$1:$G$1500),"")</f>
        <v>0</v>
      </c>
      <c r="D966" s="3"/>
      <c r="E966" s="3"/>
      <c r="F966" s="5" t="str">
        <f t="shared" si="60"/>
        <v/>
      </c>
      <c r="G966" s="16" t="str">
        <f>IF(D966&lt;&gt;"",D966-VLOOKUP(A966,Consolidado!$B$1:$L$1500,8,FALSE),"")</f>
        <v/>
      </c>
      <c r="H966" s="31"/>
      <c r="I966" s="32">
        <f t="shared" si="61"/>
        <v>0</v>
      </c>
      <c r="J966" s="33" t="str">
        <f t="shared" si="62"/>
        <v/>
      </c>
      <c r="K966" s="2"/>
      <c r="L966" s="15"/>
      <c r="M966" s="34">
        <f t="shared" si="63"/>
        <v>0</v>
      </c>
    </row>
    <row r="967" spans="1:13" x14ac:dyDescent="0.25">
      <c r="A967" s="31"/>
      <c r="B967" s="16" t="str">
        <f>IFERROR(VLOOKUP(A967,Consolidado!$B$1:$L$1500,2,FALSE),"")</f>
        <v/>
      </c>
      <c r="C967" s="16">
        <f>IFERROR(SUMIF(Consolidado!$B$1:$B$1500,VLOOKUP(RegistroPago!A967,Consolidado!$B$1:$L$1500,1,FALSE),Consolidado!$G$1:$G$1500),"")</f>
        <v>0</v>
      </c>
      <c r="D967" s="3"/>
      <c r="E967" s="3"/>
      <c r="F967" s="5" t="str">
        <f t="shared" si="60"/>
        <v/>
      </c>
      <c r="G967" s="16" t="str">
        <f>IF(D967&lt;&gt;"",D967-VLOOKUP(A967,Consolidado!$B$1:$L$1500,8,FALSE),"")</f>
        <v/>
      </c>
      <c r="H967" s="31"/>
      <c r="I967" s="32">
        <f t="shared" si="61"/>
        <v>0</v>
      </c>
      <c r="J967" s="33" t="str">
        <f t="shared" si="62"/>
        <v/>
      </c>
      <c r="K967" s="2"/>
      <c r="L967" s="15"/>
      <c r="M967" s="34">
        <f t="shared" si="63"/>
        <v>0</v>
      </c>
    </row>
    <row r="968" spans="1:13" x14ac:dyDescent="0.25">
      <c r="A968" s="31"/>
      <c r="B968" s="16" t="str">
        <f>IFERROR(VLOOKUP(A968,Consolidado!$B$1:$L$1500,2,FALSE),"")</f>
        <v/>
      </c>
      <c r="C968" s="16">
        <f>IFERROR(SUMIF(Consolidado!$B$1:$B$1500,VLOOKUP(RegistroPago!A968,Consolidado!$B$1:$L$1500,1,FALSE),Consolidado!$G$1:$G$1500),"")</f>
        <v>0</v>
      </c>
      <c r="D968" s="3"/>
      <c r="E968" s="3"/>
      <c r="F968" s="5" t="str">
        <f t="shared" si="60"/>
        <v/>
      </c>
      <c r="G968" s="16" t="str">
        <f>IF(D968&lt;&gt;"",D968-VLOOKUP(A968,Consolidado!$B$1:$L$1500,8,FALSE),"")</f>
        <v/>
      </c>
      <c r="H968" s="31"/>
      <c r="I968" s="32">
        <f t="shared" si="61"/>
        <v>0</v>
      </c>
      <c r="J968" s="33" t="str">
        <f t="shared" si="62"/>
        <v/>
      </c>
      <c r="K968" s="2"/>
      <c r="L968" s="15"/>
      <c r="M968" s="34">
        <f t="shared" si="63"/>
        <v>0</v>
      </c>
    </row>
    <row r="969" spans="1:13" x14ac:dyDescent="0.25">
      <c r="A969" s="31"/>
      <c r="B969" s="16" t="str">
        <f>IFERROR(VLOOKUP(A969,Consolidado!$B$1:$L$1500,2,FALSE),"")</f>
        <v/>
      </c>
      <c r="C969" s="16">
        <f>IFERROR(SUMIF(Consolidado!$B$1:$B$1500,VLOOKUP(RegistroPago!A969,Consolidado!$B$1:$L$1500,1,FALSE),Consolidado!$G$1:$G$1500),"")</f>
        <v>0</v>
      </c>
      <c r="D969" s="3"/>
      <c r="E969" s="3"/>
      <c r="F969" s="5" t="str">
        <f t="shared" si="60"/>
        <v/>
      </c>
      <c r="G969" s="16" t="str">
        <f>IF(D969&lt;&gt;"",D969-VLOOKUP(A969,Consolidado!$B$1:$L$1500,8,FALSE),"")</f>
        <v/>
      </c>
      <c r="H969" s="31"/>
      <c r="I969" s="32">
        <f t="shared" si="61"/>
        <v>0</v>
      </c>
      <c r="J969" s="33" t="str">
        <f t="shared" si="62"/>
        <v/>
      </c>
      <c r="K969" s="2"/>
      <c r="L969" s="15"/>
      <c r="M969" s="34">
        <f t="shared" si="63"/>
        <v>0</v>
      </c>
    </row>
    <row r="970" spans="1:13" x14ac:dyDescent="0.25">
      <c r="A970" s="31"/>
      <c r="B970" s="16" t="str">
        <f>IFERROR(VLOOKUP(A970,Consolidado!$B$1:$L$1500,2,FALSE),"")</f>
        <v/>
      </c>
      <c r="C970" s="16">
        <f>IFERROR(SUMIF(Consolidado!$B$1:$B$1500,VLOOKUP(RegistroPago!A970,Consolidado!$B$1:$L$1500,1,FALSE),Consolidado!$G$1:$G$1500),"")</f>
        <v>0</v>
      </c>
      <c r="D970" s="3"/>
      <c r="E970" s="3"/>
      <c r="F970" s="5" t="str">
        <f t="shared" si="60"/>
        <v/>
      </c>
      <c r="G970" s="16" t="str">
        <f>IF(D970&lt;&gt;"",D970-VLOOKUP(A970,Consolidado!$B$1:$L$1500,8,FALSE),"")</f>
        <v/>
      </c>
      <c r="H970" s="31"/>
      <c r="I970" s="32">
        <f t="shared" si="61"/>
        <v>0</v>
      </c>
      <c r="J970" s="33" t="str">
        <f t="shared" si="62"/>
        <v/>
      </c>
      <c r="K970" s="2"/>
      <c r="L970" s="15"/>
      <c r="M970" s="34">
        <f t="shared" si="63"/>
        <v>0</v>
      </c>
    </row>
    <row r="971" spans="1:13" x14ac:dyDescent="0.25">
      <c r="A971" s="31"/>
      <c r="B971" s="16" t="str">
        <f>IFERROR(VLOOKUP(A971,Consolidado!$B$1:$L$1500,2,FALSE),"")</f>
        <v/>
      </c>
      <c r="C971" s="16">
        <f>IFERROR(SUMIF(Consolidado!$B$1:$B$1500,VLOOKUP(RegistroPago!A971,Consolidado!$B$1:$L$1500,1,FALSE),Consolidado!$G$1:$G$1500),"")</f>
        <v>0</v>
      </c>
      <c r="D971" s="3"/>
      <c r="E971" s="3"/>
      <c r="F971" s="5" t="str">
        <f t="shared" si="60"/>
        <v/>
      </c>
      <c r="G971" s="16" t="str">
        <f>IF(D971&lt;&gt;"",D971-VLOOKUP(A971,Consolidado!$B$1:$L$1500,8,FALSE),"")</f>
        <v/>
      </c>
      <c r="H971" s="31"/>
      <c r="I971" s="32">
        <f t="shared" si="61"/>
        <v>0</v>
      </c>
      <c r="J971" s="33" t="str">
        <f t="shared" si="62"/>
        <v/>
      </c>
      <c r="K971" s="2"/>
      <c r="L971" s="15"/>
      <c r="M971" s="34">
        <f t="shared" si="63"/>
        <v>0</v>
      </c>
    </row>
    <row r="972" spans="1:13" x14ac:dyDescent="0.25">
      <c r="A972" s="31"/>
      <c r="B972" s="16" t="str">
        <f>IFERROR(VLOOKUP(A972,Consolidado!$B$1:$L$1500,2,FALSE),"")</f>
        <v/>
      </c>
      <c r="C972" s="16">
        <f>IFERROR(SUMIF(Consolidado!$B$1:$B$1500,VLOOKUP(RegistroPago!A972,Consolidado!$B$1:$L$1500,1,FALSE),Consolidado!$G$1:$G$1500),"")</f>
        <v>0</v>
      </c>
      <c r="D972" s="3"/>
      <c r="E972" s="3"/>
      <c r="F972" s="5" t="str">
        <f t="shared" si="60"/>
        <v/>
      </c>
      <c r="G972" s="16" t="str">
        <f>IF(D972&lt;&gt;"",D972-VLOOKUP(A972,Consolidado!$B$1:$L$1500,8,FALSE),"")</f>
        <v/>
      </c>
      <c r="H972" s="31"/>
      <c r="I972" s="32">
        <f t="shared" si="61"/>
        <v>0</v>
      </c>
      <c r="J972" s="33" t="str">
        <f t="shared" si="62"/>
        <v/>
      </c>
      <c r="K972" s="2"/>
      <c r="L972" s="15"/>
      <c r="M972" s="34">
        <f t="shared" si="63"/>
        <v>0</v>
      </c>
    </row>
    <row r="973" spans="1:13" x14ac:dyDescent="0.25">
      <c r="A973" s="31"/>
      <c r="B973" s="16" t="str">
        <f>IFERROR(VLOOKUP(A973,Consolidado!$B$1:$L$1500,2,FALSE),"")</f>
        <v/>
      </c>
      <c r="C973" s="16">
        <f>IFERROR(SUMIF(Consolidado!$B$1:$B$1500,VLOOKUP(RegistroPago!A973,Consolidado!$B$1:$L$1500,1,FALSE),Consolidado!$G$1:$G$1500),"")</f>
        <v>0</v>
      </c>
      <c r="D973" s="3"/>
      <c r="E973" s="3"/>
      <c r="F973" s="5" t="str">
        <f t="shared" si="60"/>
        <v/>
      </c>
      <c r="G973" s="16" t="str">
        <f>IF(D973&lt;&gt;"",D973-VLOOKUP(A973,Consolidado!$B$1:$L$1500,8,FALSE),"")</f>
        <v/>
      </c>
      <c r="H973" s="31"/>
      <c r="I973" s="32">
        <f t="shared" si="61"/>
        <v>0</v>
      </c>
      <c r="J973" s="33" t="str">
        <f t="shared" si="62"/>
        <v/>
      </c>
      <c r="K973" s="2"/>
      <c r="L973" s="15"/>
      <c r="M973" s="34">
        <f t="shared" si="63"/>
        <v>0</v>
      </c>
    </row>
    <row r="974" spans="1:13" x14ac:dyDescent="0.25">
      <c r="A974" s="31"/>
      <c r="B974" s="16" t="str">
        <f>IFERROR(VLOOKUP(A974,Consolidado!$B$1:$L$1500,2,FALSE),"")</f>
        <v/>
      </c>
      <c r="C974" s="16">
        <f>IFERROR(SUMIF(Consolidado!$B$1:$B$1500,VLOOKUP(RegistroPago!A974,Consolidado!$B$1:$L$1500,1,FALSE),Consolidado!$G$1:$G$1500),"")</f>
        <v>0</v>
      </c>
      <c r="D974" s="3"/>
      <c r="E974" s="3"/>
      <c r="F974" s="5" t="str">
        <f t="shared" si="60"/>
        <v/>
      </c>
      <c r="G974" s="16" t="str">
        <f>IF(D974&lt;&gt;"",D974-VLOOKUP(A974,Consolidado!$B$1:$L$1500,8,FALSE),"")</f>
        <v/>
      </c>
      <c r="H974" s="31"/>
      <c r="I974" s="32">
        <f t="shared" si="61"/>
        <v>0</v>
      </c>
      <c r="J974" s="33" t="str">
        <f t="shared" si="62"/>
        <v/>
      </c>
      <c r="K974" s="2"/>
      <c r="L974" s="15"/>
      <c r="M974" s="34">
        <f t="shared" si="63"/>
        <v>0</v>
      </c>
    </row>
    <row r="975" spans="1:13" x14ac:dyDescent="0.25">
      <c r="A975" s="31"/>
      <c r="B975" s="16" t="str">
        <f>IFERROR(VLOOKUP(A975,Consolidado!$B$1:$L$1500,2,FALSE),"")</f>
        <v/>
      </c>
      <c r="C975" s="16">
        <f>IFERROR(SUMIF(Consolidado!$B$1:$B$1500,VLOOKUP(RegistroPago!A975,Consolidado!$B$1:$L$1500,1,FALSE),Consolidado!$G$1:$G$1500),"")</f>
        <v>0</v>
      </c>
      <c r="D975" s="3"/>
      <c r="E975" s="3"/>
      <c r="F975" s="5" t="str">
        <f t="shared" si="60"/>
        <v/>
      </c>
      <c r="G975" s="16" t="str">
        <f>IF(D975&lt;&gt;"",D975-VLOOKUP(A975,Consolidado!$B$1:$L$1500,8,FALSE),"")</f>
        <v/>
      </c>
      <c r="H975" s="31"/>
      <c r="I975" s="32">
        <f t="shared" si="61"/>
        <v>0</v>
      </c>
      <c r="J975" s="33" t="str">
        <f t="shared" si="62"/>
        <v/>
      </c>
      <c r="K975" s="2"/>
      <c r="L975" s="15"/>
      <c r="M975" s="34">
        <f t="shared" si="63"/>
        <v>0</v>
      </c>
    </row>
    <row r="976" spans="1:13" x14ac:dyDescent="0.25">
      <c r="A976" s="31"/>
      <c r="B976" s="16" t="str">
        <f>IFERROR(VLOOKUP(A976,Consolidado!$B$1:$L$1500,2,FALSE),"")</f>
        <v/>
      </c>
      <c r="C976" s="16">
        <f>IFERROR(SUMIF(Consolidado!$B$1:$B$1500,VLOOKUP(RegistroPago!A976,Consolidado!$B$1:$L$1500,1,FALSE),Consolidado!$G$1:$G$1500),"")</f>
        <v>0</v>
      </c>
      <c r="D976" s="3"/>
      <c r="E976" s="3"/>
      <c r="F976" s="5" t="str">
        <f t="shared" si="60"/>
        <v/>
      </c>
      <c r="G976" s="16" t="str">
        <f>IF(D976&lt;&gt;"",D976-VLOOKUP(A976,Consolidado!$B$1:$L$1500,8,FALSE),"")</f>
        <v/>
      </c>
      <c r="H976" s="31"/>
      <c r="I976" s="32">
        <f t="shared" si="61"/>
        <v>0</v>
      </c>
      <c r="J976" s="33" t="str">
        <f t="shared" si="62"/>
        <v/>
      </c>
      <c r="K976" s="2"/>
      <c r="L976" s="15"/>
      <c r="M976" s="34">
        <f t="shared" si="63"/>
        <v>0</v>
      </c>
    </row>
    <row r="977" spans="1:13" x14ac:dyDescent="0.25">
      <c r="A977" s="31"/>
      <c r="B977" s="16" t="str">
        <f>IFERROR(VLOOKUP(A977,Consolidado!$B$1:$L$1500,2,FALSE),"")</f>
        <v/>
      </c>
      <c r="C977" s="16">
        <f>IFERROR(SUMIF(Consolidado!$B$1:$B$1500,VLOOKUP(RegistroPago!A977,Consolidado!$B$1:$L$1500,1,FALSE),Consolidado!$G$1:$G$1500),"")</f>
        <v>0</v>
      </c>
      <c r="D977" s="3"/>
      <c r="E977" s="3"/>
      <c r="F977" s="5" t="str">
        <f t="shared" si="60"/>
        <v/>
      </c>
      <c r="G977" s="16" t="str">
        <f>IF(D977&lt;&gt;"",D977-VLOOKUP(A977,Consolidado!$B$1:$L$1500,8,FALSE),"")</f>
        <v/>
      </c>
      <c r="H977" s="31"/>
      <c r="I977" s="32">
        <f t="shared" si="61"/>
        <v>0</v>
      </c>
      <c r="J977" s="33" t="str">
        <f t="shared" si="62"/>
        <v/>
      </c>
      <c r="K977" s="2"/>
      <c r="L977" s="15"/>
      <c r="M977" s="34">
        <f t="shared" si="63"/>
        <v>0</v>
      </c>
    </row>
    <row r="978" spans="1:13" x14ac:dyDescent="0.25">
      <c r="A978" s="31"/>
      <c r="B978" s="16" t="str">
        <f>IFERROR(VLOOKUP(A978,Consolidado!$B$1:$L$1500,2,FALSE),"")</f>
        <v/>
      </c>
      <c r="C978" s="16">
        <f>IFERROR(SUMIF(Consolidado!$B$1:$B$1500,VLOOKUP(RegistroPago!A978,Consolidado!$B$1:$L$1500,1,FALSE),Consolidado!$G$1:$G$1500),"")</f>
        <v>0</v>
      </c>
      <c r="D978" s="3"/>
      <c r="E978" s="3"/>
      <c r="F978" s="5" t="str">
        <f t="shared" si="60"/>
        <v/>
      </c>
      <c r="G978" s="16" t="str">
        <f>IF(D978&lt;&gt;"",D978-VLOOKUP(A978,Consolidado!$B$1:$L$1500,8,FALSE),"")</f>
        <v/>
      </c>
      <c r="H978" s="31"/>
      <c r="I978" s="32">
        <f t="shared" si="61"/>
        <v>0</v>
      </c>
      <c r="J978" s="33" t="str">
        <f t="shared" si="62"/>
        <v/>
      </c>
      <c r="K978" s="2"/>
      <c r="L978" s="15"/>
      <c r="M978" s="34">
        <f t="shared" si="63"/>
        <v>0</v>
      </c>
    </row>
    <row r="979" spans="1:13" x14ac:dyDescent="0.25">
      <c r="A979" s="31"/>
      <c r="B979" s="16" t="str">
        <f>IFERROR(VLOOKUP(A979,Consolidado!$B$1:$L$1500,2,FALSE),"")</f>
        <v/>
      </c>
      <c r="C979" s="16">
        <f>IFERROR(SUMIF(Consolidado!$B$1:$B$1500,VLOOKUP(RegistroPago!A979,Consolidado!$B$1:$L$1500,1,FALSE),Consolidado!$G$1:$G$1500),"")</f>
        <v>0</v>
      </c>
      <c r="D979" s="3"/>
      <c r="E979" s="3"/>
      <c r="F979" s="5" t="str">
        <f t="shared" si="60"/>
        <v/>
      </c>
      <c r="G979" s="16" t="str">
        <f>IF(D979&lt;&gt;"",D979-VLOOKUP(A979,Consolidado!$B$1:$L$1500,8,FALSE),"")</f>
        <v/>
      </c>
      <c r="H979" s="31"/>
      <c r="I979" s="32">
        <f t="shared" si="61"/>
        <v>0</v>
      </c>
      <c r="J979" s="33" t="str">
        <f t="shared" si="62"/>
        <v/>
      </c>
      <c r="K979" s="2"/>
      <c r="L979" s="15"/>
      <c r="M979" s="34">
        <f t="shared" si="63"/>
        <v>0</v>
      </c>
    </row>
    <row r="980" spans="1:13" x14ac:dyDescent="0.25">
      <c r="A980" s="31"/>
      <c r="B980" s="16" t="str">
        <f>IFERROR(VLOOKUP(A980,Consolidado!$B$1:$L$1500,2,FALSE),"")</f>
        <v/>
      </c>
      <c r="C980" s="16">
        <f>IFERROR(SUMIF(Consolidado!$B$1:$B$1500,VLOOKUP(RegistroPago!A980,Consolidado!$B$1:$L$1500,1,FALSE),Consolidado!$G$1:$G$1500),"")</f>
        <v>0</v>
      </c>
      <c r="D980" s="3"/>
      <c r="E980" s="3"/>
      <c r="F980" s="5" t="str">
        <f t="shared" si="60"/>
        <v/>
      </c>
      <c r="G980" s="16" t="str">
        <f>IF(D980&lt;&gt;"",D980-VLOOKUP(A980,Consolidado!$B$1:$L$1500,8,FALSE),"")</f>
        <v/>
      </c>
      <c r="H980" s="31"/>
      <c r="I980" s="32">
        <f t="shared" si="61"/>
        <v>0</v>
      </c>
      <c r="J980" s="33" t="str">
        <f t="shared" si="62"/>
        <v/>
      </c>
      <c r="K980" s="2"/>
      <c r="L980" s="15"/>
      <c r="M980" s="34">
        <f t="shared" si="63"/>
        <v>0</v>
      </c>
    </row>
    <row r="981" spans="1:13" x14ac:dyDescent="0.25">
      <c r="A981" s="31"/>
      <c r="B981" s="16" t="str">
        <f>IFERROR(VLOOKUP(A981,Consolidado!$B$1:$L$1500,2,FALSE),"")</f>
        <v/>
      </c>
      <c r="C981" s="16">
        <f>IFERROR(SUMIF(Consolidado!$B$1:$B$1500,VLOOKUP(RegistroPago!A981,Consolidado!$B$1:$L$1500,1,FALSE),Consolidado!$G$1:$G$1500),"")</f>
        <v>0</v>
      </c>
      <c r="D981" s="3"/>
      <c r="E981" s="3"/>
      <c r="F981" s="5" t="str">
        <f t="shared" si="60"/>
        <v/>
      </c>
      <c r="G981" s="16" t="str">
        <f>IF(D981&lt;&gt;"",D981-VLOOKUP(A981,Consolidado!$B$1:$L$1500,8,FALSE),"")</f>
        <v/>
      </c>
      <c r="H981" s="31"/>
      <c r="I981" s="32">
        <f t="shared" si="61"/>
        <v>0</v>
      </c>
      <c r="J981" s="33" t="str">
        <f t="shared" si="62"/>
        <v/>
      </c>
      <c r="K981" s="2"/>
      <c r="L981" s="15"/>
      <c r="M981" s="34">
        <f t="shared" si="63"/>
        <v>0</v>
      </c>
    </row>
    <row r="982" spans="1:13" x14ac:dyDescent="0.25">
      <c r="A982" s="31"/>
      <c r="B982" s="16" t="str">
        <f>IFERROR(VLOOKUP(A982,Consolidado!$B$1:$L$1500,2,FALSE),"")</f>
        <v/>
      </c>
      <c r="C982" s="16">
        <f>IFERROR(SUMIF(Consolidado!$B$1:$B$1500,VLOOKUP(RegistroPago!A982,Consolidado!$B$1:$L$1500,1,FALSE),Consolidado!$G$1:$G$1500),"")</f>
        <v>0</v>
      </c>
      <c r="D982" s="3"/>
      <c r="E982" s="3"/>
      <c r="F982" s="5" t="str">
        <f t="shared" si="60"/>
        <v/>
      </c>
      <c r="G982" s="16" t="str">
        <f>IF(D982&lt;&gt;"",D982-VLOOKUP(A982,Consolidado!$B$1:$L$1500,8,FALSE),"")</f>
        <v/>
      </c>
      <c r="H982" s="31"/>
      <c r="I982" s="32">
        <f t="shared" si="61"/>
        <v>0</v>
      </c>
      <c r="J982" s="33" t="str">
        <f t="shared" si="62"/>
        <v/>
      </c>
      <c r="K982" s="2"/>
      <c r="L982" s="15"/>
      <c r="M982" s="34">
        <f t="shared" si="63"/>
        <v>0</v>
      </c>
    </row>
    <row r="983" spans="1:13" x14ac:dyDescent="0.25">
      <c r="A983" s="31"/>
      <c r="B983" s="16" t="str">
        <f>IFERROR(VLOOKUP(A983,Consolidado!$B$1:$L$1500,2,FALSE),"")</f>
        <v/>
      </c>
      <c r="C983" s="16">
        <f>IFERROR(SUMIF(Consolidado!$B$1:$B$1500,VLOOKUP(RegistroPago!A983,Consolidado!$B$1:$L$1500,1,FALSE),Consolidado!$G$1:$G$1500),"")</f>
        <v>0</v>
      </c>
      <c r="D983" s="3"/>
      <c r="E983" s="3"/>
      <c r="F983" s="5" t="str">
        <f t="shared" si="60"/>
        <v/>
      </c>
      <c r="G983" s="16" t="str">
        <f>IF(D983&lt;&gt;"",D983-VLOOKUP(A983,Consolidado!$B$1:$L$1500,8,FALSE),"")</f>
        <v/>
      </c>
      <c r="H983" s="31"/>
      <c r="I983" s="32">
        <f t="shared" si="61"/>
        <v>0</v>
      </c>
      <c r="J983" s="33" t="str">
        <f t="shared" si="62"/>
        <v/>
      </c>
      <c r="K983" s="2"/>
      <c r="L983" s="15"/>
      <c r="M983" s="34">
        <f t="shared" si="63"/>
        <v>0</v>
      </c>
    </row>
    <row r="984" spans="1:13" x14ac:dyDescent="0.25">
      <c r="A984" s="31"/>
      <c r="B984" s="16" t="str">
        <f>IFERROR(VLOOKUP(A984,Consolidado!$B$1:$L$1500,2,FALSE),"")</f>
        <v/>
      </c>
      <c r="C984" s="16">
        <f>IFERROR(SUMIF(Consolidado!$B$1:$B$1500,VLOOKUP(RegistroPago!A984,Consolidado!$B$1:$L$1500,1,FALSE),Consolidado!$G$1:$G$1500),"")</f>
        <v>0</v>
      </c>
      <c r="D984" s="3"/>
      <c r="E984" s="3"/>
      <c r="F984" s="5" t="str">
        <f t="shared" si="60"/>
        <v/>
      </c>
      <c r="G984" s="16" t="str">
        <f>IF(D984&lt;&gt;"",D984-VLOOKUP(A984,Consolidado!$B$1:$L$1500,8,FALSE),"")</f>
        <v/>
      </c>
      <c r="H984" s="31"/>
      <c r="I984" s="32">
        <f t="shared" si="61"/>
        <v>0</v>
      </c>
      <c r="J984" s="33" t="str">
        <f t="shared" si="62"/>
        <v/>
      </c>
      <c r="K984" s="2"/>
      <c r="L984" s="15"/>
      <c r="M984" s="34">
        <f t="shared" si="63"/>
        <v>0</v>
      </c>
    </row>
    <row r="985" spans="1:13" x14ac:dyDescent="0.25">
      <c r="A985" s="31"/>
      <c r="B985" s="16" t="str">
        <f>IFERROR(VLOOKUP(A985,Consolidado!$B$1:$L$1500,2,FALSE),"")</f>
        <v/>
      </c>
      <c r="C985" s="16">
        <f>IFERROR(SUMIF(Consolidado!$B$1:$B$1500,VLOOKUP(RegistroPago!A985,Consolidado!$B$1:$L$1500,1,FALSE),Consolidado!$G$1:$G$1500),"")</f>
        <v>0</v>
      </c>
      <c r="D985" s="3"/>
      <c r="E985" s="3"/>
      <c r="F985" s="5" t="str">
        <f t="shared" si="60"/>
        <v/>
      </c>
      <c r="G985" s="16" t="str">
        <f>IF(D985&lt;&gt;"",D985-VLOOKUP(A985,Consolidado!$B$1:$L$1500,8,FALSE),"")</f>
        <v/>
      </c>
      <c r="H985" s="31"/>
      <c r="I985" s="32">
        <f t="shared" si="61"/>
        <v>0</v>
      </c>
      <c r="J985" s="33" t="str">
        <f t="shared" si="62"/>
        <v/>
      </c>
      <c r="K985" s="2"/>
      <c r="L985" s="15"/>
      <c r="M985" s="34">
        <f t="shared" si="63"/>
        <v>0</v>
      </c>
    </row>
    <row r="986" spans="1:13" x14ac:dyDescent="0.25">
      <c r="A986" s="31"/>
      <c r="B986" s="16" t="str">
        <f>IFERROR(VLOOKUP(A986,Consolidado!$B$1:$L$1500,2,FALSE),"")</f>
        <v/>
      </c>
      <c r="C986" s="16">
        <f>IFERROR(SUMIF(Consolidado!$B$1:$B$1500,VLOOKUP(RegistroPago!A986,Consolidado!$B$1:$L$1500,1,FALSE),Consolidado!$G$1:$G$1500),"")</f>
        <v>0</v>
      </c>
      <c r="D986" s="3"/>
      <c r="E986" s="3"/>
      <c r="F986" s="5" t="str">
        <f t="shared" si="60"/>
        <v/>
      </c>
      <c r="G986" s="16" t="str">
        <f>IF(D986&lt;&gt;"",D986-VLOOKUP(A986,Consolidado!$B$1:$L$1500,8,FALSE),"")</f>
        <v/>
      </c>
      <c r="H986" s="31"/>
      <c r="I986" s="32">
        <f t="shared" si="61"/>
        <v>0</v>
      </c>
      <c r="J986" s="33" t="str">
        <f t="shared" si="62"/>
        <v/>
      </c>
      <c r="K986" s="2"/>
      <c r="L986" s="15"/>
      <c r="M986" s="34">
        <f t="shared" si="63"/>
        <v>0</v>
      </c>
    </row>
    <row r="987" spans="1:13" x14ac:dyDescent="0.25">
      <c r="A987" s="31"/>
      <c r="B987" s="16" t="str">
        <f>IFERROR(VLOOKUP(A987,Consolidado!$B$1:$L$1500,2,FALSE),"")</f>
        <v/>
      </c>
      <c r="C987" s="16">
        <f>IFERROR(SUMIF(Consolidado!$B$1:$B$1500,VLOOKUP(RegistroPago!A987,Consolidado!$B$1:$L$1500,1,FALSE),Consolidado!$G$1:$G$1500),"")</f>
        <v>0</v>
      </c>
      <c r="D987" s="3"/>
      <c r="E987" s="3"/>
      <c r="F987" s="5" t="str">
        <f t="shared" si="60"/>
        <v/>
      </c>
      <c r="G987" s="16" t="str">
        <f>IF(D987&lt;&gt;"",D987-VLOOKUP(A987,Consolidado!$B$1:$L$1500,8,FALSE),"")</f>
        <v/>
      </c>
      <c r="H987" s="31"/>
      <c r="I987" s="32">
        <f t="shared" si="61"/>
        <v>0</v>
      </c>
      <c r="J987" s="33" t="str">
        <f t="shared" si="62"/>
        <v/>
      </c>
      <c r="K987" s="2"/>
      <c r="L987" s="15"/>
      <c r="M987" s="34">
        <f t="shared" si="63"/>
        <v>0</v>
      </c>
    </row>
    <row r="988" spans="1:13" x14ac:dyDescent="0.25">
      <c r="A988" s="31"/>
      <c r="B988" s="16" t="str">
        <f>IFERROR(VLOOKUP(A988,Consolidado!$B$1:$L$1500,2,FALSE),"")</f>
        <v/>
      </c>
      <c r="C988" s="16">
        <f>IFERROR(SUMIF(Consolidado!$B$1:$B$1500,VLOOKUP(RegistroPago!A988,Consolidado!$B$1:$L$1500,1,FALSE),Consolidado!$G$1:$G$1500),"")</f>
        <v>0</v>
      </c>
      <c r="D988" s="3"/>
      <c r="E988" s="3"/>
      <c r="F988" s="5" t="str">
        <f t="shared" si="60"/>
        <v/>
      </c>
      <c r="G988" s="16" t="str">
        <f>IF(D988&lt;&gt;"",D988-VLOOKUP(A988,Consolidado!$B$1:$L$1500,8,FALSE),"")</f>
        <v/>
      </c>
      <c r="H988" s="31"/>
      <c r="I988" s="32">
        <f t="shared" si="61"/>
        <v>0</v>
      </c>
      <c r="J988" s="33" t="str">
        <f t="shared" si="62"/>
        <v/>
      </c>
      <c r="K988" s="2"/>
      <c r="L988" s="15"/>
      <c r="M988" s="34">
        <f t="shared" si="63"/>
        <v>0</v>
      </c>
    </row>
    <row r="989" spans="1:13" x14ac:dyDescent="0.25">
      <c r="A989" s="31"/>
      <c r="B989" s="16" t="str">
        <f>IFERROR(VLOOKUP(A989,Consolidado!$B$1:$L$1500,2,FALSE),"")</f>
        <v/>
      </c>
      <c r="C989" s="16">
        <f>IFERROR(SUMIF(Consolidado!$B$1:$B$1500,VLOOKUP(RegistroPago!A989,Consolidado!$B$1:$L$1500,1,FALSE),Consolidado!$G$1:$G$1500),"")</f>
        <v>0</v>
      </c>
      <c r="D989" s="3"/>
      <c r="E989" s="3"/>
      <c r="F989" s="5" t="str">
        <f t="shared" si="60"/>
        <v/>
      </c>
      <c r="G989" s="16" t="str">
        <f>IF(D989&lt;&gt;"",D989-VLOOKUP(A989,Consolidado!$B$1:$L$1500,8,FALSE),"")</f>
        <v/>
      </c>
      <c r="H989" s="31"/>
      <c r="I989" s="32">
        <f t="shared" si="61"/>
        <v>0</v>
      </c>
      <c r="J989" s="33" t="str">
        <f t="shared" si="62"/>
        <v/>
      </c>
      <c r="K989" s="2"/>
      <c r="L989" s="15"/>
      <c r="M989" s="34">
        <f t="shared" si="63"/>
        <v>0</v>
      </c>
    </row>
    <row r="990" spans="1:13" x14ac:dyDescent="0.25">
      <c r="A990" s="31"/>
      <c r="B990" s="16" t="str">
        <f>IFERROR(VLOOKUP(A990,Consolidado!$B$1:$L$1500,2,FALSE),"")</f>
        <v/>
      </c>
      <c r="C990" s="16">
        <f>IFERROR(SUMIF(Consolidado!$B$1:$B$1500,VLOOKUP(RegistroPago!A990,Consolidado!$B$1:$L$1500,1,FALSE),Consolidado!$G$1:$G$1500),"")</f>
        <v>0</v>
      </c>
      <c r="D990" s="3"/>
      <c r="E990" s="3"/>
      <c r="F990" s="5" t="str">
        <f t="shared" si="60"/>
        <v/>
      </c>
      <c r="G990" s="16" t="str">
        <f>IF(D990&lt;&gt;"",D990-VLOOKUP(A990,Consolidado!$B$1:$L$1500,8,FALSE),"")</f>
        <v/>
      </c>
      <c r="H990" s="31"/>
      <c r="I990" s="32">
        <f t="shared" si="61"/>
        <v>0</v>
      </c>
      <c r="J990" s="33" t="str">
        <f t="shared" si="62"/>
        <v/>
      </c>
      <c r="K990" s="2"/>
      <c r="L990" s="15"/>
      <c r="M990" s="34">
        <f t="shared" si="63"/>
        <v>0</v>
      </c>
    </row>
    <row r="991" spans="1:13" x14ac:dyDescent="0.25">
      <c r="A991" s="31"/>
      <c r="B991" s="16" t="str">
        <f>IFERROR(VLOOKUP(A991,Consolidado!$B$1:$L$1500,2,FALSE),"")</f>
        <v/>
      </c>
      <c r="C991" s="16">
        <f>IFERROR(SUMIF(Consolidado!$B$1:$B$1500,VLOOKUP(RegistroPago!A991,Consolidado!$B$1:$L$1500,1,FALSE),Consolidado!$G$1:$G$1500),"")</f>
        <v>0</v>
      </c>
      <c r="D991" s="3"/>
      <c r="E991" s="3"/>
      <c r="F991" s="5" t="str">
        <f t="shared" si="60"/>
        <v/>
      </c>
      <c r="G991" s="16" t="str">
        <f>IF(D991&lt;&gt;"",D991-VLOOKUP(A991,Consolidado!$B$1:$L$1500,8,FALSE),"")</f>
        <v/>
      </c>
      <c r="H991" s="31"/>
      <c r="I991" s="32">
        <f t="shared" si="61"/>
        <v>0</v>
      </c>
      <c r="J991" s="33" t="str">
        <f t="shared" si="62"/>
        <v/>
      </c>
      <c r="K991" s="2"/>
      <c r="L991" s="15"/>
      <c r="M991" s="34">
        <f t="shared" si="63"/>
        <v>0</v>
      </c>
    </row>
    <row r="992" spans="1:13" x14ac:dyDescent="0.25">
      <c r="A992" s="31"/>
      <c r="B992" s="16" t="str">
        <f>IFERROR(VLOOKUP(A992,Consolidado!$B$1:$L$1500,2,FALSE),"")</f>
        <v/>
      </c>
      <c r="C992" s="16">
        <f>IFERROR(SUMIF(Consolidado!$B$1:$B$1500,VLOOKUP(RegistroPago!A992,Consolidado!$B$1:$L$1500,1,FALSE),Consolidado!$G$1:$G$1500),"")</f>
        <v>0</v>
      </c>
      <c r="D992" s="3"/>
      <c r="E992" s="3"/>
      <c r="F992" s="5" t="str">
        <f t="shared" si="60"/>
        <v/>
      </c>
      <c r="G992" s="16" t="str">
        <f>IF(D992&lt;&gt;"",D992-VLOOKUP(A992,Consolidado!$B$1:$L$1500,8,FALSE),"")</f>
        <v/>
      </c>
      <c r="H992" s="31"/>
      <c r="I992" s="32">
        <f t="shared" si="61"/>
        <v>0</v>
      </c>
      <c r="J992" s="33" t="str">
        <f t="shared" si="62"/>
        <v/>
      </c>
      <c r="K992" s="2"/>
      <c r="L992" s="15"/>
      <c r="M992" s="34">
        <f t="shared" si="63"/>
        <v>0</v>
      </c>
    </row>
    <row r="993" spans="1:13" x14ac:dyDescent="0.25">
      <c r="A993" s="31"/>
      <c r="B993" s="16" t="str">
        <f>IFERROR(VLOOKUP(A993,Consolidado!$B$1:$L$1500,2,FALSE),"")</f>
        <v/>
      </c>
      <c r="C993" s="16">
        <f>IFERROR(SUMIF(Consolidado!$B$1:$B$1500,VLOOKUP(RegistroPago!A993,Consolidado!$B$1:$L$1500,1,FALSE),Consolidado!$G$1:$G$1500),"")</f>
        <v>0</v>
      </c>
      <c r="D993" s="3"/>
      <c r="E993" s="3"/>
      <c r="F993" s="5" t="str">
        <f t="shared" si="60"/>
        <v/>
      </c>
      <c r="G993" s="16" t="str">
        <f>IF(D993&lt;&gt;"",D993-VLOOKUP(A993,Consolidado!$B$1:$L$1500,8,FALSE),"")</f>
        <v/>
      </c>
      <c r="H993" s="31"/>
      <c r="I993" s="32">
        <f t="shared" si="61"/>
        <v>0</v>
      </c>
      <c r="J993" s="33" t="str">
        <f t="shared" si="62"/>
        <v/>
      </c>
      <c r="K993" s="2"/>
      <c r="L993" s="15"/>
      <c r="M993" s="34">
        <f t="shared" si="63"/>
        <v>0</v>
      </c>
    </row>
    <row r="994" spans="1:13" x14ac:dyDescent="0.25">
      <c r="A994" s="31"/>
      <c r="B994" s="16" t="str">
        <f>IFERROR(VLOOKUP(A994,Consolidado!$B$1:$L$1500,2,FALSE),"")</f>
        <v/>
      </c>
      <c r="C994" s="16">
        <f>IFERROR(SUMIF(Consolidado!$B$1:$B$1500,VLOOKUP(RegistroPago!A994,Consolidado!$B$1:$L$1500,1,FALSE),Consolidado!$G$1:$G$1500),"")</f>
        <v>0</v>
      </c>
      <c r="D994" s="3"/>
      <c r="E994" s="3"/>
      <c r="F994" s="5" t="str">
        <f t="shared" si="60"/>
        <v/>
      </c>
      <c r="G994" s="16" t="str">
        <f>IF(D994&lt;&gt;"",D994-VLOOKUP(A994,Consolidado!$B$1:$L$1500,8,FALSE),"")</f>
        <v/>
      </c>
      <c r="H994" s="31"/>
      <c r="I994" s="32">
        <f t="shared" si="61"/>
        <v>0</v>
      </c>
      <c r="J994" s="33" t="str">
        <f t="shared" si="62"/>
        <v/>
      </c>
      <c r="K994" s="2"/>
      <c r="L994" s="15"/>
      <c r="M994" s="34">
        <f t="shared" si="63"/>
        <v>0</v>
      </c>
    </row>
    <row r="995" spans="1:13" x14ac:dyDescent="0.25">
      <c r="A995" s="31"/>
      <c r="B995" s="16" t="str">
        <f>IFERROR(VLOOKUP(A995,Consolidado!$B$1:$L$1500,2,FALSE),"")</f>
        <v/>
      </c>
      <c r="C995" s="16">
        <f>IFERROR(SUMIF(Consolidado!$B$1:$B$1500,VLOOKUP(RegistroPago!A995,Consolidado!$B$1:$L$1500,1,FALSE),Consolidado!$G$1:$G$1500),"")</f>
        <v>0</v>
      </c>
      <c r="D995" s="3"/>
      <c r="E995" s="3"/>
      <c r="F995" s="5" t="str">
        <f t="shared" si="60"/>
        <v/>
      </c>
      <c r="G995" s="16" t="str">
        <f>IF(D995&lt;&gt;"",D995-VLOOKUP(A995,Consolidado!$B$1:$L$1500,8,FALSE),"")</f>
        <v/>
      </c>
      <c r="H995" s="31"/>
      <c r="I995" s="32">
        <f t="shared" si="61"/>
        <v>0</v>
      </c>
      <c r="J995" s="33" t="str">
        <f t="shared" si="62"/>
        <v/>
      </c>
      <c r="K995" s="2"/>
      <c r="L995" s="15"/>
      <c r="M995" s="34">
        <f t="shared" si="63"/>
        <v>0</v>
      </c>
    </row>
    <row r="996" spans="1:13" x14ac:dyDescent="0.25">
      <c r="A996" s="31"/>
      <c r="B996" s="16" t="str">
        <f>IFERROR(VLOOKUP(A996,Consolidado!$B$1:$L$1500,2,FALSE),"")</f>
        <v/>
      </c>
      <c r="C996" s="16">
        <f>IFERROR(SUMIF(Consolidado!$B$1:$B$1500,VLOOKUP(RegistroPago!A996,Consolidado!$B$1:$L$1500,1,FALSE),Consolidado!$G$1:$G$1500),"")</f>
        <v>0</v>
      </c>
      <c r="D996" s="3"/>
      <c r="E996" s="3"/>
      <c r="F996" s="5" t="str">
        <f t="shared" si="60"/>
        <v/>
      </c>
      <c r="G996" s="16" t="str">
        <f>IF(D996&lt;&gt;"",D996-VLOOKUP(A996,Consolidado!$B$1:$L$1500,8,FALSE),"")</f>
        <v/>
      </c>
      <c r="H996" s="31"/>
      <c r="I996" s="32">
        <f t="shared" si="61"/>
        <v>0</v>
      </c>
      <c r="J996" s="33" t="str">
        <f t="shared" si="62"/>
        <v/>
      </c>
      <c r="K996" s="2"/>
      <c r="L996" s="15"/>
      <c r="M996" s="34">
        <f t="shared" si="63"/>
        <v>0</v>
      </c>
    </row>
    <row r="997" spans="1:13" x14ac:dyDescent="0.25">
      <c r="A997" s="31"/>
      <c r="B997" s="16" t="str">
        <f>IFERROR(VLOOKUP(A997,Consolidado!$B$1:$L$1500,2,FALSE),"")</f>
        <v/>
      </c>
      <c r="C997" s="16">
        <f>IFERROR(SUMIF(Consolidado!$B$1:$B$1500,VLOOKUP(RegistroPago!A997,Consolidado!$B$1:$L$1500,1,FALSE),Consolidado!$G$1:$G$1500),"")</f>
        <v>0</v>
      </c>
      <c r="D997" s="3"/>
      <c r="E997" s="3"/>
      <c r="F997" s="5" t="str">
        <f t="shared" si="60"/>
        <v/>
      </c>
      <c r="G997" s="16" t="str">
        <f>IF(D997&lt;&gt;"",D997-VLOOKUP(A997,Consolidado!$B$1:$L$1500,8,FALSE),"")</f>
        <v/>
      </c>
      <c r="H997" s="31"/>
      <c r="I997" s="32">
        <f t="shared" si="61"/>
        <v>0</v>
      </c>
      <c r="J997" s="33" t="str">
        <f t="shared" si="62"/>
        <v/>
      </c>
      <c r="K997" s="2"/>
      <c r="L997" s="15"/>
      <c r="M997" s="34">
        <f t="shared" si="63"/>
        <v>0</v>
      </c>
    </row>
    <row r="998" spans="1:13" x14ac:dyDescent="0.25">
      <c r="A998" s="31"/>
      <c r="B998" s="16" t="str">
        <f>IFERROR(VLOOKUP(A998,Consolidado!$B$1:$L$1500,2,FALSE),"")</f>
        <v/>
      </c>
      <c r="C998" s="16">
        <f>IFERROR(SUMIF(Consolidado!$B$1:$B$1500,VLOOKUP(RegistroPago!A998,Consolidado!$B$1:$L$1500,1,FALSE),Consolidado!$G$1:$G$1500),"")</f>
        <v>0</v>
      </c>
      <c r="D998" s="3"/>
      <c r="E998" s="3"/>
      <c r="F998" s="5" t="str">
        <f t="shared" si="60"/>
        <v/>
      </c>
      <c r="G998" s="16" t="str">
        <f>IF(D998&lt;&gt;"",D998-VLOOKUP(A998,Consolidado!$B$1:$L$1500,8,FALSE),"")</f>
        <v/>
      </c>
      <c r="H998" s="31"/>
      <c r="I998" s="32">
        <f t="shared" si="61"/>
        <v>0</v>
      </c>
      <c r="J998" s="33" t="str">
        <f t="shared" si="62"/>
        <v/>
      </c>
      <c r="K998" s="2"/>
      <c r="L998" s="15"/>
      <c r="M998" s="34">
        <f t="shared" si="63"/>
        <v>0</v>
      </c>
    </row>
    <row r="999" spans="1:13" x14ac:dyDescent="0.25">
      <c r="A999" s="31"/>
      <c r="B999" s="16" t="str">
        <f>IFERROR(VLOOKUP(A999,Consolidado!$B$1:$L$1500,2,FALSE),"")</f>
        <v/>
      </c>
      <c r="C999" s="16">
        <f>IFERROR(SUMIF(Consolidado!$B$1:$B$1500,VLOOKUP(RegistroPago!A999,Consolidado!$B$1:$L$1500,1,FALSE),Consolidado!$G$1:$G$1500),"")</f>
        <v>0</v>
      </c>
      <c r="D999" s="3"/>
      <c r="E999" s="3"/>
      <c r="F999" s="5" t="str">
        <f t="shared" si="60"/>
        <v/>
      </c>
      <c r="G999" s="16" t="str">
        <f>IF(D999&lt;&gt;"",D999-VLOOKUP(A999,Consolidado!$B$1:$L$1500,8,FALSE),"")</f>
        <v/>
      </c>
      <c r="H999" s="31"/>
      <c r="I999" s="32">
        <f t="shared" si="61"/>
        <v>0</v>
      </c>
      <c r="J999" s="33" t="str">
        <f t="shared" si="62"/>
        <v/>
      </c>
      <c r="K999" s="2"/>
      <c r="L999" s="15"/>
      <c r="M999" s="34">
        <f t="shared" si="63"/>
        <v>0</v>
      </c>
    </row>
    <row r="1000" spans="1:13" x14ac:dyDescent="0.25">
      <c r="A1000" s="31"/>
      <c r="B1000" s="16" t="str">
        <f>IFERROR(VLOOKUP(A1000,Consolidado!$B$1:$L$1500,2,FALSE),"")</f>
        <v/>
      </c>
      <c r="C1000" s="16">
        <f>IFERROR(SUMIF(Consolidado!$B$1:$B$1500,VLOOKUP(RegistroPago!A1000,Consolidado!$B$1:$L$1500,1,FALSE),Consolidado!$G$1:$G$1500),"")</f>
        <v>0</v>
      </c>
      <c r="D1000" s="3"/>
      <c r="E1000" s="3"/>
      <c r="F1000" s="5" t="str">
        <f t="shared" si="60"/>
        <v/>
      </c>
      <c r="G1000" s="16" t="str">
        <f>IF(D1000&lt;&gt;"",D1000-VLOOKUP(A1000,Consolidado!$B$1:$L$1500,8,FALSE),"")</f>
        <v/>
      </c>
      <c r="H1000" s="31"/>
      <c r="I1000" s="32">
        <f t="shared" si="61"/>
        <v>0</v>
      </c>
      <c r="J1000" s="33" t="str">
        <f t="shared" si="62"/>
        <v/>
      </c>
      <c r="K1000" s="2"/>
      <c r="L1000" s="15"/>
      <c r="M1000" s="34">
        <f t="shared" si="63"/>
        <v>0</v>
      </c>
    </row>
    <row r="1001" spans="1:13" x14ac:dyDescent="0.25">
      <c r="A1001" s="31"/>
      <c r="B1001" s="16" t="str">
        <f>IFERROR(VLOOKUP(A1001,Consolidado!$B$1:$L$1500,2,FALSE),"")</f>
        <v/>
      </c>
      <c r="C1001" s="16">
        <f>IFERROR(SUMIF(Consolidado!$B$1:$B$1500,VLOOKUP(RegistroPago!A1001,Consolidado!$B$1:$L$1500,1,FALSE),Consolidado!$G$1:$G$1500),"")</f>
        <v>0</v>
      </c>
      <c r="D1001" s="3"/>
      <c r="E1001" s="3"/>
      <c r="F1001" s="5" t="str">
        <f t="shared" si="60"/>
        <v/>
      </c>
      <c r="G1001" s="16" t="str">
        <f>IF(D1001&lt;&gt;"",D1001-VLOOKUP(A1001,Consolidado!$B$1:$L$1500,8,FALSE),"")</f>
        <v/>
      </c>
      <c r="H1001" s="31"/>
      <c r="I1001" s="32">
        <f t="shared" ref="I1001:I1064" si="64">IFERROR(SUMIF($E$1:$E$2000,H1001,$C$1:$C$2000)-SUMIF($E$1:$E$2000,H1001,$F$1:$F$2000),"")</f>
        <v>0</v>
      </c>
      <c r="J1001" s="33" t="str">
        <f t="shared" ref="J1001:J1064" si="65">IFERROR(I1001/SUMIF($E$1:$E$2000,H1001,$C$1:$C$2000),"")</f>
        <v/>
      </c>
      <c r="K1001" s="2"/>
      <c r="L1001" s="15"/>
      <c r="M1001" s="34">
        <f t="shared" ref="M1001:M1064" si="66">IFERROR(L1001*SUMIF($E$1:$E$2000,H1001,$F$1:$F$2000),"")</f>
        <v>0</v>
      </c>
    </row>
    <row r="1002" spans="1:13" x14ac:dyDescent="0.25">
      <c r="A1002" s="31"/>
      <c r="B1002" s="16" t="str">
        <f>IFERROR(VLOOKUP(A1002,Consolidado!$B$1:$L$1500,2,FALSE),"")</f>
        <v/>
      </c>
      <c r="C1002" s="16">
        <f>IFERROR(SUMIF(Consolidado!$B$1:$B$1500,VLOOKUP(RegistroPago!A1002,Consolidado!$B$1:$L$1500,1,FALSE),Consolidado!$G$1:$G$1500),"")</f>
        <v>0</v>
      </c>
      <c r="D1002" s="3"/>
      <c r="E1002" s="3"/>
      <c r="F1002" s="5" t="str">
        <f t="shared" si="60"/>
        <v/>
      </c>
      <c r="G1002" s="16" t="str">
        <f>IF(D1002&lt;&gt;"",D1002-VLOOKUP(A1002,Consolidado!$B$1:$L$1500,8,FALSE),"")</f>
        <v/>
      </c>
      <c r="H1002" s="31"/>
      <c r="I1002" s="32">
        <f t="shared" si="64"/>
        <v>0</v>
      </c>
      <c r="J1002" s="33" t="str">
        <f t="shared" si="65"/>
        <v/>
      </c>
      <c r="K1002" s="2"/>
      <c r="L1002" s="15"/>
      <c r="M1002" s="34">
        <f t="shared" si="66"/>
        <v>0</v>
      </c>
    </row>
    <row r="1003" spans="1:13" x14ac:dyDescent="0.25">
      <c r="A1003" s="31"/>
      <c r="B1003" s="16" t="str">
        <f>IFERROR(VLOOKUP(A1003,Consolidado!$B$1:$L$1500,2,FALSE),"")</f>
        <v/>
      </c>
      <c r="C1003" s="16">
        <f>IFERROR(SUMIF(Consolidado!$B$1:$B$1500,VLOOKUP(RegistroPago!A1003,Consolidado!$B$1:$L$1500,1,FALSE),Consolidado!$G$1:$G$1500),"")</f>
        <v>0</v>
      </c>
      <c r="D1003" s="3"/>
      <c r="E1003" s="3"/>
      <c r="F1003" s="5" t="str">
        <f t="shared" si="60"/>
        <v/>
      </c>
      <c r="G1003" s="16" t="str">
        <f>IF(D1003&lt;&gt;"",D1003-VLOOKUP(A1003,Consolidado!$B$1:$L$1500,8,FALSE),"")</f>
        <v/>
      </c>
      <c r="H1003" s="31"/>
      <c r="I1003" s="32">
        <f t="shared" si="64"/>
        <v>0</v>
      </c>
      <c r="J1003" s="33" t="str">
        <f t="shared" si="65"/>
        <v/>
      </c>
      <c r="K1003" s="2"/>
      <c r="L1003" s="15"/>
      <c r="M1003" s="34">
        <f t="shared" si="66"/>
        <v>0</v>
      </c>
    </row>
    <row r="1004" spans="1:13" x14ac:dyDescent="0.25">
      <c r="A1004" s="31"/>
      <c r="B1004" s="16" t="str">
        <f>IFERROR(VLOOKUP(A1004,Consolidado!$B$1:$L$1500,2,FALSE),"")</f>
        <v/>
      </c>
      <c r="C1004" s="16">
        <f>IFERROR(SUMIF(Consolidado!$B$1:$B$1500,VLOOKUP(RegistroPago!A1004,Consolidado!$B$1:$L$1500,1,FALSE),Consolidado!$G$1:$G$1500),"")</f>
        <v>0</v>
      </c>
      <c r="D1004" s="3"/>
      <c r="E1004" s="3"/>
      <c r="F1004" s="5" t="str">
        <f t="shared" si="60"/>
        <v/>
      </c>
      <c r="G1004" s="16" t="str">
        <f>IF(D1004&lt;&gt;"",D1004-VLOOKUP(A1004,Consolidado!$B$1:$L$1500,8,FALSE),"")</f>
        <v/>
      </c>
      <c r="H1004" s="31"/>
      <c r="I1004" s="32">
        <f t="shared" si="64"/>
        <v>0</v>
      </c>
      <c r="J1004" s="33" t="str">
        <f t="shared" si="65"/>
        <v/>
      </c>
      <c r="K1004" s="2"/>
      <c r="L1004" s="15"/>
      <c r="M1004" s="34">
        <f t="shared" si="66"/>
        <v>0</v>
      </c>
    </row>
    <row r="1005" spans="1:13" x14ac:dyDescent="0.25">
      <c r="A1005" s="31"/>
      <c r="B1005" s="16" t="str">
        <f>IFERROR(VLOOKUP(A1005,Consolidado!$B$1:$L$1500,2,FALSE),"")</f>
        <v/>
      </c>
      <c r="C1005" s="16">
        <f>IFERROR(SUMIF(Consolidado!$B$1:$B$1500,VLOOKUP(RegistroPago!A1005,Consolidado!$B$1:$L$1500,1,FALSE),Consolidado!$G$1:$G$1500),"")</f>
        <v>0</v>
      </c>
      <c r="D1005" s="3"/>
      <c r="E1005" s="3"/>
      <c r="F1005" s="5" t="str">
        <f t="shared" si="60"/>
        <v/>
      </c>
      <c r="G1005" s="16" t="str">
        <f>IF(D1005&lt;&gt;"",D1005-VLOOKUP(A1005,Consolidado!$B$1:$L$1500,8,FALSE),"")</f>
        <v/>
      </c>
      <c r="H1005" s="31"/>
      <c r="I1005" s="32">
        <f t="shared" si="64"/>
        <v>0</v>
      </c>
      <c r="J1005" s="33" t="str">
        <f t="shared" si="65"/>
        <v/>
      </c>
      <c r="K1005" s="2"/>
      <c r="L1005" s="15"/>
      <c r="M1005" s="34">
        <f t="shared" si="66"/>
        <v>0</v>
      </c>
    </row>
    <row r="1006" spans="1:13" x14ac:dyDescent="0.25">
      <c r="A1006" s="31"/>
      <c r="B1006" s="16" t="str">
        <f>IFERROR(VLOOKUP(A1006,Consolidado!$B$1:$L$1500,2,FALSE),"")</f>
        <v/>
      </c>
      <c r="C1006" s="16">
        <f>IFERROR(SUMIF(Consolidado!$B$1:$B$1500,VLOOKUP(RegistroPago!A1006,Consolidado!$B$1:$L$1500,1,FALSE),Consolidado!$G$1:$G$1500),"")</f>
        <v>0</v>
      </c>
      <c r="D1006" s="3"/>
      <c r="E1006" s="3"/>
      <c r="F1006" s="5" t="str">
        <f t="shared" si="60"/>
        <v/>
      </c>
      <c r="G1006" s="16" t="str">
        <f>IF(D1006&lt;&gt;"",D1006-VLOOKUP(A1006,Consolidado!$B$1:$L$1500,8,FALSE),"")</f>
        <v/>
      </c>
      <c r="H1006" s="31"/>
      <c r="I1006" s="32">
        <f t="shared" si="64"/>
        <v>0</v>
      </c>
      <c r="J1006" s="33" t="str">
        <f t="shared" si="65"/>
        <v/>
      </c>
      <c r="K1006" s="2"/>
      <c r="L1006" s="15"/>
      <c r="M1006" s="34">
        <f t="shared" si="66"/>
        <v>0</v>
      </c>
    </row>
    <row r="1007" spans="1:13" x14ac:dyDescent="0.25">
      <c r="A1007" s="31"/>
      <c r="B1007" s="16" t="str">
        <f>IFERROR(VLOOKUP(A1007,Consolidado!$B$1:$L$1500,2,FALSE),"")</f>
        <v/>
      </c>
      <c r="C1007" s="16">
        <f>IFERROR(SUMIF(Consolidado!$B$1:$B$1500,VLOOKUP(RegistroPago!A1007,Consolidado!$B$1:$L$1500,1,FALSE),Consolidado!$G$1:$G$1500),"")</f>
        <v>0</v>
      </c>
      <c r="D1007" s="3"/>
      <c r="E1007" s="3"/>
      <c r="F1007" s="5" t="str">
        <f t="shared" si="60"/>
        <v/>
      </c>
      <c r="G1007" s="16" t="str">
        <f>IF(D1007&lt;&gt;"",D1007-VLOOKUP(A1007,Consolidado!$B$1:$L$1500,8,FALSE),"")</f>
        <v/>
      </c>
      <c r="H1007" s="31"/>
      <c r="I1007" s="32">
        <f t="shared" si="64"/>
        <v>0</v>
      </c>
      <c r="J1007" s="33" t="str">
        <f t="shared" si="65"/>
        <v/>
      </c>
      <c r="K1007" s="2"/>
      <c r="L1007" s="15"/>
      <c r="M1007" s="34">
        <f t="shared" si="66"/>
        <v>0</v>
      </c>
    </row>
    <row r="1008" spans="1:13" x14ac:dyDescent="0.25">
      <c r="A1008" s="31"/>
      <c r="B1008" s="16" t="str">
        <f>IFERROR(VLOOKUP(A1008,Consolidado!$B$1:$L$1500,2,FALSE),"")</f>
        <v/>
      </c>
      <c r="C1008" s="16">
        <f>IFERROR(SUMIF(Consolidado!$B$1:$B$1500,VLOOKUP(RegistroPago!A1008,Consolidado!$B$1:$L$1500,1,FALSE),Consolidado!$G$1:$G$1500),"")</f>
        <v>0</v>
      </c>
      <c r="D1008" s="3"/>
      <c r="E1008" s="3"/>
      <c r="F1008" s="5" t="str">
        <f t="shared" si="60"/>
        <v/>
      </c>
      <c r="G1008" s="16" t="str">
        <f>IF(D1008&lt;&gt;"",D1008-VLOOKUP(A1008,Consolidado!$B$1:$L$1500,8,FALSE),"")</f>
        <v/>
      </c>
      <c r="H1008" s="31"/>
      <c r="I1008" s="32">
        <f t="shared" si="64"/>
        <v>0</v>
      </c>
      <c r="J1008" s="33" t="str">
        <f t="shared" si="65"/>
        <v/>
      </c>
      <c r="K1008" s="2"/>
      <c r="L1008" s="15"/>
      <c r="M1008" s="34">
        <f t="shared" si="66"/>
        <v>0</v>
      </c>
    </row>
    <row r="1009" spans="1:13" x14ac:dyDescent="0.25">
      <c r="A1009" s="31"/>
      <c r="B1009" s="16" t="str">
        <f>IFERROR(VLOOKUP(A1009,Consolidado!$B$1:$L$1500,2,FALSE),"")</f>
        <v/>
      </c>
      <c r="C1009" s="16">
        <f>IFERROR(SUMIF(Consolidado!$B$1:$B$1500,VLOOKUP(RegistroPago!A1009,Consolidado!$B$1:$L$1500,1,FALSE),Consolidado!$G$1:$G$1500),"")</f>
        <v>0</v>
      </c>
      <c r="D1009" s="3"/>
      <c r="E1009" s="3"/>
      <c r="F1009" s="5" t="str">
        <f t="shared" si="60"/>
        <v/>
      </c>
      <c r="G1009" s="16" t="str">
        <f>IF(D1009&lt;&gt;"",D1009-VLOOKUP(A1009,Consolidado!$B$1:$L$1500,8,FALSE),"")</f>
        <v/>
      </c>
      <c r="H1009" s="31"/>
      <c r="I1009" s="32">
        <f t="shared" si="64"/>
        <v>0</v>
      </c>
      <c r="J1009" s="33" t="str">
        <f t="shared" si="65"/>
        <v/>
      </c>
      <c r="K1009" s="2"/>
      <c r="L1009" s="15"/>
      <c r="M1009" s="34">
        <f t="shared" si="66"/>
        <v>0</v>
      </c>
    </row>
    <row r="1010" spans="1:13" x14ac:dyDescent="0.25">
      <c r="A1010" s="31"/>
      <c r="B1010" s="16" t="str">
        <f>IFERROR(VLOOKUP(A1010,Consolidado!$B$1:$L$1500,2,FALSE),"")</f>
        <v/>
      </c>
      <c r="C1010" s="16">
        <f>IFERROR(SUMIF(Consolidado!$B$1:$B$1500,VLOOKUP(RegistroPago!A1010,Consolidado!$B$1:$L$1500,1,FALSE),Consolidado!$G$1:$G$1500),"")</f>
        <v>0</v>
      </c>
      <c r="D1010" s="3"/>
      <c r="E1010" s="3"/>
      <c r="F1010" s="5" t="str">
        <f t="shared" si="60"/>
        <v/>
      </c>
      <c r="G1010" s="16" t="str">
        <f>IF(D1010&lt;&gt;"",D1010-VLOOKUP(A1010,Consolidado!$B$1:$L$1500,8,FALSE),"")</f>
        <v/>
      </c>
      <c r="H1010" s="31"/>
      <c r="I1010" s="32">
        <f t="shared" si="64"/>
        <v>0</v>
      </c>
      <c r="J1010" s="33" t="str">
        <f t="shared" si="65"/>
        <v/>
      </c>
      <c r="K1010" s="2"/>
      <c r="L1010" s="15"/>
      <c r="M1010" s="34">
        <f t="shared" si="66"/>
        <v>0</v>
      </c>
    </row>
    <row r="1011" spans="1:13" x14ac:dyDescent="0.25">
      <c r="A1011" s="31"/>
      <c r="B1011" s="16" t="str">
        <f>IFERROR(VLOOKUP(A1011,Consolidado!$B$1:$L$1500,2,FALSE),"")</f>
        <v/>
      </c>
      <c r="C1011" s="16">
        <f>IFERROR(SUMIF(Consolidado!$B$1:$B$1500,VLOOKUP(RegistroPago!A1011,Consolidado!$B$1:$L$1500,1,FALSE),Consolidado!$G$1:$G$1500),"")</f>
        <v>0</v>
      </c>
      <c r="D1011" s="3"/>
      <c r="E1011" s="3"/>
      <c r="F1011" s="5" t="str">
        <f t="shared" si="60"/>
        <v/>
      </c>
      <c r="G1011" s="16" t="str">
        <f>IF(D1011&lt;&gt;"",D1011-VLOOKUP(A1011,Consolidado!$B$1:$L$1500,8,FALSE),"")</f>
        <v/>
      </c>
      <c r="H1011" s="31"/>
      <c r="I1011" s="32">
        <f t="shared" si="64"/>
        <v>0</v>
      </c>
      <c r="J1011" s="33" t="str">
        <f t="shared" si="65"/>
        <v/>
      </c>
      <c r="K1011" s="2"/>
      <c r="L1011" s="15"/>
      <c r="M1011" s="34">
        <f t="shared" si="66"/>
        <v>0</v>
      </c>
    </row>
    <row r="1012" spans="1:13" x14ac:dyDescent="0.25">
      <c r="A1012" s="31"/>
      <c r="B1012" s="16" t="str">
        <f>IFERROR(VLOOKUP(A1012,Consolidado!$B$1:$L$1500,2,FALSE),"")</f>
        <v/>
      </c>
      <c r="C1012" s="16">
        <f>IFERROR(SUMIF(Consolidado!$B$1:$B$1500,VLOOKUP(RegistroPago!A1012,Consolidado!$B$1:$L$1500,1,FALSE),Consolidado!$G$1:$G$1500),"")</f>
        <v>0</v>
      </c>
      <c r="D1012" s="3"/>
      <c r="E1012" s="3"/>
      <c r="F1012" s="5" t="str">
        <f t="shared" si="60"/>
        <v/>
      </c>
      <c r="G1012" s="16" t="str">
        <f>IF(D1012&lt;&gt;"",D1012-VLOOKUP(A1012,Consolidado!$B$1:$L$1500,8,FALSE),"")</f>
        <v/>
      </c>
      <c r="H1012" s="31"/>
      <c r="I1012" s="32">
        <f t="shared" si="64"/>
        <v>0</v>
      </c>
      <c r="J1012" s="33" t="str">
        <f t="shared" si="65"/>
        <v/>
      </c>
      <c r="K1012" s="2"/>
      <c r="L1012" s="15"/>
      <c r="M1012" s="34">
        <f t="shared" si="66"/>
        <v>0</v>
      </c>
    </row>
    <row r="1013" spans="1:13" x14ac:dyDescent="0.25">
      <c r="A1013" s="31"/>
      <c r="B1013" s="16" t="str">
        <f>IFERROR(VLOOKUP(A1013,Consolidado!$B$1:$L$1500,2,FALSE),"")</f>
        <v/>
      </c>
      <c r="C1013" s="16">
        <f>IFERROR(SUMIF(Consolidado!$B$1:$B$1500,VLOOKUP(RegistroPago!A1013,Consolidado!$B$1:$L$1500,1,FALSE),Consolidado!$G$1:$G$1500),"")</f>
        <v>0</v>
      </c>
      <c r="D1013" s="3"/>
      <c r="E1013" s="3"/>
      <c r="F1013" s="5" t="str">
        <f t="shared" si="60"/>
        <v/>
      </c>
      <c r="G1013" s="16" t="str">
        <f>IF(D1013&lt;&gt;"",D1013-VLOOKUP(A1013,Consolidado!$B$1:$L$1500,8,FALSE),"")</f>
        <v/>
      </c>
      <c r="H1013" s="31"/>
      <c r="I1013" s="32">
        <f t="shared" si="64"/>
        <v>0</v>
      </c>
      <c r="J1013" s="33" t="str">
        <f t="shared" si="65"/>
        <v/>
      </c>
      <c r="K1013" s="2"/>
      <c r="L1013" s="15"/>
      <c r="M1013" s="34">
        <f t="shared" si="66"/>
        <v>0</v>
      </c>
    </row>
    <row r="1014" spans="1:13" x14ac:dyDescent="0.25">
      <c r="A1014" s="31"/>
      <c r="B1014" s="16" t="str">
        <f>IFERROR(VLOOKUP(A1014,Consolidado!$B$1:$L$1500,2,FALSE),"")</f>
        <v/>
      </c>
      <c r="C1014" s="16">
        <f>IFERROR(SUMIF(Consolidado!$B$1:$B$1500,VLOOKUP(RegistroPago!A1014,Consolidado!$B$1:$L$1500,1,FALSE),Consolidado!$G$1:$G$1500),"")</f>
        <v>0</v>
      </c>
      <c r="D1014" s="3"/>
      <c r="E1014" s="3"/>
      <c r="F1014" s="5" t="str">
        <f t="shared" si="60"/>
        <v/>
      </c>
      <c r="G1014" s="16" t="str">
        <f>IF(D1014&lt;&gt;"",D1014-VLOOKUP(A1014,Consolidado!$B$1:$L$1500,8,FALSE),"")</f>
        <v/>
      </c>
      <c r="H1014" s="31"/>
      <c r="I1014" s="32">
        <f t="shared" si="64"/>
        <v>0</v>
      </c>
      <c r="J1014" s="33" t="str">
        <f t="shared" si="65"/>
        <v/>
      </c>
      <c r="K1014" s="2"/>
      <c r="L1014" s="15"/>
      <c r="M1014" s="34">
        <f t="shared" si="66"/>
        <v>0</v>
      </c>
    </row>
    <row r="1015" spans="1:13" x14ac:dyDescent="0.25">
      <c r="A1015" s="31"/>
      <c r="B1015" s="16" t="str">
        <f>IFERROR(VLOOKUP(A1015,Consolidado!$B$1:$L$1500,2,FALSE),"")</f>
        <v/>
      </c>
      <c r="C1015" s="16">
        <f>IFERROR(SUMIF(Consolidado!$B$1:$B$1500,VLOOKUP(RegistroPago!A1015,Consolidado!$B$1:$L$1500,1,FALSE),Consolidado!$G$1:$G$1500),"")</f>
        <v>0</v>
      </c>
      <c r="D1015" s="3"/>
      <c r="E1015" s="3"/>
      <c r="F1015" s="5" t="str">
        <f t="shared" si="60"/>
        <v/>
      </c>
      <c r="G1015" s="16" t="str">
        <f>IF(D1015&lt;&gt;"",D1015-VLOOKUP(A1015,Consolidado!$B$1:$L$1500,8,FALSE),"")</f>
        <v/>
      </c>
      <c r="H1015" s="31"/>
      <c r="I1015" s="32">
        <f t="shared" si="64"/>
        <v>0</v>
      </c>
      <c r="J1015" s="33" t="str">
        <f t="shared" si="65"/>
        <v/>
      </c>
      <c r="K1015" s="2"/>
      <c r="L1015" s="15"/>
      <c r="M1015" s="34">
        <f t="shared" si="66"/>
        <v>0</v>
      </c>
    </row>
    <row r="1016" spans="1:13" x14ac:dyDescent="0.25">
      <c r="A1016" s="31"/>
      <c r="B1016" s="16" t="str">
        <f>IFERROR(VLOOKUP(A1016,Consolidado!$B$1:$L$1500,2,FALSE),"")</f>
        <v/>
      </c>
      <c r="C1016" s="16">
        <f>IFERROR(SUMIF(Consolidado!$B$1:$B$1500,VLOOKUP(RegistroPago!A1016,Consolidado!$B$1:$L$1500,1,FALSE),Consolidado!$G$1:$G$1500),"")</f>
        <v>0</v>
      </c>
      <c r="D1016" s="3"/>
      <c r="E1016" s="3"/>
      <c r="F1016" s="5" t="str">
        <f t="shared" si="60"/>
        <v/>
      </c>
      <c r="G1016" s="16" t="str">
        <f>IF(D1016&lt;&gt;"",D1016-VLOOKUP(A1016,Consolidado!$B$1:$L$1500,8,FALSE),"")</f>
        <v/>
      </c>
      <c r="H1016" s="31"/>
      <c r="I1016" s="32">
        <f t="shared" si="64"/>
        <v>0</v>
      </c>
      <c r="J1016" s="33" t="str">
        <f t="shared" si="65"/>
        <v/>
      </c>
      <c r="K1016" s="2"/>
      <c r="L1016" s="15"/>
      <c r="M1016" s="34">
        <f t="shared" si="66"/>
        <v>0</v>
      </c>
    </row>
    <row r="1017" spans="1:13" x14ac:dyDescent="0.25">
      <c r="A1017" s="31"/>
      <c r="B1017" s="16" t="str">
        <f>IFERROR(VLOOKUP(A1017,Consolidado!$B$1:$L$1500,2,FALSE),"")</f>
        <v/>
      </c>
      <c r="C1017" s="16">
        <f>IFERROR(SUMIF(Consolidado!$B$1:$B$1500,VLOOKUP(RegistroPago!A1017,Consolidado!$B$1:$L$1500,1,FALSE),Consolidado!$G$1:$G$1500),"")</f>
        <v>0</v>
      </c>
      <c r="D1017" s="3"/>
      <c r="E1017" s="3"/>
      <c r="F1017" s="5" t="str">
        <f t="shared" si="60"/>
        <v/>
      </c>
      <c r="G1017" s="16" t="str">
        <f>IF(D1017&lt;&gt;"",D1017-VLOOKUP(A1017,Consolidado!$B$1:$L$1500,8,FALSE),"")</f>
        <v/>
      </c>
      <c r="H1017" s="31"/>
      <c r="I1017" s="32">
        <f t="shared" si="64"/>
        <v>0</v>
      </c>
      <c r="J1017" s="33" t="str">
        <f t="shared" si="65"/>
        <v/>
      </c>
      <c r="K1017" s="2"/>
      <c r="L1017" s="15"/>
      <c r="M1017" s="34">
        <f t="shared" si="66"/>
        <v>0</v>
      </c>
    </row>
    <row r="1018" spans="1:13" x14ac:dyDescent="0.25">
      <c r="A1018" s="31"/>
      <c r="B1018" s="16" t="str">
        <f>IFERROR(VLOOKUP(A1018,Consolidado!$B$1:$L$1500,2,FALSE),"")</f>
        <v/>
      </c>
      <c r="C1018" s="16">
        <f>IFERROR(SUMIF(Consolidado!$B$1:$B$1500,VLOOKUP(RegistroPago!A1018,Consolidado!$B$1:$L$1500,1,FALSE),Consolidado!$G$1:$G$1500),"")</f>
        <v>0</v>
      </c>
      <c r="D1018" s="3"/>
      <c r="E1018" s="3"/>
      <c r="F1018" s="5" t="str">
        <f t="shared" si="60"/>
        <v/>
      </c>
      <c r="G1018" s="16" t="str">
        <f>IF(D1018&lt;&gt;"",D1018-VLOOKUP(A1018,Consolidado!$B$1:$L$1500,8,FALSE),"")</f>
        <v/>
      </c>
      <c r="H1018" s="31"/>
      <c r="I1018" s="32">
        <f t="shared" si="64"/>
        <v>0</v>
      </c>
      <c r="J1018" s="33" t="str">
        <f t="shared" si="65"/>
        <v/>
      </c>
      <c r="K1018" s="2"/>
      <c r="L1018" s="15"/>
      <c r="M1018" s="34">
        <f t="shared" si="66"/>
        <v>0</v>
      </c>
    </row>
    <row r="1019" spans="1:13" x14ac:dyDescent="0.25">
      <c r="A1019" s="31"/>
      <c r="B1019" s="16" t="str">
        <f>IFERROR(VLOOKUP(A1019,Consolidado!$B$1:$L$1500,2,FALSE),"")</f>
        <v/>
      </c>
      <c r="C1019" s="16">
        <f>IFERROR(SUMIF(Consolidado!$B$1:$B$1500,VLOOKUP(RegistroPago!A1019,Consolidado!$B$1:$L$1500,1,FALSE),Consolidado!$G$1:$G$1500),"")</f>
        <v>0</v>
      </c>
      <c r="D1019" s="3"/>
      <c r="E1019" s="3"/>
      <c r="F1019" s="5" t="str">
        <f t="shared" si="60"/>
        <v/>
      </c>
      <c r="G1019" s="16" t="str">
        <f>IF(D1019&lt;&gt;"",D1019-VLOOKUP(A1019,Consolidado!$B$1:$L$1500,8,FALSE),"")</f>
        <v/>
      </c>
      <c r="H1019" s="31"/>
      <c r="I1019" s="32">
        <f t="shared" si="64"/>
        <v>0</v>
      </c>
      <c r="J1019" s="33" t="str">
        <f t="shared" si="65"/>
        <v/>
      </c>
      <c r="K1019" s="2"/>
      <c r="L1019" s="15"/>
      <c r="M1019" s="34">
        <f t="shared" si="66"/>
        <v>0</v>
      </c>
    </row>
    <row r="1020" spans="1:13" x14ac:dyDescent="0.25">
      <c r="A1020" s="31"/>
      <c r="B1020" s="16" t="str">
        <f>IFERROR(VLOOKUP(A1020,Consolidado!$B$1:$L$1500,2,FALSE),"")</f>
        <v/>
      </c>
      <c r="C1020" s="16">
        <f>IFERROR(SUMIF(Consolidado!$B$1:$B$1500,VLOOKUP(RegistroPago!A1020,Consolidado!$B$1:$L$1500,1,FALSE),Consolidado!$G$1:$G$1500),"")</f>
        <v>0</v>
      </c>
      <c r="D1020" s="3"/>
      <c r="E1020" s="3"/>
      <c r="F1020" s="5" t="str">
        <f t="shared" si="60"/>
        <v/>
      </c>
      <c r="G1020" s="16" t="str">
        <f>IF(D1020&lt;&gt;"",D1020-VLOOKUP(A1020,Consolidado!$B$1:$L$1500,8,FALSE),"")</f>
        <v/>
      </c>
      <c r="H1020" s="31"/>
      <c r="I1020" s="32">
        <f t="shared" si="64"/>
        <v>0</v>
      </c>
      <c r="J1020" s="33" t="str">
        <f t="shared" si="65"/>
        <v/>
      </c>
      <c r="K1020" s="2"/>
      <c r="L1020" s="15"/>
      <c r="M1020" s="34">
        <f t="shared" si="66"/>
        <v>0</v>
      </c>
    </row>
    <row r="1021" spans="1:13" x14ac:dyDescent="0.25">
      <c r="A1021" s="31"/>
      <c r="B1021" s="16" t="str">
        <f>IFERROR(VLOOKUP(A1021,Consolidado!$B$1:$L$1500,2,FALSE),"")</f>
        <v/>
      </c>
      <c r="C1021" s="16">
        <f>IFERROR(SUMIF(Consolidado!$B$1:$B$1500,VLOOKUP(RegistroPago!A1021,Consolidado!$B$1:$L$1500,1,FALSE),Consolidado!$G$1:$G$1500),"")</f>
        <v>0</v>
      </c>
      <c r="D1021" s="3"/>
      <c r="E1021" s="3"/>
      <c r="F1021" s="5" t="str">
        <f t="shared" si="60"/>
        <v/>
      </c>
      <c r="G1021" s="16" t="str">
        <f>IF(D1021&lt;&gt;"",D1021-VLOOKUP(A1021,Consolidado!$B$1:$L$1500,8,FALSE),"")</f>
        <v/>
      </c>
      <c r="H1021" s="31"/>
      <c r="I1021" s="32">
        <f t="shared" si="64"/>
        <v>0</v>
      </c>
      <c r="J1021" s="33" t="str">
        <f t="shared" si="65"/>
        <v/>
      </c>
      <c r="K1021" s="2"/>
      <c r="L1021" s="15"/>
      <c r="M1021" s="34">
        <f t="shared" si="66"/>
        <v>0</v>
      </c>
    </row>
    <row r="1022" spans="1:13" x14ac:dyDescent="0.25">
      <c r="A1022" s="31"/>
      <c r="B1022" s="16" t="str">
        <f>IFERROR(VLOOKUP(A1022,Consolidado!$B$1:$L$1500,2,FALSE),"")</f>
        <v/>
      </c>
      <c r="C1022" s="16">
        <f>IFERROR(SUMIF(Consolidado!$B$1:$B$1500,VLOOKUP(RegistroPago!A1022,Consolidado!$B$1:$L$1500,1,FALSE),Consolidado!$G$1:$G$1500),"")</f>
        <v>0</v>
      </c>
      <c r="D1022" s="3"/>
      <c r="E1022" s="3"/>
      <c r="F1022" s="5" t="str">
        <f t="shared" si="60"/>
        <v/>
      </c>
      <c r="G1022" s="16" t="str">
        <f>IF(D1022&lt;&gt;"",D1022-VLOOKUP(A1022,Consolidado!$B$1:$L$1500,8,FALSE),"")</f>
        <v/>
      </c>
      <c r="H1022" s="31"/>
      <c r="I1022" s="32">
        <f t="shared" si="64"/>
        <v>0</v>
      </c>
      <c r="J1022" s="33" t="str">
        <f t="shared" si="65"/>
        <v/>
      </c>
      <c r="K1022" s="2"/>
      <c r="L1022" s="15"/>
      <c r="M1022" s="34">
        <f t="shared" si="66"/>
        <v>0</v>
      </c>
    </row>
    <row r="1023" spans="1:13" x14ac:dyDescent="0.25">
      <c r="A1023" s="31"/>
      <c r="B1023" s="16" t="str">
        <f>IFERROR(VLOOKUP(A1023,Consolidado!$B$1:$L$1500,2,FALSE),"")</f>
        <v/>
      </c>
      <c r="C1023" s="16">
        <f>IFERROR(SUMIF(Consolidado!$B$1:$B$1500,VLOOKUP(RegistroPago!A1023,Consolidado!$B$1:$L$1500,1,FALSE),Consolidado!$G$1:$G$1500),"")</f>
        <v>0</v>
      </c>
      <c r="D1023" s="3"/>
      <c r="E1023" s="3"/>
      <c r="F1023" s="5" t="str">
        <f t="shared" si="60"/>
        <v/>
      </c>
      <c r="G1023" s="16" t="str">
        <f>IF(D1023&lt;&gt;"",D1023-VLOOKUP(A1023,Consolidado!$B$1:$L$1500,8,FALSE),"")</f>
        <v/>
      </c>
      <c r="H1023" s="31"/>
      <c r="I1023" s="32">
        <f t="shared" si="64"/>
        <v>0</v>
      </c>
      <c r="J1023" s="33" t="str">
        <f t="shared" si="65"/>
        <v/>
      </c>
      <c r="K1023" s="2"/>
      <c r="L1023" s="15"/>
      <c r="M1023" s="34">
        <f t="shared" si="66"/>
        <v>0</v>
      </c>
    </row>
    <row r="1024" spans="1:13" x14ac:dyDescent="0.25">
      <c r="A1024" s="31"/>
      <c r="B1024" s="16" t="str">
        <f>IFERROR(VLOOKUP(A1024,Consolidado!$B$1:$L$1500,2,FALSE),"")</f>
        <v/>
      </c>
      <c r="C1024" s="16">
        <f>IFERROR(SUMIF(Consolidado!$B$1:$B$1500,VLOOKUP(RegistroPago!A1024,Consolidado!$B$1:$L$1500,1,FALSE),Consolidado!$G$1:$G$1500),"")</f>
        <v>0</v>
      </c>
      <c r="D1024" s="3"/>
      <c r="E1024" s="3"/>
      <c r="F1024" s="5" t="str">
        <f t="shared" si="60"/>
        <v/>
      </c>
      <c r="G1024" s="16" t="str">
        <f>IF(D1024&lt;&gt;"",D1024-VLOOKUP(A1024,Consolidado!$B$1:$L$1500,8,FALSE),"")</f>
        <v/>
      </c>
      <c r="H1024" s="31"/>
      <c r="I1024" s="32">
        <f t="shared" si="64"/>
        <v>0</v>
      </c>
      <c r="J1024" s="33" t="str">
        <f t="shared" si="65"/>
        <v/>
      </c>
      <c r="K1024" s="2"/>
      <c r="L1024" s="15"/>
      <c r="M1024" s="34">
        <f t="shared" si="66"/>
        <v>0</v>
      </c>
    </row>
    <row r="1025" spans="1:13" x14ac:dyDescent="0.25">
      <c r="A1025" s="31"/>
      <c r="B1025" s="16" t="str">
        <f>IFERROR(VLOOKUP(A1025,Consolidado!$B$1:$L$1500,2,FALSE),"")</f>
        <v/>
      </c>
      <c r="C1025" s="16">
        <f>IFERROR(SUMIF(Consolidado!$B$1:$B$1500,VLOOKUP(RegistroPago!A1025,Consolidado!$B$1:$L$1500,1,FALSE),Consolidado!$G$1:$G$1500),"")</f>
        <v>0</v>
      </c>
      <c r="D1025" s="3"/>
      <c r="E1025" s="3"/>
      <c r="F1025" s="5" t="str">
        <f t="shared" si="60"/>
        <v/>
      </c>
      <c r="G1025" s="16" t="str">
        <f>IF(D1025&lt;&gt;"",D1025-VLOOKUP(A1025,Consolidado!$B$1:$L$1500,8,FALSE),"")</f>
        <v/>
      </c>
      <c r="H1025" s="31"/>
      <c r="I1025" s="32">
        <f t="shared" si="64"/>
        <v>0</v>
      </c>
      <c r="J1025" s="33" t="str">
        <f t="shared" si="65"/>
        <v/>
      </c>
      <c r="K1025" s="2"/>
      <c r="L1025" s="15"/>
      <c r="M1025" s="34">
        <f t="shared" si="66"/>
        <v>0</v>
      </c>
    </row>
    <row r="1026" spans="1:13" x14ac:dyDescent="0.25">
      <c r="A1026" s="31"/>
      <c r="B1026" s="16" t="str">
        <f>IFERROR(VLOOKUP(A1026,Consolidado!$B$1:$L$1500,2,FALSE),"")</f>
        <v/>
      </c>
      <c r="C1026" s="16">
        <f>IFERROR(SUMIF(Consolidado!$B$1:$B$1500,VLOOKUP(RegistroPago!A1026,Consolidado!$B$1:$L$1500,1,FALSE),Consolidado!$G$1:$G$1500),"")</f>
        <v>0</v>
      </c>
      <c r="D1026" s="3"/>
      <c r="E1026" s="3"/>
      <c r="F1026" s="5" t="str">
        <f t="shared" si="60"/>
        <v/>
      </c>
      <c r="G1026" s="16" t="str">
        <f>IF(D1026&lt;&gt;"",D1026-VLOOKUP(A1026,Consolidado!$B$1:$L$1500,8,FALSE),"")</f>
        <v/>
      </c>
      <c r="H1026" s="31"/>
      <c r="I1026" s="32">
        <f t="shared" si="64"/>
        <v>0</v>
      </c>
      <c r="J1026" s="33" t="str">
        <f t="shared" si="65"/>
        <v/>
      </c>
      <c r="K1026" s="2"/>
      <c r="L1026" s="15"/>
      <c r="M1026" s="34">
        <f t="shared" si="66"/>
        <v>0</v>
      </c>
    </row>
    <row r="1027" spans="1:13" x14ac:dyDescent="0.25">
      <c r="A1027" s="31"/>
      <c r="B1027" s="16" t="str">
        <f>IFERROR(VLOOKUP(A1027,Consolidado!$B$1:$L$1500,2,FALSE),"")</f>
        <v/>
      </c>
      <c r="C1027" s="16">
        <f>IFERROR(SUMIF(Consolidado!$B$1:$B$1500,VLOOKUP(RegistroPago!A1027,Consolidado!$B$1:$L$1500,1,FALSE),Consolidado!$G$1:$G$1500),"")</f>
        <v>0</v>
      </c>
      <c r="D1027" s="3"/>
      <c r="E1027" s="3"/>
      <c r="F1027" s="5" t="str">
        <f t="shared" ref="F1027:F1090" si="67">IF(COUNTIF($E$2:$E$2000,E1027)&gt;1,"Ya registrado","")</f>
        <v/>
      </c>
      <c r="G1027" s="16" t="str">
        <f>IF(D1027&lt;&gt;"",D1027-VLOOKUP(A1027,Consolidado!$B$1:$L$1500,8,FALSE),"")</f>
        <v/>
      </c>
      <c r="H1027" s="31"/>
      <c r="I1027" s="32">
        <f t="shared" si="64"/>
        <v>0</v>
      </c>
      <c r="J1027" s="33" t="str">
        <f t="shared" si="65"/>
        <v/>
      </c>
      <c r="K1027" s="2"/>
      <c r="L1027" s="15"/>
      <c r="M1027" s="34">
        <f t="shared" si="66"/>
        <v>0</v>
      </c>
    </row>
    <row r="1028" spans="1:13" x14ac:dyDescent="0.25">
      <c r="A1028" s="31"/>
      <c r="B1028" s="16" t="str">
        <f>IFERROR(VLOOKUP(A1028,Consolidado!$B$1:$L$1500,2,FALSE),"")</f>
        <v/>
      </c>
      <c r="C1028" s="16">
        <f>IFERROR(SUMIF(Consolidado!$B$1:$B$1500,VLOOKUP(RegistroPago!A1028,Consolidado!$B$1:$L$1500,1,FALSE),Consolidado!$G$1:$G$1500),"")</f>
        <v>0</v>
      </c>
      <c r="D1028" s="3"/>
      <c r="E1028" s="3"/>
      <c r="F1028" s="5" t="str">
        <f t="shared" si="67"/>
        <v/>
      </c>
      <c r="G1028" s="16" t="str">
        <f>IF(D1028&lt;&gt;"",D1028-VLOOKUP(A1028,Consolidado!$B$1:$L$1500,8,FALSE),"")</f>
        <v/>
      </c>
      <c r="H1028" s="31"/>
      <c r="I1028" s="32">
        <f t="shared" si="64"/>
        <v>0</v>
      </c>
      <c r="J1028" s="33" t="str">
        <f t="shared" si="65"/>
        <v/>
      </c>
      <c r="K1028" s="2"/>
      <c r="L1028" s="15"/>
      <c r="M1028" s="34">
        <f t="shared" si="66"/>
        <v>0</v>
      </c>
    </row>
    <row r="1029" spans="1:13" x14ac:dyDescent="0.25">
      <c r="A1029" s="31"/>
      <c r="B1029" s="16" t="str">
        <f>IFERROR(VLOOKUP(A1029,Consolidado!$B$1:$L$1500,2,FALSE),"")</f>
        <v/>
      </c>
      <c r="C1029" s="16">
        <f>IFERROR(SUMIF(Consolidado!$B$1:$B$1500,VLOOKUP(RegistroPago!A1029,Consolidado!$B$1:$L$1500,1,FALSE),Consolidado!$G$1:$G$1500),"")</f>
        <v>0</v>
      </c>
      <c r="D1029" s="3"/>
      <c r="E1029" s="3"/>
      <c r="F1029" s="5" t="str">
        <f t="shared" si="67"/>
        <v/>
      </c>
      <c r="G1029" s="16" t="str">
        <f>IF(D1029&lt;&gt;"",D1029-VLOOKUP(A1029,Consolidado!$B$1:$L$1500,8,FALSE),"")</f>
        <v/>
      </c>
      <c r="H1029" s="31"/>
      <c r="I1029" s="32">
        <f t="shared" si="64"/>
        <v>0</v>
      </c>
      <c r="J1029" s="33" t="str">
        <f t="shared" si="65"/>
        <v/>
      </c>
      <c r="K1029" s="2"/>
      <c r="L1029" s="15"/>
      <c r="M1029" s="34">
        <f t="shared" si="66"/>
        <v>0</v>
      </c>
    </row>
    <row r="1030" spans="1:13" x14ac:dyDescent="0.25">
      <c r="A1030" s="31"/>
      <c r="B1030" s="16" t="str">
        <f>IFERROR(VLOOKUP(A1030,Consolidado!$B$1:$L$1500,2,FALSE),"")</f>
        <v/>
      </c>
      <c r="C1030" s="16">
        <f>IFERROR(SUMIF(Consolidado!$B$1:$B$1500,VLOOKUP(RegistroPago!A1030,Consolidado!$B$1:$L$1500,1,FALSE),Consolidado!$G$1:$G$1500),"")</f>
        <v>0</v>
      </c>
      <c r="D1030" s="3"/>
      <c r="E1030" s="3"/>
      <c r="F1030" s="5" t="str">
        <f t="shared" si="67"/>
        <v/>
      </c>
      <c r="G1030" s="16" t="str">
        <f>IF(D1030&lt;&gt;"",D1030-VLOOKUP(A1030,Consolidado!$B$1:$L$1500,8,FALSE),"")</f>
        <v/>
      </c>
      <c r="H1030" s="31"/>
      <c r="I1030" s="32">
        <f t="shared" si="64"/>
        <v>0</v>
      </c>
      <c r="J1030" s="33" t="str">
        <f t="shared" si="65"/>
        <v/>
      </c>
      <c r="K1030" s="2"/>
      <c r="L1030" s="15"/>
      <c r="M1030" s="34">
        <f t="shared" si="66"/>
        <v>0</v>
      </c>
    </row>
    <row r="1031" spans="1:13" x14ac:dyDescent="0.25">
      <c r="A1031" s="31"/>
      <c r="B1031" s="16" t="str">
        <f>IFERROR(VLOOKUP(A1031,Consolidado!$B$1:$L$1500,2,FALSE),"")</f>
        <v/>
      </c>
      <c r="C1031" s="16">
        <f>IFERROR(SUMIF(Consolidado!$B$1:$B$1500,VLOOKUP(RegistroPago!A1031,Consolidado!$B$1:$L$1500,1,FALSE),Consolidado!$G$1:$G$1500),"")</f>
        <v>0</v>
      </c>
      <c r="D1031" s="3"/>
      <c r="E1031" s="3"/>
      <c r="F1031" s="5" t="str">
        <f t="shared" si="67"/>
        <v/>
      </c>
      <c r="G1031" s="16" t="str">
        <f>IF(D1031&lt;&gt;"",D1031-VLOOKUP(A1031,Consolidado!$B$1:$L$1500,8,FALSE),"")</f>
        <v/>
      </c>
      <c r="H1031" s="31"/>
      <c r="I1031" s="32">
        <f t="shared" si="64"/>
        <v>0</v>
      </c>
      <c r="J1031" s="33" t="str">
        <f t="shared" si="65"/>
        <v/>
      </c>
      <c r="K1031" s="2"/>
      <c r="L1031" s="15"/>
      <c r="M1031" s="34">
        <f t="shared" si="66"/>
        <v>0</v>
      </c>
    </row>
    <row r="1032" spans="1:13" x14ac:dyDescent="0.25">
      <c r="A1032" s="31"/>
      <c r="B1032" s="16" t="str">
        <f>IFERROR(VLOOKUP(A1032,Consolidado!$B$1:$L$1500,2,FALSE),"")</f>
        <v/>
      </c>
      <c r="C1032" s="16">
        <f>IFERROR(SUMIF(Consolidado!$B$1:$B$1500,VLOOKUP(RegistroPago!A1032,Consolidado!$B$1:$L$1500,1,FALSE),Consolidado!$G$1:$G$1500),"")</f>
        <v>0</v>
      </c>
      <c r="D1032" s="3"/>
      <c r="E1032" s="3"/>
      <c r="F1032" s="5" t="str">
        <f t="shared" si="67"/>
        <v/>
      </c>
      <c r="G1032" s="16" t="str">
        <f>IF(D1032&lt;&gt;"",D1032-VLOOKUP(A1032,Consolidado!$B$1:$L$1500,8,FALSE),"")</f>
        <v/>
      </c>
      <c r="H1032" s="31"/>
      <c r="I1032" s="32">
        <f t="shared" si="64"/>
        <v>0</v>
      </c>
      <c r="J1032" s="33" t="str">
        <f t="shared" si="65"/>
        <v/>
      </c>
      <c r="K1032" s="2"/>
      <c r="L1032" s="15"/>
      <c r="M1032" s="34">
        <f t="shared" si="66"/>
        <v>0</v>
      </c>
    </row>
    <row r="1033" spans="1:13" x14ac:dyDescent="0.25">
      <c r="A1033" s="31"/>
      <c r="B1033" s="16" t="str">
        <f>IFERROR(VLOOKUP(A1033,Consolidado!$B$1:$L$1500,2,FALSE),"")</f>
        <v/>
      </c>
      <c r="C1033" s="16">
        <f>IFERROR(SUMIF(Consolidado!$B$1:$B$1500,VLOOKUP(RegistroPago!A1033,Consolidado!$B$1:$L$1500,1,FALSE),Consolidado!$G$1:$G$1500),"")</f>
        <v>0</v>
      </c>
      <c r="D1033" s="3"/>
      <c r="E1033" s="3"/>
      <c r="F1033" s="5" t="str">
        <f t="shared" si="67"/>
        <v/>
      </c>
      <c r="G1033" s="16" t="str">
        <f>IF(D1033&lt;&gt;"",D1033-VLOOKUP(A1033,Consolidado!$B$1:$L$1500,8,FALSE),"")</f>
        <v/>
      </c>
      <c r="H1033" s="31"/>
      <c r="I1033" s="32">
        <f t="shared" si="64"/>
        <v>0</v>
      </c>
      <c r="J1033" s="33" t="str">
        <f t="shared" si="65"/>
        <v/>
      </c>
      <c r="K1033" s="2"/>
      <c r="L1033" s="15"/>
      <c r="M1033" s="34">
        <f t="shared" si="66"/>
        <v>0</v>
      </c>
    </row>
    <row r="1034" spans="1:13" x14ac:dyDescent="0.25">
      <c r="A1034" s="31"/>
      <c r="B1034" s="16" t="str">
        <f>IFERROR(VLOOKUP(A1034,Consolidado!$B$1:$L$1500,2,FALSE),"")</f>
        <v/>
      </c>
      <c r="C1034" s="16">
        <f>IFERROR(SUMIF(Consolidado!$B$1:$B$1500,VLOOKUP(RegistroPago!A1034,Consolidado!$B$1:$L$1500,1,FALSE),Consolidado!$G$1:$G$1500),"")</f>
        <v>0</v>
      </c>
      <c r="D1034" s="3"/>
      <c r="E1034" s="3"/>
      <c r="F1034" s="5" t="str">
        <f t="shared" si="67"/>
        <v/>
      </c>
      <c r="G1034" s="16" t="str">
        <f>IF(D1034&lt;&gt;"",D1034-VLOOKUP(A1034,Consolidado!$B$1:$L$1500,8,FALSE),"")</f>
        <v/>
      </c>
      <c r="H1034" s="31"/>
      <c r="I1034" s="32">
        <f t="shared" si="64"/>
        <v>0</v>
      </c>
      <c r="J1034" s="33" t="str">
        <f t="shared" si="65"/>
        <v/>
      </c>
      <c r="K1034" s="2"/>
      <c r="L1034" s="15"/>
      <c r="M1034" s="34">
        <f t="shared" si="66"/>
        <v>0</v>
      </c>
    </row>
    <row r="1035" spans="1:13" x14ac:dyDescent="0.25">
      <c r="A1035" s="31"/>
      <c r="B1035" s="16" t="str">
        <f>IFERROR(VLOOKUP(A1035,Consolidado!$B$1:$L$1500,2,FALSE),"")</f>
        <v/>
      </c>
      <c r="C1035" s="16">
        <f>IFERROR(SUMIF(Consolidado!$B$1:$B$1500,VLOOKUP(RegistroPago!A1035,Consolidado!$B$1:$L$1500,1,FALSE),Consolidado!$G$1:$G$1500),"")</f>
        <v>0</v>
      </c>
      <c r="D1035" s="3"/>
      <c r="E1035" s="3"/>
      <c r="F1035" s="5" t="str">
        <f t="shared" si="67"/>
        <v/>
      </c>
      <c r="G1035" s="16" t="str">
        <f>IF(D1035&lt;&gt;"",D1035-VLOOKUP(A1035,Consolidado!$B$1:$L$1500,8,FALSE),"")</f>
        <v/>
      </c>
      <c r="H1035" s="31"/>
      <c r="I1035" s="32">
        <f t="shared" si="64"/>
        <v>0</v>
      </c>
      <c r="J1035" s="33" t="str">
        <f t="shared" si="65"/>
        <v/>
      </c>
      <c r="K1035" s="2"/>
      <c r="L1035" s="15"/>
      <c r="M1035" s="34">
        <f t="shared" si="66"/>
        <v>0</v>
      </c>
    </row>
    <row r="1036" spans="1:13" x14ac:dyDescent="0.25">
      <c r="A1036" s="31"/>
      <c r="B1036" s="16" t="str">
        <f>IFERROR(VLOOKUP(A1036,Consolidado!$B$1:$L$1500,2,FALSE),"")</f>
        <v/>
      </c>
      <c r="C1036" s="16">
        <f>IFERROR(SUMIF(Consolidado!$B$1:$B$1500,VLOOKUP(RegistroPago!A1036,Consolidado!$B$1:$L$1500,1,FALSE),Consolidado!$G$1:$G$1500),"")</f>
        <v>0</v>
      </c>
      <c r="D1036" s="3"/>
      <c r="E1036" s="3"/>
      <c r="F1036" s="5" t="str">
        <f t="shared" si="67"/>
        <v/>
      </c>
      <c r="G1036" s="16" t="str">
        <f>IF(D1036&lt;&gt;"",D1036-VLOOKUP(A1036,Consolidado!$B$1:$L$1500,8,FALSE),"")</f>
        <v/>
      </c>
      <c r="H1036" s="31"/>
      <c r="I1036" s="32">
        <f t="shared" si="64"/>
        <v>0</v>
      </c>
      <c r="J1036" s="33" t="str">
        <f t="shared" si="65"/>
        <v/>
      </c>
      <c r="K1036" s="2"/>
      <c r="L1036" s="15"/>
      <c r="M1036" s="34">
        <f t="shared" si="66"/>
        <v>0</v>
      </c>
    </row>
    <row r="1037" spans="1:13" x14ac:dyDescent="0.25">
      <c r="A1037" s="31"/>
      <c r="B1037" s="16" t="str">
        <f>IFERROR(VLOOKUP(A1037,Consolidado!$B$1:$L$1500,2,FALSE),"")</f>
        <v/>
      </c>
      <c r="C1037" s="16">
        <f>IFERROR(SUMIF(Consolidado!$B$1:$B$1500,VLOOKUP(RegistroPago!A1037,Consolidado!$B$1:$L$1500,1,FALSE),Consolidado!$G$1:$G$1500),"")</f>
        <v>0</v>
      </c>
      <c r="D1037" s="3"/>
      <c r="E1037" s="3"/>
      <c r="F1037" s="5" t="str">
        <f t="shared" si="67"/>
        <v/>
      </c>
      <c r="G1037" s="16" t="str">
        <f>IF(D1037&lt;&gt;"",D1037-VLOOKUP(A1037,Consolidado!$B$1:$L$1500,8,FALSE),"")</f>
        <v/>
      </c>
      <c r="H1037" s="31"/>
      <c r="I1037" s="32">
        <f t="shared" si="64"/>
        <v>0</v>
      </c>
      <c r="J1037" s="33" t="str">
        <f t="shared" si="65"/>
        <v/>
      </c>
      <c r="K1037" s="2"/>
      <c r="L1037" s="15"/>
      <c r="M1037" s="34">
        <f t="shared" si="66"/>
        <v>0</v>
      </c>
    </row>
    <row r="1038" spans="1:13" x14ac:dyDescent="0.25">
      <c r="A1038" s="31"/>
      <c r="B1038" s="16" t="str">
        <f>IFERROR(VLOOKUP(A1038,Consolidado!$B$1:$L$1500,2,FALSE),"")</f>
        <v/>
      </c>
      <c r="C1038" s="16">
        <f>IFERROR(SUMIF(Consolidado!$B$1:$B$1500,VLOOKUP(RegistroPago!A1038,Consolidado!$B$1:$L$1500,1,FALSE),Consolidado!$G$1:$G$1500),"")</f>
        <v>0</v>
      </c>
      <c r="D1038" s="3"/>
      <c r="E1038" s="3"/>
      <c r="F1038" s="5" t="str">
        <f t="shared" si="67"/>
        <v/>
      </c>
      <c r="G1038" s="16" t="str">
        <f>IF(D1038&lt;&gt;"",D1038-VLOOKUP(A1038,Consolidado!$B$1:$L$1500,8,FALSE),"")</f>
        <v/>
      </c>
      <c r="H1038" s="31"/>
      <c r="I1038" s="32">
        <f t="shared" si="64"/>
        <v>0</v>
      </c>
      <c r="J1038" s="33" t="str">
        <f t="shared" si="65"/>
        <v/>
      </c>
      <c r="K1038" s="2"/>
      <c r="L1038" s="15"/>
      <c r="M1038" s="34">
        <f t="shared" si="66"/>
        <v>0</v>
      </c>
    </row>
    <row r="1039" spans="1:13" x14ac:dyDescent="0.25">
      <c r="A1039" s="31"/>
      <c r="B1039" s="16" t="str">
        <f>IFERROR(VLOOKUP(A1039,Consolidado!$B$1:$L$1500,2,FALSE),"")</f>
        <v/>
      </c>
      <c r="C1039" s="16">
        <f>IFERROR(SUMIF(Consolidado!$B$1:$B$1500,VLOOKUP(RegistroPago!A1039,Consolidado!$B$1:$L$1500,1,FALSE),Consolidado!$G$1:$G$1500),"")</f>
        <v>0</v>
      </c>
      <c r="D1039" s="3"/>
      <c r="E1039" s="3"/>
      <c r="F1039" s="5" t="str">
        <f t="shared" si="67"/>
        <v/>
      </c>
      <c r="G1039" s="16" t="str">
        <f>IF(D1039&lt;&gt;"",D1039-VLOOKUP(A1039,Consolidado!$B$1:$L$1500,8,FALSE),"")</f>
        <v/>
      </c>
      <c r="H1039" s="31"/>
      <c r="I1039" s="32">
        <f t="shared" si="64"/>
        <v>0</v>
      </c>
      <c r="J1039" s="33" t="str">
        <f t="shared" si="65"/>
        <v/>
      </c>
      <c r="K1039" s="2"/>
      <c r="L1039" s="15"/>
      <c r="M1039" s="34">
        <f t="shared" si="66"/>
        <v>0</v>
      </c>
    </row>
    <row r="1040" spans="1:13" x14ac:dyDescent="0.25">
      <c r="A1040" s="31"/>
      <c r="B1040" s="16" t="str">
        <f>IFERROR(VLOOKUP(A1040,Consolidado!$B$1:$L$1500,2,FALSE),"")</f>
        <v/>
      </c>
      <c r="C1040" s="16">
        <f>IFERROR(SUMIF(Consolidado!$B$1:$B$1500,VLOOKUP(RegistroPago!A1040,Consolidado!$B$1:$L$1500,1,FALSE),Consolidado!$G$1:$G$1500),"")</f>
        <v>0</v>
      </c>
      <c r="D1040" s="3"/>
      <c r="E1040" s="3"/>
      <c r="F1040" s="5" t="str">
        <f t="shared" si="67"/>
        <v/>
      </c>
      <c r="G1040" s="16" t="str">
        <f>IF(D1040&lt;&gt;"",D1040-VLOOKUP(A1040,Consolidado!$B$1:$L$1500,8,FALSE),"")</f>
        <v/>
      </c>
      <c r="H1040" s="31"/>
      <c r="I1040" s="32">
        <f t="shared" si="64"/>
        <v>0</v>
      </c>
      <c r="J1040" s="33" t="str">
        <f t="shared" si="65"/>
        <v/>
      </c>
      <c r="K1040" s="2"/>
      <c r="L1040" s="15"/>
      <c r="M1040" s="34">
        <f t="shared" si="66"/>
        <v>0</v>
      </c>
    </row>
    <row r="1041" spans="1:13" x14ac:dyDescent="0.25">
      <c r="A1041" s="31"/>
      <c r="B1041" s="16" t="str">
        <f>IFERROR(VLOOKUP(A1041,Consolidado!$B$1:$L$1500,2,FALSE),"")</f>
        <v/>
      </c>
      <c r="C1041" s="16">
        <f>IFERROR(SUMIF(Consolidado!$B$1:$B$1500,VLOOKUP(RegistroPago!A1041,Consolidado!$B$1:$L$1500,1,FALSE),Consolidado!$G$1:$G$1500),"")</f>
        <v>0</v>
      </c>
      <c r="D1041" s="3"/>
      <c r="E1041" s="3"/>
      <c r="F1041" s="5" t="str">
        <f t="shared" si="67"/>
        <v/>
      </c>
      <c r="G1041" s="16" t="str">
        <f>IF(D1041&lt;&gt;"",D1041-VLOOKUP(A1041,Consolidado!$B$1:$L$1500,8,FALSE),"")</f>
        <v/>
      </c>
      <c r="H1041" s="31"/>
      <c r="I1041" s="32">
        <f t="shared" si="64"/>
        <v>0</v>
      </c>
      <c r="J1041" s="33" t="str">
        <f t="shared" si="65"/>
        <v/>
      </c>
      <c r="K1041" s="2"/>
      <c r="L1041" s="15"/>
      <c r="M1041" s="34">
        <f t="shared" si="66"/>
        <v>0</v>
      </c>
    </row>
    <row r="1042" spans="1:13" x14ac:dyDescent="0.25">
      <c r="A1042" s="31"/>
      <c r="B1042" s="16" t="str">
        <f>IFERROR(VLOOKUP(A1042,Consolidado!$B$1:$L$1500,2,FALSE),"")</f>
        <v/>
      </c>
      <c r="C1042" s="16">
        <f>IFERROR(SUMIF(Consolidado!$B$1:$B$1500,VLOOKUP(RegistroPago!A1042,Consolidado!$B$1:$L$1500,1,FALSE),Consolidado!$G$1:$G$1500),"")</f>
        <v>0</v>
      </c>
      <c r="D1042" s="3"/>
      <c r="E1042" s="3"/>
      <c r="F1042" s="5" t="str">
        <f t="shared" si="67"/>
        <v/>
      </c>
      <c r="G1042" s="16" t="str">
        <f>IF(D1042&lt;&gt;"",D1042-VLOOKUP(A1042,Consolidado!$B$1:$L$1500,8,FALSE),"")</f>
        <v/>
      </c>
      <c r="H1042" s="31"/>
      <c r="I1042" s="32">
        <f t="shared" si="64"/>
        <v>0</v>
      </c>
      <c r="J1042" s="33" t="str">
        <f t="shared" si="65"/>
        <v/>
      </c>
      <c r="K1042" s="2"/>
      <c r="L1042" s="15"/>
      <c r="M1042" s="34">
        <f t="shared" si="66"/>
        <v>0</v>
      </c>
    </row>
    <row r="1043" spans="1:13" x14ac:dyDescent="0.25">
      <c r="A1043" s="31"/>
      <c r="B1043" s="16" t="str">
        <f>IFERROR(VLOOKUP(A1043,Consolidado!$B$1:$L$1500,2,FALSE),"")</f>
        <v/>
      </c>
      <c r="C1043" s="16">
        <f>IFERROR(SUMIF(Consolidado!$B$1:$B$1500,VLOOKUP(RegistroPago!A1043,Consolidado!$B$1:$L$1500,1,FALSE),Consolidado!$G$1:$G$1500),"")</f>
        <v>0</v>
      </c>
      <c r="D1043" s="3"/>
      <c r="E1043" s="3"/>
      <c r="F1043" s="5" t="str">
        <f t="shared" si="67"/>
        <v/>
      </c>
      <c r="G1043" s="16" t="str">
        <f>IF(D1043&lt;&gt;"",D1043-VLOOKUP(A1043,Consolidado!$B$1:$L$1500,8,FALSE),"")</f>
        <v/>
      </c>
      <c r="H1043" s="31"/>
      <c r="I1043" s="32">
        <f t="shared" si="64"/>
        <v>0</v>
      </c>
      <c r="J1043" s="33" t="str">
        <f t="shared" si="65"/>
        <v/>
      </c>
      <c r="K1043" s="2"/>
      <c r="L1043" s="15"/>
      <c r="M1043" s="34">
        <f t="shared" si="66"/>
        <v>0</v>
      </c>
    </row>
    <row r="1044" spans="1:13" x14ac:dyDescent="0.25">
      <c r="A1044" s="31"/>
      <c r="B1044" s="16" t="str">
        <f>IFERROR(VLOOKUP(A1044,Consolidado!$B$1:$L$1500,2,FALSE),"")</f>
        <v/>
      </c>
      <c r="C1044" s="16">
        <f>IFERROR(SUMIF(Consolidado!$B$1:$B$1500,VLOOKUP(RegistroPago!A1044,Consolidado!$B$1:$L$1500,1,FALSE),Consolidado!$G$1:$G$1500),"")</f>
        <v>0</v>
      </c>
      <c r="D1044" s="3"/>
      <c r="E1044" s="3"/>
      <c r="F1044" s="5" t="str">
        <f t="shared" si="67"/>
        <v/>
      </c>
      <c r="G1044" s="16" t="str">
        <f>IF(D1044&lt;&gt;"",D1044-VLOOKUP(A1044,Consolidado!$B$1:$L$1500,8,FALSE),"")</f>
        <v/>
      </c>
      <c r="H1044" s="31"/>
      <c r="I1044" s="32">
        <f t="shared" si="64"/>
        <v>0</v>
      </c>
      <c r="J1044" s="33" t="str">
        <f t="shared" si="65"/>
        <v/>
      </c>
      <c r="K1044" s="2"/>
      <c r="L1044" s="15"/>
      <c r="M1044" s="34">
        <f t="shared" si="66"/>
        <v>0</v>
      </c>
    </row>
    <row r="1045" spans="1:13" x14ac:dyDescent="0.25">
      <c r="A1045" s="31"/>
      <c r="B1045" s="16" t="str">
        <f>IFERROR(VLOOKUP(A1045,Consolidado!$B$1:$L$1500,2,FALSE),"")</f>
        <v/>
      </c>
      <c r="C1045" s="16">
        <f>IFERROR(SUMIF(Consolidado!$B$1:$B$1500,VLOOKUP(RegistroPago!A1045,Consolidado!$B$1:$L$1500,1,FALSE),Consolidado!$G$1:$G$1500),"")</f>
        <v>0</v>
      </c>
      <c r="D1045" s="3"/>
      <c r="E1045" s="3"/>
      <c r="F1045" s="5" t="str">
        <f t="shared" si="67"/>
        <v/>
      </c>
      <c r="G1045" s="16" t="str">
        <f>IF(D1045&lt;&gt;"",D1045-VLOOKUP(A1045,Consolidado!$B$1:$L$1500,8,FALSE),"")</f>
        <v/>
      </c>
      <c r="H1045" s="31"/>
      <c r="I1045" s="32">
        <f t="shared" si="64"/>
        <v>0</v>
      </c>
      <c r="J1045" s="33" t="str">
        <f t="shared" si="65"/>
        <v/>
      </c>
      <c r="K1045" s="2"/>
      <c r="L1045" s="15"/>
      <c r="M1045" s="34">
        <f t="shared" si="66"/>
        <v>0</v>
      </c>
    </row>
    <row r="1046" spans="1:13" x14ac:dyDescent="0.25">
      <c r="A1046" s="31"/>
      <c r="B1046" s="16" t="str">
        <f>IFERROR(VLOOKUP(A1046,Consolidado!$B$1:$L$1500,2,FALSE),"")</f>
        <v/>
      </c>
      <c r="C1046" s="16">
        <f>IFERROR(SUMIF(Consolidado!$B$1:$B$1500,VLOOKUP(RegistroPago!A1046,Consolidado!$B$1:$L$1500,1,FALSE),Consolidado!$G$1:$G$1500),"")</f>
        <v>0</v>
      </c>
      <c r="D1046" s="3"/>
      <c r="E1046" s="3"/>
      <c r="F1046" s="5" t="str">
        <f t="shared" si="67"/>
        <v/>
      </c>
      <c r="G1046" s="16" t="str">
        <f>IF(D1046&lt;&gt;"",D1046-VLOOKUP(A1046,Consolidado!$B$1:$L$1500,8,FALSE),"")</f>
        <v/>
      </c>
      <c r="H1046" s="31"/>
      <c r="I1046" s="32">
        <f t="shared" si="64"/>
        <v>0</v>
      </c>
      <c r="J1046" s="33" t="str">
        <f t="shared" si="65"/>
        <v/>
      </c>
      <c r="K1046" s="2"/>
      <c r="L1046" s="15"/>
      <c r="M1046" s="34">
        <f t="shared" si="66"/>
        <v>0</v>
      </c>
    </row>
    <row r="1047" spans="1:13" x14ac:dyDescent="0.25">
      <c r="A1047" s="31"/>
      <c r="B1047" s="16" t="str">
        <f>IFERROR(VLOOKUP(A1047,Consolidado!$B$1:$L$1500,2,FALSE),"")</f>
        <v/>
      </c>
      <c r="C1047" s="16">
        <f>IFERROR(SUMIF(Consolidado!$B$1:$B$1500,VLOOKUP(RegistroPago!A1047,Consolidado!$B$1:$L$1500,1,FALSE),Consolidado!$G$1:$G$1500),"")</f>
        <v>0</v>
      </c>
      <c r="D1047" s="3"/>
      <c r="E1047" s="3"/>
      <c r="F1047" s="5" t="str">
        <f t="shared" si="67"/>
        <v/>
      </c>
      <c r="G1047" s="16" t="str">
        <f>IF(D1047&lt;&gt;"",D1047-VLOOKUP(A1047,Consolidado!$B$1:$L$1500,8,FALSE),"")</f>
        <v/>
      </c>
      <c r="H1047" s="31"/>
      <c r="I1047" s="32">
        <f t="shared" si="64"/>
        <v>0</v>
      </c>
      <c r="J1047" s="33" t="str">
        <f t="shared" si="65"/>
        <v/>
      </c>
      <c r="K1047" s="2"/>
      <c r="L1047" s="15"/>
      <c r="M1047" s="34">
        <f t="shared" si="66"/>
        <v>0</v>
      </c>
    </row>
    <row r="1048" spans="1:13" x14ac:dyDescent="0.25">
      <c r="A1048" s="31"/>
      <c r="B1048" s="16" t="str">
        <f>IFERROR(VLOOKUP(A1048,Consolidado!$B$1:$L$1500,2,FALSE),"")</f>
        <v/>
      </c>
      <c r="C1048" s="16">
        <f>IFERROR(SUMIF(Consolidado!$B$1:$B$1500,VLOOKUP(RegistroPago!A1048,Consolidado!$B$1:$L$1500,1,FALSE),Consolidado!$G$1:$G$1500),"")</f>
        <v>0</v>
      </c>
      <c r="D1048" s="3"/>
      <c r="E1048" s="3"/>
      <c r="F1048" s="5" t="str">
        <f t="shared" si="67"/>
        <v/>
      </c>
      <c r="G1048" s="16" t="str">
        <f>IF(D1048&lt;&gt;"",D1048-VLOOKUP(A1048,Consolidado!$B$1:$L$1500,8,FALSE),"")</f>
        <v/>
      </c>
      <c r="H1048" s="31"/>
      <c r="I1048" s="32">
        <f t="shared" si="64"/>
        <v>0</v>
      </c>
      <c r="J1048" s="33" t="str">
        <f t="shared" si="65"/>
        <v/>
      </c>
      <c r="K1048" s="2"/>
      <c r="L1048" s="15"/>
      <c r="M1048" s="34">
        <f t="shared" si="66"/>
        <v>0</v>
      </c>
    </row>
    <row r="1049" spans="1:13" x14ac:dyDescent="0.25">
      <c r="A1049" s="31"/>
      <c r="B1049" s="16" t="str">
        <f>IFERROR(VLOOKUP(A1049,Consolidado!$B$1:$L$1500,2,FALSE),"")</f>
        <v/>
      </c>
      <c r="C1049" s="16">
        <f>IFERROR(SUMIF(Consolidado!$B$1:$B$1500,VLOOKUP(RegistroPago!A1049,Consolidado!$B$1:$L$1500,1,FALSE),Consolidado!$G$1:$G$1500),"")</f>
        <v>0</v>
      </c>
      <c r="D1049" s="3"/>
      <c r="E1049" s="3"/>
      <c r="F1049" s="5" t="str">
        <f t="shared" si="67"/>
        <v/>
      </c>
      <c r="G1049" s="16" t="str">
        <f>IF(D1049&lt;&gt;"",D1049-VLOOKUP(A1049,Consolidado!$B$1:$L$1500,8,FALSE),"")</f>
        <v/>
      </c>
      <c r="H1049" s="31"/>
      <c r="I1049" s="32">
        <f t="shared" si="64"/>
        <v>0</v>
      </c>
      <c r="J1049" s="33" t="str">
        <f t="shared" si="65"/>
        <v/>
      </c>
      <c r="K1049" s="2"/>
      <c r="L1049" s="15"/>
      <c r="M1049" s="34">
        <f t="shared" si="66"/>
        <v>0</v>
      </c>
    </row>
    <row r="1050" spans="1:13" x14ac:dyDescent="0.25">
      <c r="A1050" s="31"/>
      <c r="B1050" s="16" t="str">
        <f>IFERROR(VLOOKUP(A1050,Consolidado!$B$1:$L$1500,2,FALSE),"")</f>
        <v/>
      </c>
      <c r="C1050" s="16">
        <f>IFERROR(SUMIF(Consolidado!$B$1:$B$1500,VLOOKUP(RegistroPago!A1050,Consolidado!$B$1:$L$1500,1,FALSE),Consolidado!$G$1:$G$1500),"")</f>
        <v>0</v>
      </c>
      <c r="D1050" s="3"/>
      <c r="E1050" s="3"/>
      <c r="F1050" s="5" t="str">
        <f t="shared" si="67"/>
        <v/>
      </c>
      <c r="G1050" s="16" t="str">
        <f>IF(D1050&lt;&gt;"",D1050-VLOOKUP(A1050,Consolidado!$B$1:$L$1500,8,FALSE),"")</f>
        <v/>
      </c>
      <c r="H1050" s="31"/>
      <c r="I1050" s="32">
        <f t="shared" si="64"/>
        <v>0</v>
      </c>
      <c r="J1050" s="33" t="str">
        <f t="shared" si="65"/>
        <v/>
      </c>
      <c r="K1050" s="2"/>
      <c r="L1050" s="15"/>
      <c r="M1050" s="34">
        <f t="shared" si="66"/>
        <v>0</v>
      </c>
    </row>
    <row r="1051" spans="1:13" x14ac:dyDescent="0.25">
      <c r="A1051" s="31"/>
      <c r="B1051" s="16" t="str">
        <f>IFERROR(VLOOKUP(A1051,Consolidado!$B$1:$L$1500,2,FALSE),"")</f>
        <v/>
      </c>
      <c r="C1051" s="16">
        <f>IFERROR(SUMIF(Consolidado!$B$1:$B$1500,VLOOKUP(RegistroPago!A1051,Consolidado!$B$1:$L$1500,1,FALSE),Consolidado!$G$1:$G$1500),"")</f>
        <v>0</v>
      </c>
      <c r="D1051" s="3"/>
      <c r="E1051" s="3"/>
      <c r="F1051" s="5" t="str">
        <f t="shared" si="67"/>
        <v/>
      </c>
      <c r="G1051" s="16" t="str">
        <f>IF(D1051&lt;&gt;"",D1051-VLOOKUP(A1051,Consolidado!$B$1:$L$1500,8,FALSE),"")</f>
        <v/>
      </c>
      <c r="H1051" s="31"/>
      <c r="I1051" s="32">
        <f t="shared" si="64"/>
        <v>0</v>
      </c>
      <c r="J1051" s="33" t="str">
        <f t="shared" si="65"/>
        <v/>
      </c>
      <c r="K1051" s="2"/>
      <c r="L1051" s="15"/>
      <c r="M1051" s="34">
        <f t="shared" si="66"/>
        <v>0</v>
      </c>
    </row>
    <row r="1052" spans="1:13" x14ac:dyDescent="0.25">
      <c r="A1052" s="31"/>
      <c r="B1052" s="16" t="str">
        <f>IFERROR(VLOOKUP(A1052,Consolidado!$B$1:$L$1500,2,FALSE),"")</f>
        <v/>
      </c>
      <c r="C1052" s="16">
        <f>IFERROR(SUMIF(Consolidado!$B$1:$B$1500,VLOOKUP(RegistroPago!A1052,Consolidado!$B$1:$L$1500,1,FALSE),Consolidado!$G$1:$G$1500),"")</f>
        <v>0</v>
      </c>
      <c r="D1052" s="3"/>
      <c r="E1052" s="3"/>
      <c r="F1052" s="5" t="str">
        <f t="shared" si="67"/>
        <v/>
      </c>
      <c r="G1052" s="16" t="str">
        <f>IF(D1052&lt;&gt;"",D1052-VLOOKUP(A1052,Consolidado!$B$1:$L$1500,8,FALSE),"")</f>
        <v/>
      </c>
      <c r="H1052" s="31"/>
      <c r="I1052" s="32">
        <f t="shared" si="64"/>
        <v>0</v>
      </c>
      <c r="J1052" s="33" t="str">
        <f t="shared" si="65"/>
        <v/>
      </c>
      <c r="K1052" s="2"/>
      <c r="L1052" s="15"/>
      <c r="M1052" s="34">
        <f t="shared" si="66"/>
        <v>0</v>
      </c>
    </row>
    <row r="1053" spans="1:13" x14ac:dyDescent="0.25">
      <c r="A1053" s="31"/>
      <c r="B1053" s="16" t="str">
        <f>IFERROR(VLOOKUP(A1053,Consolidado!$B$1:$L$1500,2,FALSE),"")</f>
        <v/>
      </c>
      <c r="C1053" s="16">
        <f>IFERROR(SUMIF(Consolidado!$B$1:$B$1500,VLOOKUP(RegistroPago!A1053,Consolidado!$B$1:$L$1500,1,FALSE),Consolidado!$G$1:$G$1500),"")</f>
        <v>0</v>
      </c>
      <c r="D1053" s="3"/>
      <c r="E1053" s="3"/>
      <c r="F1053" s="5" t="str">
        <f t="shared" si="67"/>
        <v/>
      </c>
      <c r="G1053" s="16" t="str">
        <f>IF(D1053&lt;&gt;"",D1053-VLOOKUP(A1053,Consolidado!$B$1:$L$1500,8,FALSE),"")</f>
        <v/>
      </c>
      <c r="H1053" s="31"/>
      <c r="I1053" s="32">
        <f t="shared" si="64"/>
        <v>0</v>
      </c>
      <c r="J1053" s="33" t="str">
        <f t="shared" si="65"/>
        <v/>
      </c>
      <c r="K1053" s="2"/>
      <c r="L1053" s="15"/>
      <c r="M1053" s="34">
        <f t="shared" si="66"/>
        <v>0</v>
      </c>
    </row>
    <row r="1054" spans="1:13" x14ac:dyDescent="0.25">
      <c r="A1054" s="31"/>
      <c r="B1054" s="16" t="str">
        <f>IFERROR(VLOOKUP(A1054,Consolidado!$B$1:$L$1500,2,FALSE),"")</f>
        <v/>
      </c>
      <c r="C1054" s="16">
        <f>IFERROR(SUMIF(Consolidado!$B$1:$B$1500,VLOOKUP(RegistroPago!A1054,Consolidado!$B$1:$L$1500,1,FALSE),Consolidado!$G$1:$G$1500),"")</f>
        <v>0</v>
      </c>
      <c r="D1054" s="3"/>
      <c r="E1054" s="3"/>
      <c r="F1054" s="5" t="str">
        <f t="shared" si="67"/>
        <v/>
      </c>
      <c r="G1054" s="16" t="str">
        <f>IF(D1054&lt;&gt;"",D1054-VLOOKUP(A1054,Consolidado!$B$1:$L$1500,8,FALSE),"")</f>
        <v/>
      </c>
      <c r="H1054" s="31"/>
      <c r="I1054" s="32">
        <f t="shared" si="64"/>
        <v>0</v>
      </c>
      <c r="J1054" s="33" t="str">
        <f t="shared" si="65"/>
        <v/>
      </c>
      <c r="K1054" s="2"/>
      <c r="L1054" s="15"/>
      <c r="M1054" s="34">
        <f t="shared" si="66"/>
        <v>0</v>
      </c>
    </row>
    <row r="1055" spans="1:13" x14ac:dyDescent="0.25">
      <c r="A1055" s="31"/>
      <c r="B1055" s="16" t="str">
        <f>IFERROR(VLOOKUP(A1055,Consolidado!$B$1:$L$1500,2,FALSE),"")</f>
        <v/>
      </c>
      <c r="C1055" s="16">
        <f>IFERROR(SUMIF(Consolidado!$B$1:$B$1500,VLOOKUP(RegistroPago!A1055,Consolidado!$B$1:$L$1500,1,FALSE),Consolidado!$G$1:$G$1500),"")</f>
        <v>0</v>
      </c>
      <c r="D1055" s="3"/>
      <c r="E1055" s="3"/>
      <c r="F1055" s="5" t="str">
        <f t="shared" si="67"/>
        <v/>
      </c>
      <c r="G1055" s="16" t="str">
        <f>IF(D1055&lt;&gt;"",D1055-VLOOKUP(A1055,Consolidado!$B$1:$L$1500,8,FALSE),"")</f>
        <v/>
      </c>
      <c r="H1055" s="31"/>
      <c r="I1055" s="32">
        <f t="shared" si="64"/>
        <v>0</v>
      </c>
      <c r="J1055" s="33" t="str">
        <f t="shared" si="65"/>
        <v/>
      </c>
      <c r="K1055" s="2"/>
      <c r="L1055" s="15"/>
      <c r="M1055" s="34">
        <f t="shared" si="66"/>
        <v>0</v>
      </c>
    </row>
    <row r="1056" spans="1:13" x14ac:dyDescent="0.25">
      <c r="A1056" s="31"/>
      <c r="B1056" s="16" t="str">
        <f>IFERROR(VLOOKUP(A1056,Consolidado!$B$1:$L$1500,2,FALSE),"")</f>
        <v/>
      </c>
      <c r="C1056" s="16">
        <f>IFERROR(SUMIF(Consolidado!$B$1:$B$1500,VLOOKUP(RegistroPago!A1056,Consolidado!$B$1:$L$1500,1,FALSE),Consolidado!$G$1:$G$1500),"")</f>
        <v>0</v>
      </c>
      <c r="D1056" s="3"/>
      <c r="E1056" s="3"/>
      <c r="F1056" s="5" t="str">
        <f t="shared" si="67"/>
        <v/>
      </c>
      <c r="G1056" s="16" t="str">
        <f>IF(D1056&lt;&gt;"",D1056-VLOOKUP(A1056,Consolidado!$B$1:$L$1500,8,FALSE),"")</f>
        <v/>
      </c>
      <c r="H1056" s="31"/>
      <c r="I1056" s="32">
        <f t="shared" si="64"/>
        <v>0</v>
      </c>
      <c r="J1056" s="33" t="str">
        <f t="shared" si="65"/>
        <v/>
      </c>
      <c r="K1056" s="2"/>
      <c r="L1056" s="15"/>
      <c r="M1056" s="34">
        <f t="shared" si="66"/>
        <v>0</v>
      </c>
    </row>
    <row r="1057" spans="1:13" x14ac:dyDescent="0.25">
      <c r="A1057" s="31"/>
      <c r="B1057" s="16" t="str">
        <f>IFERROR(VLOOKUP(A1057,Consolidado!$B$1:$L$1500,2,FALSE),"")</f>
        <v/>
      </c>
      <c r="C1057" s="16">
        <f>IFERROR(SUMIF(Consolidado!$B$1:$B$1500,VLOOKUP(RegistroPago!A1057,Consolidado!$B$1:$L$1500,1,FALSE),Consolidado!$G$1:$G$1500),"")</f>
        <v>0</v>
      </c>
      <c r="D1057" s="3"/>
      <c r="E1057" s="3"/>
      <c r="F1057" s="5" t="str">
        <f t="shared" si="67"/>
        <v/>
      </c>
      <c r="G1057" s="16" t="str">
        <f>IF(D1057&lt;&gt;"",D1057-VLOOKUP(A1057,Consolidado!$B$1:$L$1500,8,FALSE),"")</f>
        <v/>
      </c>
      <c r="H1057" s="31"/>
      <c r="I1057" s="32">
        <f t="shared" si="64"/>
        <v>0</v>
      </c>
      <c r="J1057" s="33" t="str">
        <f t="shared" si="65"/>
        <v/>
      </c>
      <c r="K1057" s="2"/>
      <c r="L1057" s="15"/>
      <c r="M1057" s="34">
        <f t="shared" si="66"/>
        <v>0</v>
      </c>
    </row>
    <row r="1058" spans="1:13" x14ac:dyDescent="0.25">
      <c r="A1058" s="31"/>
      <c r="B1058" s="16" t="str">
        <f>IFERROR(VLOOKUP(A1058,Consolidado!$B$1:$L$1500,2,FALSE),"")</f>
        <v/>
      </c>
      <c r="C1058" s="16">
        <f>IFERROR(SUMIF(Consolidado!$B$1:$B$1500,VLOOKUP(RegistroPago!A1058,Consolidado!$B$1:$L$1500,1,FALSE),Consolidado!$G$1:$G$1500),"")</f>
        <v>0</v>
      </c>
      <c r="D1058" s="3"/>
      <c r="E1058" s="3"/>
      <c r="F1058" s="5" t="str">
        <f t="shared" si="67"/>
        <v/>
      </c>
      <c r="G1058" s="16" t="str">
        <f>IF(D1058&lt;&gt;"",D1058-VLOOKUP(A1058,Consolidado!$B$1:$L$1500,8,FALSE),"")</f>
        <v/>
      </c>
      <c r="H1058" s="31"/>
      <c r="I1058" s="32">
        <f t="shared" si="64"/>
        <v>0</v>
      </c>
      <c r="J1058" s="33" t="str">
        <f t="shared" si="65"/>
        <v/>
      </c>
      <c r="K1058" s="2"/>
      <c r="L1058" s="15"/>
      <c r="M1058" s="34">
        <f t="shared" si="66"/>
        <v>0</v>
      </c>
    </row>
    <row r="1059" spans="1:13" x14ac:dyDescent="0.25">
      <c r="A1059" s="31"/>
      <c r="B1059" s="16" t="str">
        <f>IFERROR(VLOOKUP(A1059,Consolidado!$B$1:$L$1500,2,FALSE),"")</f>
        <v/>
      </c>
      <c r="C1059" s="16">
        <f>IFERROR(SUMIF(Consolidado!$B$1:$B$1500,VLOOKUP(RegistroPago!A1059,Consolidado!$B$1:$L$1500,1,FALSE),Consolidado!$G$1:$G$1500),"")</f>
        <v>0</v>
      </c>
      <c r="D1059" s="3"/>
      <c r="E1059" s="3"/>
      <c r="F1059" s="5" t="str">
        <f t="shared" si="67"/>
        <v/>
      </c>
      <c r="G1059" s="16" t="str">
        <f>IF(D1059&lt;&gt;"",D1059-VLOOKUP(A1059,Consolidado!$B$1:$L$1500,8,FALSE),"")</f>
        <v/>
      </c>
      <c r="H1059" s="31"/>
      <c r="I1059" s="32">
        <f t="shared" si="64"/>
        <v>0</v>
      </c>
      <c r="J1059" s="33" t="str">
        <f t="shared" si="65"/>
        <v/>
      </c>
      <c r="K1059" s="2"/>
      <c r="L1059" s="15"/>
      <c r="M1059" s="34">
        <f t="shared" si="66"/>
        <v>0</v>
      </c>
    </row>
    <row r="1060" spans="1:13" x14ac:dyDescent="0.25">
      <c r="A1060" s="31"/>
      <c r="B1060" s="16" t="str">
        <f>IFERROR(VLOOKUP(A1060,Consolidado!$B$1:$L$1500,2,FALSE),"")</f>
        <v/>
      </c>
      <c r="C1060" s="16">
        <f>IFERROR(SUMIF(Consolidado!$B$1:$B$1500,VLOOKUP(RegistroPago!A1060,Consolidado!$B$1:$L$1500,1,FALSE),Consolidado!$G$1:$G$1500),"")</f>
        <v>0</v>
      </c>
      <c r="D1060" s="3"/>
      <c r="E1060" s="3"/>
      <c r="F1060" s="5" t="str">
        <f t="shared" si="67"/>
        <v/>
      </c>
      <c r="G1060" s="16" t="str">
        <f>IF(D1060&lt;&gt;"",D1060-VLOOKUP(A1060,Consolidado!$B$1:$L$1500,8,FALSE),"")</f>
        <v/>
      </c>
      <c r="H1060" s="31"/>
      <c r="I1060" s="32">
        <f t="shared" si="64"/>
        <v>0</v>
      </c>
      <c r="J1060" s="33" t="str">
        <f t="shared" si="65"/>
        <v/>
      </c>
      <c r="K1060" s="2"/>
      <c r="L1060" s="15"/>
      <c r="M1060" s="34">
        <f t="shared" si="66"/>
        <v>0</v>
      </c>
    </row>
    <row r="1061" spans="1:13" x14ac:dyDescent="0.25">
      <c r="A1061" s="31"/>
      <c r="B1061" s="16" t="str">
        <f>IFERROR(VLOOKUP(A1061,Consolidado!$B$1:$L$1500,2,FALSE),"")</f>
        <v/>
      </c>
      <c r="C1061" s="16">
        <f>IFERROR(SUMIF(Consolidado!$B$1:$B$1500,VLOOKUP(RegistroPago!A1061,Consolidado!$B$1:$L$1500,1,FALSE),Consolidado!$G$1:$G$1500),"")</f>
        <v>0</v>
      </c>
      <c r="D1061" s="3"/>
      <c r="E1061" s="3"/>
      <c r="F1061" s="5" t="str">
        <f t="shared" si="67"/>
        <v/>
      </c>
      <c r="G1061" s="16" t="str">
        <f>IF(D1061&lt;&gt;"",D1061-VLOOKUP(A1061,Consolidado!$B$1:$L$1500,8,FALSE),"")</f>
        <v/>
      </c>
      <c r="H1061" s="31"/>
      <c r="I1061" s="32">
        <f t="shared" si="64"/>
        <v>0</v>
      </c>
      <c r="J1061" s="33" t="str">
        <f t="shared" si="65"/>
        <v/>
      </c>
      <c r="K1061" s="2"/>
      <c r="L1061" s="15"/>
      <c r="M1061" s="34">
        <f t="shared" si="66"/>
        <v>0</v>
      </c>
    </row>
    <row r="1062" spans="1:13" x14ac:dyDescent="0.25">
      <c r="A1062" s="31"/>
      <c r="B1062" s="16" t="str">
        <f>IFERROR(VLOOKUP(A1062,Consolidado!$B$1:$L$1500,2,FALSE),"")</f>
        <v/>
      </c>
      <c r="C1062" s="16">
        <f>IFERROR(SUMIF(Consolidado!$B$1:$B$1500,VLOOKUP(RegistroPago!A1062,Consolidado!$B$1:$L$1500,1,FALSE),Consolidado!$G$1:$G$1500),"")</f>
        <v>0</v>
      </c>
      <c r="D1062" s="3"/>
      <c r="E1062" s="3"/>
      <c r="F1062" s="5" t="str">
        <f t="shared" si="67"/>
        <v/>
      </c>
      <c r="G1062" s="16" t="str">
        <f>IF(D1062&lt;&gt;"",D1062-VLOOKUP(A1062,Consolidado!$B$1:$L$1500,8,FALSE),"")</f>
        <v/>
      </c>
      <c r="H1062" s="31"/>
      <c r="I1062" s="32">
        <f t="shared" si="64"/>
        <v>0</v>
      </c>
      <c r="J1062" s="33" t="str">
        <f t="shared" si="65"/>
        <v/>
      </c>
      <c r="K1062" s="2"/>
      <c r="L1062" s="15"/>
      <c r="M1062" s="34">
        <f t="shared" si="66"/>
        <v>0</v>
      </c>
    </row>
    <row r="1063" spans="1:13" x14ac:dyDescent="0.25">
      <c r="A1063" s="31"/>
      <c r="B1063" s="16" t="str">
        <f>IFERROR(VLOOKUP(A1063,Consolidado!$B$1:$L$1500,2,FALSE),"")</f>
        <v/>
      </c>
      <c r="C1063" s="16">
        <f>IFERROR(SUMIF(Consolidado!$B$1:$B$1500,VLOOKUP(RegistroPago!A1063,Consolidado!$B$1:$L$1500,1,FALSE),Consolidado!$G$1:$G$1500),"")</f>
        <v>0</v>
      </c>
      <c r="D1063" s="3"/>
      <c r="E1063" s="3"/>
      <c r="F1063" s="5" t="str">
        <f t="shared" si="67"/>
        <v/>
      </c>
      <c r="G1063" s="16" t="str">
        <f>IF(D1063&lt;&gt;"",D1063-VLOOKUP(A1063,Consolidado!$B$1:$L$1500,8,FALSE),"")</f>
        <v/>
      </c>
      <c r="H1063" s="31"/>
      <c r="I1063" s="32">
        <f t="shared" si="64"/>
        <v>0</v>
      </c>
      <c r="J1063" s="33" t="str">
        <f t="shared" si="65"/>
        <v/>
      </c>
      <c r="K1063" s="2"/>
      <c r="L1063" s="15"/>
      <c r="M1063" s="34">
        <f t="shared" si="66"/>
        <v>0</v>
      </c>
    </row>
    <row r="1064" spans="1:13" x14ac:dyDescent="0.25">
      <c r="A1064" s="31"/>
      <c r="B1064" s="16" t="str">
        <f>IFERROR(VLOOKUP(A1064,Consolidado!$B$1:$L$1500,2,FALSE),"")</f>
        <v/>
      </c>
      <c r="C1064" s="16">
        <f>IFERROR(SUMIF(Consolidado!$B$1:$B$1500,VLOOKUP(RegistroPago!A1064,Consolidado!$B$1:$L$1500,1,FALSE),Consolidado!$G$1:$G$1500),"")</f>
        <v>0</v>
      </c>
      <c r="D1064" s="3"/>
      <c r="E1064" s="3"/>
      <c r="F1064" s="5" t="str">
        <f t="shared" si="67"/>
        <v/>
      </c>
      <c r="G1064" s="16" t="str">
        <f>IF(D1064&lt;&gt;"",D1064-VLOOKUP(A1064,Consolidado!$B$1:$L$1500,8,FALSE),"")</f>
        <v/>
      </c>
      <c r="H1064" s="31"/>
      <c r="I1064" s="32">
        <f t="shared" si="64"/>
        <v>0</v>
      </c>
      <c r="J1064" s="33" t="str">
        <f t="shared" si="65"/>
        <v/>
      </c>
      <c r="K1064" s="2"/>
      <c r="L1064" s="15"/>
      <c r="M1064" s="34">
        <f t="shared" si="66"/>
        <v>0</v>
      </c>
    </row>
    <row r="1065" spans="1:13" x14ac:dyDescent="0.25">
      <c r="A1065" s="31"/>
      <c r="B1065" s="16" t="str">
        <f>IFERROR(VLOOKUP(A1065,Consolidado!$B$1:$L$1500,2,FALSE),"")</f>
        <v/>
      </c>
      <c r="C1065" s="16">
        <f>IFERROR(SUMIF(Consolidado!$B$1:$B$1500,VLOOKUP(RegistroPago!A1065,Consolidado!$B$1:$L$1500,1,FALSE),Consolidado!$G$1:$G$1500),"")</f>
        <v>0</v>
      </c>
      <c r="D1065" s="3"/>
      <c r="E1065" s="3"/>
      <c r="F1065" s="5" t="str">
        <f t="shared" si="67"/>
        <v/>
      </c>
      <c r="G1065" s="16" t="str">
        <f>IF(D1065&lt;&gt;"",D1065-VLOOKUP(A1065,Consolidado!$B$1:$L$1500,8,FALSE),"")</f>
        <v/>
      </c>
      <c r="H1065" s="31"/>
      <c r="I1065" s="32">
        <f t="shared" ref="I1065:I1128" si="68">IFERROR(SUMIF($E$1:$E$2000,H1065,$C$1:$C$2000)-SUMIF($E$1:$E$2000,H1065,$F$1:$F$2000),"")</f>
        <v>0</v>
      </c>
      <c r="J1065" s="33" t="str">
        <f t="shared" ref="J1065:J1128" si="69">IFERROR(I1065/SUMIF($E$1:$E$2000,H1065,$C$1:$C$2000),"")</f>
        <v/>
      </c>
      <c r="K1065" s="2"/>
      <c r="L1065" s="15"/>
      <c r="M1065" s="34">
        <f t="shared" ref="M1065:M1128" si="70">IFERROR(L1065*SUMIF($E$1:$E$2000,H1065,$F$1:$F$2000),"")</f>
        <v>0</v>
      </c>
    </row>
    <row r="1066" spans="1:13" x14ac:dyDescent="0.25">
      <c r="A1066" s="31"/>
      <c r="B1066" s="16" t="str">
        <f>IFERROR(VLOOKUP(A1066,Consolidado!$B$1:$L$1500,2,FALSE),"")</f>
        <v/>
      </c>
      <c r="C1066" s="16">
        <f>IFERROR(SUMIF(Consolidado!$B$1:$B$1500,VLOOKUP(RegistroPago!A1066,Consolidado!$B$1:$L$1500,1,FALSE),Consolidado!$G$1:$G$1500),"")</f>
        <v>0</v>
      </c>
      <c r="D1066" s="3"/>
      <c r="E1066" s="3"/>
      <c r="F1066" s="5" t="str">
        <f t="shared" si="67"/>
        <v/>
      </c>
      <c r="G1066" s="16" t="str">
        <f>IF(D1066&lt;&gt;"",D1066-VLOOKUP(A1066,Consolidado!$B$1:$L$1500,8,FALSE),"")</f>
        <v/>
      </c>
      <c r="H1066" s="31"/>
      <c r="I1066" s="32">
        <f t="shared" si="68"/>
        <v>0</v>
      </c>
      <c r="J1066" s="33" t="str">
        <f t="shared" si="69"/>
        <v/>
      </c>
      <c r="K1066" s="2"/>
      <c r="L1066" s="15"/>
      <c r="M1066" s="34">
        <f t="shared" si="70"/>
        <v>0</v>
      </c>
    </row>
    <row r="1067" spans="1:13" x14ac:dyDescent="0.25">
      <c r="A1067" s="31"/>
      <c r="B1067" s="16" t="str">
        <f>IFERROR(VLOOKUP(A1067,Consolidado!$B$1:$L$1500,2,FALSE),"")</f>
        <v/>
      </c>
      <c r="C1067" s="16">
        <f>IFERROR(SUMIF(Consolidado!$B$1:$B$1500,VLOOKUP(RegistroPago!A1067,Consolidado!$B$1:$L$1500,1,FALSE),Consolidado!$G$1:$G$1500),"")</f>
        <v>0</v>
      </c>
      <c r="D1067" s="3"/>
      <c r="E1067" s="3"/>
      <c r="F1067" s="5" t="str">
        <f t="shared" si="67"/>
        <v/>
      </c>
      <c r="G1067" s="16" t="str">
        <f>IF(D1067&lt;&gt;"",D1067-VLOOKUP(A1067,Consolidado!$B$1:$L$1500,8,FALSE),"")</f>
        <v/>
      </c>
      <c r="H1067" s="31"/>
      <c r="I1067" s="32">
        <f t="shared" si="68"/>
        <v>0</v>
      </c>
      <c r="J1067" s="33" t="str">
        <f t="shared" si="69"/>
        <v/>
      </c>
      <c r="K1067" s="2"/>
      <c r="L1067" s="15"/>
      <c r="M1067" s="34">
        <f t="shared" si="70"/>
        <v>0</v>
      </c>
    </row>
    <row r="1068" spans="1:13" x14ac:dyDescent="0.25">
      <c r="A1068" s="31"/>
      <c r="B1068" s="16" t="str">
        <f>IFERROR(VLOOKUP(A1068,Consolidado!$B$1:$L$1500,2,FALSE),"")</f>
        <v/>
      </c>
      <c r="C1068" s="16">
        <f>IFERROR(SUMIF(Consolidado!$B$1:$B$1500,VLOOKUP(RegistroPago!A1068,Consolidado!$B$1:$L$1500,1,FALSE),Consolidado!$G$1:$G$1500),"")</f>
        <v>0</v>
      </c>
      <c r="D1068" s="3"/>
      <c r="E1068" s="3"/>
      <c r="F1068" s="5" t="str">
        <f t="shared" si="67"/>
        <v/>
      </c>
      <c r="G1068" s="16" t="str">
        <f>IF(D1068&lt;&gt;"",D1068-VLOOKUP(A1068,Consolidado!$B$1:$L$1500,8,FALSE),"")</f>
        <v/>
      </c>
      <c r="H1068" s="31"/>
      <c r="I1068" s="32">
        <f t="shared" si="68"/>
        <v>0</v>
      </c>
      <c r="J1068" s="33" t="str">
        <f t="shared" si="69"/>
        <v/>
      </c>
      <c r="K1068" s="2"/>
      <c r="L1068" s="15"/>
      <c r="M1068" s="34">
        <f t="shared" si="70"/>
        <v>0</v>
      </c>
    </row>
    <row r="1069" spans="1:13" x14ac:dyDescent="0.25">
      <c r="A1069" s="31"/>
      <c r="B1069" s="16" t="str">
        <f>IFERROR(VLOOKUP(A1069,Consolidado!$B$1:$L$1500,2,FALSE),"")</f>
        <v/>
      </c>
      <c r="C1069" s="16">
        <f>IFERROR(SUMIF(Consolidado!$B$1:$B$1500,VLOOKUP(RegistroPago!A1069,Consolidado!$B$1:$L$1500,1,FALSE),Consolidado!$G$1:$G$1500),"")</f>
        <v>0</v>
      </c>
      <c r="D1069" s="3"/>
      <c r="E1069" s="3"/>
      <c r="F1069" s="5" t="str">
        <f t="shared" si="67"/>
        <v/>
      </c>
      <c r="G1069" s="16" t="str">
        <f>IF(D1069&lt;&gt;"",D1069-VLOOKUP(A1069,Consolidado!$B$1:$L$1500,8,FALSE),"")</f>
        <v/>
      </c>
      <c r="H1069" s="31"/>
      <c r="I1069" s="32">
        <f t="shared" si="68"/>
        <v>0</v>
      </c>
      <c r="J1069" s="33" t="str">
        <f t="shared" si="69"/>
        <v/>
      </c>
      <c r="K1069" s="2"/>
      <c r="L1069" s="15"/>
      <c r="M1069" s="34">
        <f t="shared" si="70"/>
        <v>0</v>
      </c>
    </row>
    <row r="1070" spans="1:13" x14ac:dyDescent="0.25">
      <c r="A1070" s="31"/>
      <c r="B1070" s="16" t="str">
        <f>IFERROR(VLOOKUP(A1070,Consolidado!$B$1:$L$1500,2,FALSE),"")</f>
        <v/>
      </c>
      <c r="C1070" s="16">
        <f>IFERROR(SUMIF(Consolidado!$B$1:$B$1500,VLOOKUP(RegistroPago!A1070,Consolidado!$B$1:$L$1500,1,FALSE),Consolidado!$G$1:$G$1500),"")</f>
        <v>0</v>
      </c>
      <c r="D1070" s="3"/>
      <c r="E1070" s="3"/>
      <c r="F1070" s="5" t="str">
        <f t="shared" si="67"/>
        <v/>
      </c>
      <c r="G1070" s="16" t="str">
        <f>IF(D1070&lt;&gt;"",D1070-VLOOKUP(A1070,Consolidado!$B$1:$L$1500,8,FALSE),"")</f>
        <v/>
      </c>
      <c r="H1070" s="31"/>
      <c r="I1070" s="32">
        <f t="shared" si="68"/>
        <v>0</v>
      </c>
      <c r="J1070" s="33" t="str">
        <f t="shared" si="69"/>
        <v/>
      </c>
      <c r="K1070" s="2"/>
      <c r="L1070" s="15"/>
      <c r="M1070" s="34">
        <f t="shared" si="70"/>
        <v>0</v>
      </c>
    </row>
    <row r="1071" spans="1:13" x14ac:dyDescent="0.25">
      <c r="A1071" s="31"/>
      <c r="B1071" s="16" t="str">
        <f>IFERROR(VLOOKUP(A1071,Consolidado!$B$1:$L$1500,2,FALSE),"")</f>
        <v/>
      </c>
      <c r="C1071" s="16">
        <f>IFERROR(SUMIF(Consolidado!$B$1:$B$1500,VLOOKUP(RegistroPago!A1071,Consolidado!$B$1:$L$1500,1,FALSE),Consolidado!$G$1:$G$1500),"")</f>
        <v>0</v>
      </c>
      <c r="D1071" s="3"/>
      <c r="E1071" s="3"/>
      <c r="F1071" s="5" t="str">
        <f t="shared" si="67"/>
        <v/>
      </c>
      <c r="G1071" s="16" t="str">
        <f>IF(D1071&lt;&gt;"",D1071-VLOOKUP(A1071,Consolidado!$B$1:$L$1500,8,FALSE),"")</f>
        <v/>
      </c>
      <c r="H1071" s="31"/>
      <c r="I1071" s="32">
        <f t="shared" si="68"/>
        <v>0</v>
      </c>
      <c r="J1071" s="33" t="str">
        <f t="shared" si="69"/>
        <v/>
      </c>
      <c r="K1071" s="2"/>
      <c r="L1071" s="15"/>
      <c r="M1071" s="34">
        <f t="shared" si="70"/>
        <v>0</v>
      </c>
    </row>
    <row r="1072" spans="1:13" x14ac:dyDescent="0.25">
      <c r="A1072" s="31"/>
      <c r="B1072" s="16" t="str">
        <f>IFERROR(VLOOKUP(A1072,Consolidado!$B$1:$L$1500,2,FALSE),"")</f>
        <v/>
      </c>
      <c r="C1072" s="16">
        <f>IFERROR(SUMIF(Consolidado!$B$1:$B$1500,VLOOKUP(RegistroPago!A1072,Consolidado!$B$1:$L$1500,1,FALSE),Consolidado!$G$1:$G$1500),"")</f>
        <v>0</v>
      </c>
      <c r="D1072" s="3"/>
      <c r="E1072" s="3"/>
      <c r="F1072" s="5" t="str">
        <f t="shared" si="67"/>
        <v/>
      </c>
      <c r="G1072" s="16" t="str">
        <f>IF(D1072&lt;&gt;"",D1072-VLOOKUP(A1072,Consolidado!$B$1:$L$1500,8,FALSE),"")</f>
        <v/>
      </c>
      <c r="H1072" s="31"/>
      <c r="I1072" s="32">
        <f t="shared" si="68"/>
        <v>0</v>
      </c>
      <c r="J1072" s="33" t="str">
        <f t="shared" si="69"/>
        <v/>
      </c>
      <c r="K1072" s="2"/>
      <c r="L1072" s="15"/>
      <c r="M1072" s="34">
        <f t="shared" si="70"/>
        <v>0</v>
      </c>
    </row>
    <row r="1073" spans="1:13" x14ac:dyDescent="0.25">
      <c r="A1073" s="31"/>
      <c r="B1073" s="16" t="str">
        <f>IFERROR(VLOOKUP(A1073,Consolidado!$B$1:$L$1500,2,FALSE),"")</f>
        <v/>
      </c>
      <c r="C1073" s="16">
        <f>IFERROR(SUMIF(Consolidado!$B$1:$B$1500,VLOOKUP(RegistroPago!A1073,Consolidado!$B$1:$L$1500,1,FALSE),Consolidado!$G$1:$G$1500),"")</f>
        <v>0</v>
      </c>
      <c r="D1073" s="3"/>
      <c r="E1073" s="3"/>
      <c r="F1073" s="5" t="str">
        <f t="shared" si="67"/>
        <v/>
      </c>
      <c r="G1073" s="16" t="str">
        <f>IF(D1073&lt;&gt;"",D1073-VLOOKUP(A1073,Consolidado!$B$1:$L$1500,8,FALSE),"")</f>
        <v/>
      </c>
      <c r="H1073" s="31"/>
      <c r="I1073" s="32">
        <f t="shared" si="68"/>
        <v>0</v>
      </c>
      <c r="J1073" s="33" t="str">
        <f t="shared" si="69"/>
        <v/>
      </c>
      <c r="K1073" s="2"/>
      <c r="L1073" s="15"/>
      <c r="M1073" s="34">
        <f t="shared" si="70"/>
        <v>0</v>
      </c>
    </row>
    <row r="1074" spans="1:13" x14ac:dyDescent="0.25">
      <c r="A1074" s="31"/>
      <c r="B1074" s="16" t="str">
        <f>IFERROR(VLOOKUP(A1074,Consolidado!$B$1:$L$1500,2,FALSE),"")</f>
        <v/>
      </c>
      <c r="C1074" s="16">
        <f>IFERROR(SUMIF(Consolidado!$B$1:$B$1500,VLOOKUP(RegistroPago!A1074,Consolidado!$B$1:$L$1500,1,FALSE),Consolidado!$G$1:$G$1500),"")</f>
        <v>0</v>
      </c>
      <c r="D1074" s="3"/>
      <c r="E1074" s="3"/>
      <c r="F1074" s="5" t="str">
        <f t="shared" si="67"/>
        <v/>
      </c>
      <c r="G1074" s="16" t="str">
        <f>IF(D1074&lt;&gt;"",D1074-VLOOKUP(A1074,Consolidado!$B$1:$L$1500,8,FALSE),"")</f>
        <v/>
      </c>
      <c r="H1074" s="31"/>
      <c r="I1074" s="32">
        <f t="shared" si="68"/>
        <v>0</v>
      </c>
      <c r="J1074" s="33" t="str">
        <f t="shared" si="69"/>
        <v/>
      </c>
      <c r="K1074" s="2"/>
      <c r="L1074" s="15"/>
      <c r="M1074" s="34">
        <f t="shared" si="70"/>
        <v>0</v>
      </c>
    </row>
    <row r="1075" spans="1:13" x14ac:dyDescent="0.25">
      <c r="A1075" s="31"/>
      <c r="B1075" s="16" t="str">
        <f>IFERROR(VLOOKUP(A1075,Consolidado!$B$1:$L$1500,2,FALSE),"")</f>
        <v/>
      </c>
      <c r="C1075" s="16">
        <f>IFERROR(SUMIF(Consolidado!$B$1:$B$1500,VLOOKUP(RegistroPago!A1075,Consolidado!$B$1:$L$1500,1,FALSE),Consolidado!$G$1:$G$1500),"")</f>
        <v>0</v>
      </c>
      <c r="D1075" s="3"/>
      <c r="E1075" s="3"/>
      <c r="F1075" s="5" t="str">
        <f t="shared" si="67"/>
        <v/>
      </c>
      <c r="G1075" s="16" t="str">
        <f>IF(D1075&lt;&gt;"",D1075-VLOOKUP(A1075,Consolidado!$B$1:$L$1500,8,FALSE),"")</f>
        <v/>
      </c>
      <c r="H1075" s="31"/>
      <c r="I1075" s="32">
        <f t="shared" si="68"/>
        <v>0</v>
      </c>
      <c r="J1075" s="33" t="str">
        <f t="shared" si="69"/>
        <v/>
      </c>
      <c r="K1075" s="2"/>
      <c r="L1075" s="15"/>
      <c r="M1075" s="34">
        <f t="shared" si="70"/>
        <v>0</v>
      </c>
    </row>
    <row r="1076" spans="1:13" x14ac:dyDescent="0.25">
      <c r="A1076" s="31"/>
      <c r="B1076" s="16" t="str">
        <f>IFERROR(VLOOKUP(A1076,Consolidado!$B$1:$L$1500,2,FALSE),"")</f>
        <v/>
      </c>
      <c r="C1076" s="16">
        <f>IFERROR(SUMIF(Consolidado!$B$1:$B$1500,VLOOKUP(RegistroPago!A1076,Consolidado!$B$1:$L$1500,1,FALSE),Consolidado!$G$1:$G$1500),"")</f>
        <v>0</v>
      </c>
      <c r="D1076" s="3"/>
      <c r="E1076" s="3"/>
      <c r="F1076" s="5" t="str">
        <f t="shared" si="67"/>
        <v/>
      </c>
      <c r="G1076" s="16" t="str">
        <f>IF(D1076&lt;&gt;"",D1076-VLOOKUP(A1076,Consolidado!$B$1:$L$1500,8,FALSE),"")</f>
        <v/>
      </c>
      <c r="H1076" s="31"/>
      <c r="I1076" s="32">
        <f t="shared" si="68"/>
        <v>0</v>
      </c>
      <c r="J1076" s="33" t="str">
        <f t="shared" si="69"/>
        <v/>
      </c>
      <c r="K1076" s="2"/>
      <c r="L1076" s="15"/>
      <c r="M1076" s="34">
        <f t="shared" si="70"/>
        <v>0</v>
      </c>
    </row>
    <row r="1077" spans="1:13" x14ac:dyDescent="0.25">
      <c r="A1077" s="31"/>
      <c r="B1077" s="16" t="str">
        <f>IFERROR(VLOOKUP(A1077,Consolidado!$B$1:$L$1500,2,FALSE),"")</f>
        <v/>
      </c>
      <c r="C1077" s="16">
        <f>IFERROR(SUMIF(Consolidado!$B$1:$B$1500,VLOOKUP(RegistroPago!A1077,Consolidado!$B$1:$L$1500,1,FALSE),Consolidado!$G$1:$G$1500),"")</f>
        <v>0</v>
      </c>
      <c r="D1077" s="3"/>
      <c r="E1077" s="3"/>
      <c r="F1077" s="5" t="str">
        <f t="shared" si="67"/>
        <v/>
      </c>
      <c r="G1077" s="16" t="str">
        <f>IF(D1077&lt;&gt;"",D1077-VLOOKUP(A1077,Consolidado!$B$1:$L$1500,8,FALSE),"")</f>
        <v/>
      </c>
      <c r="H1077" s="31"/>
      <c r="I1077" s="32">
        <f t="shared" si="68"/>
        <v>0</v>
      </c>
      <c r="J1077" s="33" t="str">
        <f t="shared" si="69"/>
        <v/>
      </c>
      <c r="K1077" s="2"/>
      <c r="L1077" s="15"/>
      <c r="M1077" s="34">
        <f t="shared" si="70"/>
        <v>0</v>
      </c>
    </row>
    <row r="1078" spans="1:13" x14ac:dyDescent="0.25">
      <c r="A1078" s="31"/>
      <c r="B1078" s="16" t="str">
        <f>IFERROR(VLOOKUP(A1078,Consolidado!$B$1:$L$1500,2,FALSE),"")</f>
        <v/>
      </c>
      <c r="C1078" s="16">
        <f>IFERROR(SUMIF(Consolidado!$B$1:$B$1500,VLOOKUP(RegistroPago!A1078,Consolidado!$B$1:$L$1500,1,FALSE),Consolidado!$G$1:$G$1500),"")</f>
        <v>0</v>
      </c>
      <c r="D1078" s="3"/>
      <c r="E1078" s="3"/>
      <c r="F1078" s="5" t="str">
        <f t="shared" si="67"/>
        <v/>
      </c>
      <c r="G1078" s="16" t="str">
        <f>IF(D1078&lt;&gt;"",D1078-VLOOKUP(A1078,Consolidado!$B$1:$L$1500,8,FALSE),"")</f>
        <v/>
      </c>
      <c r="H1078" s="31"/>
      <c r="I1078" s="32">
        <f t="shared" si="68"/>
        <v>0</v>
      </c>
      <c r="J1078" s="33" t="str">
        <f t="shared" si="69"/>
        <v/>
      </c>
      <c r="K1078" s="2"/>
      <c r="L1078" s="15"/>
      <c r="M1078" s="34">
        <f t="shared" si="70"/>
        <v>0</v>
      </c>
    </row>
    <row r="1079" spans="1:13" x14ac:dyDescent="0.25">
      <c r="A1079" s="31"/>
      <c r="B1079" s="16" t="str">
        <f>IFERROR(VLOOKUP(A1079,Consolidado!$B$1:$L$1500,2,FALSE),"")</f>
        <v/>
      </c>
      <c r="C1079" s="16">
        <f>IFERROR(SUMIF(Consolidado!$B$1:$B$1500,VLOOKUP(RegistroPago!A1079,Consolidado!$B$1:$L$1500,1,FALSE),Consolidado!$G$1:$G$1500),"")</f>
        <v>0</v>
      </c>
      <c r="D1079" s="3"/>
      <c r="E1079" s="3"/>
      <c r="F1079" s="5" t="str">
        <f t="shared" si="67"/>
        <v/>
      </c>
      <c r="G1079" s="16" t="str">
        <f>IF(D1079&lt;&gt;"",D1079-VLOOKUP(A1079,Consolidado!$B$1:$L$1500,8,FALSE),"")</f>
        <v/>
      </c>
      <c r="H1079" s="31"/>
      <c r="I1079" s="32">
        <f t="shared" si="68"/>
        <v>0</v>
      </c>
      <c r="J1079" s="33" t="str">
        <f t="shared" si="69"/>
        <v/>
      </c>
      <c r="K1079" s="2"/>
      <c r="L1079" s="15"/>
      <c r="M1079" s="34">
        <f t="shared" si="70"/>
        <v>0</v>
      </c>
    </row>
    <row r="1080" spans="1:13" x14ac:dyDescent="0.25">
      <c r="A1080" s="31"/>
      <c r="B1080" s="16" t="str">
        <f>IFERROR(VLOOKUP(A1080,Consolidado!$B$1:$L$1500,2,FALSE),"")</f>
        <v/>
      </c>
      <c r="C1080" s="16">
        <f>IFERROR(SUMIF(Consolidado!$B$1:$B$1500,VLOOKUP(RegistroPago!A1080,Consolidado!$B$1:$L$1500,1,FALSE),Consolidado!$G$1:$G$1500),"")</f>
        <v>0</v>
      </c>
      <c r="D1080" s="3"/>
      <c r="E1080" s="3"/>
      <c r="F1080" s="5" t="str">
        <f t="shared" si="67"/>
        <v/>
      </c>
      <c r="G1080" s="16" t="str">
        <f>IF(D1080&lt;&gt;"",D1080-VLOOKUP(A1080,Consolidado!$B$1:$L$1500,8,FALSE),"")</f>
        <v/>
      </c>
      <c r="H1080" s="31"/>
      <c r="I1080" s="32">
        <f t="shared" si="68"/>
        <v>0</v>
      </c>
      <c r="J1080" s="33" t="str">
        <f t="shared" si="69"/>
        <v/>
      </c>
      <c r="K1080" s="2"/>
      <c r="L1080" s="15"/>
      <c r="M1080" s="34">
        <f t="shared" si="70"/>
        <v>0</v>
      </c>
    </row>
    <row r="1081" spans="1:13" x14ac:dyDescent="0.25">
      <c r="A1081" s="31"/>
      <c r="B1081" s="16" t="str">
        <f>IFERROR(VLOOKUP(A1081,Consolidado!$B$1:$L$1500,2,FALSE),"")</f>
        <v/>
      </c>
      <c r="C1081" s="16">
        <f>IFERROR(SUMIF(Consolidado!$B$1:$B$1500,VLOOKUP(RegistroPago!A1081,Consolidado!$B$1:$L$1500,1,FALSE),Consolidado!$G$1:$G$1500),"")</f>
        <v>0</v>
      </c>
      <c r="D1081" s="3"/>
      <c r="E1081" s="3"/>
      <c r="F1081" s="5" t="str">
        <f t="shared" si="67"/>
        <v/>
      </c>
      <c r="G1081" s="16" t="str">
        <f>IF(D1081&lt;&gt;"",D1081-VLOOKUP(A1081,Consolidado!$B$1:$L$1500,8,FALSE),"")</f>
        <v/>
      </c>
      <c r="H1081" s="31"/>
      <c r="I1081" s="32">
        <f t="shared" si="68"/>
        <v>0</v>
      </c>
      <c r="J1081" s="33" t="str">
        <f t="shared" si="69"/>
        <v/>
      </c>
      <c r="K1081" s="2"/>
      <c r="L1081" s="15"/>
      <c r="M1081" s="34">
        <f t="shared" si="70"/>
        <v>0</v>
      </c>
    </row>
    <row r="1082" spans="1:13" x14ac:dyDescent="0.25">
      <c r="A1082" s="31"/>
      <c r="B1082" s="16" t="str">
        <f>IFERROR(VLOOKUP(A1082,Consolidado!$B$1:$L$1500,2,FALSE),"")</f>
        <v/>
      </c>
      <c r="C1082" s="16">
        <f>IFERROR(SUMIF(Consolidado!$B$1:$B$1500,VLOOKUP(RegistroPago!A1082,Consolidado!$B$1:$L$1500,1,FALSE),Consolidado!$G$1:$G$1500),"")</f>
        <v>0</v>
      </c>
      <c r="D1082" s="3"/>
      <c r="E1082" s="3"/>
      <c r="F1082" s="5" t="str">
        <f t="shared" si="67"/>
        <v/>
      </c>
      <c r="G1082" s="16" t="str">
        <f>IF(D1082&lt;&gt;"",D1082-VLOOKUP(A1082,Consolidado!$B$1:$L$1500,8,FALSE),"")</f>
        <v/>
      </c>
      <c r="H1082" s="31"/>
      <c r="I1082" s="32">
        <f t="shared" si="68"/>
        <v>0</v>
      </c>
      <c r="J1082" s="33" t="str">
        <f t="shared" si="69"/>
        <v/>
      </c>
      <c r="K1082" s="2"/>
      <c r="L1082" s="15"/>
      <c r="M1082" s="34">
        <f t="shared" si="70"/>
        <v>0</v>
      </c>
    </row>
    <row r="1083" spans="1:13" x14ac:dyDescent="0.25">
      <c r="A1083" s="31"/>
      <c r="B1083" s="16" t="str">
        <f>IFERROR(VLOOKUP(A1083,Consolidado!$B$1:$L$1500,2,FALSE),"")</f>
        <v/>
      </c>
      <c r="C1083" s="16">
        <f>IFERROR(SUMIF(Consolidado!$B$1:$B$1500,VLOOKUP(RegistroPago!A1083,Consolidado!$B$1:$L$1500,1,FALSE),Consolidado!$G$1:$G$1500),"")</f>
        <v>0</v>
      </c>
      <c r="D1083" s="3"/>
      <c r="E1083" s="3"/>
      <c r="F1083" s="5" t="str">
        <f t="shared" si="67"/>
        <v/>
      </c>
      <c r="G1083" s="16" t="str">
        <f>IF(D1083&lt;&gt;"",D1083-VLOOKUP(A1083,Consolidado!$B$1:$L$1500,8,FALSE),"")</f>
        <v/>
      </c>
      <c r="H1083" s="31"/>
      <c r="I1083" s="32">
        <f t="shared" si="68"/>
        <v>0</v>
      </c>
      <c r="J1083" s="33" t="str">
        <f t="shared" si="69"/>
        <v/>
      </c>
      <c r="K1083" s="2"/>
      <c r="L1083" s="15"/>
      <c r="M1083" s="34">
        <f t="shared" si="70"/>
        <v>0</v>
      </c>
    </row>
    <row r="1084" spans="1:13" x14ac:dyDescent="0.25">
      <c r="A1084" s="31"/>
      <c r="B1084" s="16" t="str">
        <f>IFERROR(VLOOKUP(A1084,Consolidado!$B$1:$L$1500,2,FALSE),"")</f>
        <v/>
      </c>
      <c r="C1084" s="16">
        <f>IFERROR(SUMIF(Consolidado!$B$1:$B$1500,VLOOKUP(RegistroPago!A1084,Consolidado!$B$1:$L$1500,1,FALSE),Consolidado!$G$1:$G$1500),"")</f>
        <v>0</v>
      </c>
      <c r="D1084" s="3"/>
      <c r="E1084" s="3"/>
      <c r="F1084" s="5" t="str">
        <f t="shared" si="67"/>
        <v/>
      </c>
      <c r="G1084" s="16" t="str">
        <f>IF(D1084&lt;&gt;"",D1084-VLOOKUP(A1084,Consolidado!$B$1:$L$1500,8,FALSE),"")</f>
        <v/>
      </c>
      <c r="H1084" s="31"/>
      <c r="I1084" s="32">
        <f t="shared" si="68"/>
        <v>0</v>
      </c>
      <c r="J1084" s="33" t="str">
        <f t="shared" si="69"/>
        <v/>
      </c>
      <c r="K1084" s="2"/>
      <c r="L1084" s="15"/>
      <c r="M1084" s="34">
        <f t="shared" si="70"/>
        <v>0</v>
      </c>
    </row>
    <row r="1085" spans="1:13" x14ac:dyDescent="0.25">
      <c r="A1085" s="31"/>
      <c r="B1085" s="16" t="str">
        <f>IFERROR(VLOOKUP(A1085,Consolidado!$B$1:$L$1500,2,FALSE),"")</f>
        <v/>
      </c>
      <c r="C1085" s="16">
        <f>IFERROR(SUMIF(Consolidado!$B$1:$B$1500,VLOOKUP(RegistroPago!A1085,Consolidado!$B$1:$L$1500,1,FALSE),Consolidado!$G$1:$G$1500),"")</f>
        <v>0</v>
      </c>
      <c r="D1085" s="3"/>
      <c r="E1085" s="3"/>
      <c r="F1085" s="5" t="str">
        <f t="shared" si="67"/>
        <v/>
      </c>
      <c r="G1085" s="16" t="str">
        <f>IF(D1085&lt;&gt;"",D1085-VLOOKUP(A1085,Consolidado!$B$1:$L$1500,8,FALSE),"")</f>
        <v/>
      </c>
      <c r="H1085" s="31"/>
      <c r="I1085" s="32">
        <f t="shared" si="68"/>
        <v>0</v>
      </c>
      <c r="J1085" s="33" t="str">
        <f t="shared" si="69"/>
        <v/>
      </c>
      <c r="K1085" s="2"/>
      <c r="L1085" s="15"/>
      <c r="M1085" s="34">
        <f t="shared" si="70"/>
        <v>0</v>
      </c>
    </row>
    <row r="1086" spans="1:13" x14ac:dyDescent="0.25">
      <c r="A1086" s="31"/>
      <c r="B1086" s="16" t="str">
        <f>IFERROR(VLOOKUP(A1086,Consolidado!$B$1:$L$1500,2,FALSE),"")</f>
        <v/>
      </c>
      <c r="C1086" s="16">
        <f>IFERROR(SUMIF(Consolidado!$B$1:$B$1500,VLOOKUP(RegistroPago!A1086,Consolidado!$B$1:$L$1500,1,FALSE),Consolidado!$G$1:$G$1500),"")</f>
        <v>0</v>
      </c>
      <c r="D1086" s="3"/>
      <c r="E1086" s="3"/>
      <c r="F1086" s="5" t="str">
        <f t="shared" si="67"/>
        <v/>
      </c>
      <c r="G1086" s="16" t="str">
        <f>IF(D1086&lt;&gt;"",D1086-VLOOKUP(A1086,Consolidado!$B$1:$L$1500,8,FALSE),"")</f>
        <v/>
      </c>
      <c r="H1086" s="31"/>
      <c r="I1086" s="32">
        <f t="shared" si="68"/>
        <v>0</v>
      </c>
      <c r="J1086" s="33" t="str">
        <f t="shared" si="69"/>
        <v/>
      </c>
      <c r="K1086" s="2"/>
      <c r="L1086" s="15"/>
      <c r="M1086" s="34">
        <f t="shared" si="70"/>
        <v>0</v>
      </c>
    </row>
    <row r="1087" spans="1:13" x14ac:dyDescent="0.25">
      <c r="A1087" s="31"/>
      <c r="B1087" s="16" t="str">
        <f>IFERROR(VLOOKUP(A1087,Consolidado!$B$1:$L$1500,2,FALSE),"")</f>
        <v/>
      </c>
      <c r="C1087" s="16">
        <f>IFERROR(SUMIF(Consolidado!$B$1:$B$1500,VLOOKUP(RegistroPago!A1087,Consolidado!$B$1:$L$1500,1,FALSE),Consolidado!$G$1:$G$1500),"")</f>
        <v>0</v>
      </c>
      <c r="D1087" s="3"/>
      <c r="E1087" s="3"/>
      <c r="F1087" s="5" t="str">
        <f t="shared" si="67"/>
        <v/>
      </c>
      <c r="G1087" s="16" t="str">
        <f>IF(D1087&lt;&gt;"",D1087-VLOOKUP(A1087,Consolidado!$B$1:$L$1500,8,FALSE),"")</f>
        <v/>
      </c>
      <c r="H1087" s="31"/>
      <c r="I1087" s="32">
        <f t="shared" si="68"/>
        <v>0</v>
      </c>
      <c r="J1087" s="33" t="str">
        <f t="shared" si="69"/>
        <v/>
      </c>
      <c r="K1087" s="2"/>
      <c r="L1087" s="15"/>
      <c r="M1087" s="34">
        <f t="shared" si="70"/>
        <v>0</v>
      </c>
    </row>
    <row r="1088" spans="1:13" x14ac:dyDescent="0.25">
      <c r="A1088" s="31"/>
      <c r="B1088" s="16" t="str">
        <f>IFERROR(VLOOKUP(A1088,Consolidado!$B$1:$L$1500,2,FALSE),"")</f>
        <v/>
      </c>
      <c r="C1088" s="16">
        <f>IFERROR(SUMIF(Consolidado!$B$1:$B$1500,VLOOKUP(RegistroPago!A1088,Consolidado!$B$1:$L$1500,1,FALSE),Consolidado!$G$1:$G$1500),"")</f>
        <v>0</v>
      </c>
      <c r="D1088" s="3"/>
      <c r="E1088" s="3"/>
      <c r="F1088" s="5" t="str">
        <f t="shared" si="67"/>
        <v/>
      </c>
      <c r="G1088" s="16" t="str">
        <f>IF(D1088&lt;&gt;"",D1088-VLOOKUP(A1088,Consolidado!$B$1:$L$1500,8,FALSE),"")</f>
        <v/>
      </c>
      <c r="H1088" s="31"/>
      <c r="I1088" s="32">
        <f t="shared" si="68"/>
        <v>0</v>
      </c>
      <c r="J1088" s="33" t="str">
        <f t="shared" si="69"/>
        <v/>
      </c>
      <c r="K1088" s="2"/>
      <c r="L1088" s="15"/>
      <c r="M1088" s="34">
        <f t="shared" si="70"/>
        <v>0</v>
      </c>
    </row>
    <row r="1089" spans="1:13" x14ac:dyDescent="0.25">
      <c r="A1089" s="31"/>
      <c r="B1089" s="16" t="str">
        <f>IFERROR(VLOOKUP(A1089,Consolidado!$B$1:$L$1500,2,FALSE),"")</f>
        <v/>
      </c>
      <c r="C1089" s="16">
        <f>IFERROR(SUMIF(Consolidado!$B$1:$B$1500,VLOOKUP(RegistroPago!A1089,Consolidado!$B$1:$L$1500,1,FALSE),Consolidado!$G$1:$G$1500),"")</f>
        <v>0</v>
      </c>
      <c r="D1089" s="3"/>
      <c r="E1089" s="3"/>
      <c r="F1089" s="5" t="str">
        <f t="shared" si="67"/>
        <v/>
      </c>
      <c r="G1089" s="16" t="str">
        <f>IF(D1089&lt;&gt;"",D1089-VLOOKUP(A1089,Consolidado!$B$1:$L$1500,8,FALSE),"")</f>
        <v/>
      </c>
      <c r="H1089" s="31"/>
      <c r="I1089" s="32">
        <f t="shared" si="68"/>
        <v>0</v>
      </c>
      <c r="J1089" s="33" t="str">
        <f t="shared" si="69"/>
        <v/>
      </c>
      <c r="K1089" s="2"/>
      <c r="L1089" s="15"/>
      <c r="M1089" s="34">
        <f t="shared" si="70"/>
        <v>0</v>
      </c>
    </row>
    <row r="1090" spans="1:13" x14ac:dyDescent="0.25">
      <c r="A1090" s="31"/>
      <c r="B1090" s="16" t="str">
        <f>IFERROR(VLOOKUP(A1090,Consolidado!$B$1:$L$1500,2,FALSE),"")</f>
        <v/>
      </c>
      <c r="C1090" s="16">
        <f>IFERROR(SUMIF(Consolidado!$B$1:$B$1500,VLOOKUP(RegistroPago!A1090,Consolidado!$B$1:$L$1500,1,FALSE),Consolidado!$G$1:$G$1500),"")</f>
        <v>0</v>
      </c>
      <c r="D1090" s="3"/>
      <c r="E1090" s="3"/>
      <c r="F1090" s="5" t="str">
        <f t="shared" si="67"/>
        <v/>
      </c>
      <c r="G1090" s="16" t="str">
        <f>IF(D1090&lt;&gt;"",D1090-VLOOKUP(A1090,Consolidado!$B$1:$L$1500,8,FALSE),"")</f>
        <v/>
      </c>
      <c r="H1090" s="31"/>
      <c r="I1090" s="32">
        <f t="shared" si="68"/>
        <v>0</v>
      </c>
      <c r="J1090" s="33" t="str">
        <f t="shared" si="69"/>
        <v/>
      </c>
      <c r="K1090" s="2"/>
      <c r="L1090" s="15"/>
      <c r="M1090" s="34">
        <f t="shared" si="70"/>
        <v>0</v>
      </c>
    </row>
    <row r="1091" spans="1:13" x14ac:dyDescent="0.25">
      <c r="A1091" s="31"/>
      <c r="B1091" s="16" t="str">
        <f>IFERROR(VLOOKUP(A1091,Consolidado!$B$1:$L$1500,2,FALSE),"")</f>
        <v/>
      </c>
      <c r="C1091" s="16">
        <f>IFERROR(SUMIF(Consolidado!$B$1:$B$1500,VLOOKUP(RegistroPago!A1091,Consolidado!$B$1:$L$1500,1,FALSE),Consolidado!$G$1:$G$1500),"")</f>
        <v>0</v>
      </c>
      <c r="D1091" s="3"/>
      <c r="E1091" s="3"/>
      <c r="F1091" s="5" t="str">
        <f t="shared" ref="F1091:F1154" si="71">IF(COUNTIF($E$2:$E$2000,E1091)&gt;1,"Ya registrado","")</f>
        <v/>
      </c>
      <c r="G1091" s="16" t="str">
        <f>IF(D1091&lt;&gt;"",D1091-VLOOKUP(A1091,Consolidado!$B$1:$L$1500,8,FALSE),"")</f>
        <v/>
      </c>
      <c r="H1091" s="31"/>
      <c r="I1091" s="32">
        <f t="shared" si="68"/>
        <v>0</v>
      </c>
      <c r="J1091" s="33" t="str">
        <f t="shared" si="69"/>
        <v/>
      </c>
      <c r="K1091" s="2"/>
      <c r="L1091" s="15"/>
      <c r="M1091" s="34">
        <f t="shared" si="70"/>
        <v>0</v>
      </c>
    </row>
    <row r="1092" spans="1:13" x14ac:dyDescent="0.25">
      <c r="A1092" s="31"/>
      <c r="B1092" s="16" t="str">
        <f>IFERROR(VLOOKUP(A1092,Consolidado!$B$1:$L$1500,2,FALSE),"")</f>
        <v/>
      </c>
      <c r="C1092" s="16">
        <f>IFERROR(SUMIF(Consolidado!$B$1:$B$1500,VLOOKUP(RegistroPago!A1092,Consolidado!$B$1:$L$1500,1,FALSE),Consolidado!$G$1:$G$1500),"")</f>
        <v>0</v>
      </c>
      <c r="D1092" s="3"/>
      <c r="E1092" s="3"/>
      <c r="F1092" s="5" t="str">
        <f t="shared" si="71"/>
        <v/>
      </c>
      <c r="G1092" s="16" t="str">
        <f>IF(D1092&lt;&gt;"",D1092-VLOOKUP(A1092,Consolidado!$B$1:$L$1500,8,FALSE),"")</f>
        <v/>
      </c>
      <c r="H1092" s="31"/>
      <c r="I1092" s="32">
        <f t="shared" si="68"/>
        <v>0</v>
      </c>
      <c r="J1092" s="33" t="str">
        <f t="shared" si="69"/>
        <v/>
      </c>
      <c r="K1092" s="2"/>
      <c r="L1092" s="15"/>
      <c r="M1092" s="34">
        <f t="shared" si="70"/>
        <v>0</v>
      </c>
    </row>
    <row r="1093" spans="1:13" x14ac:dyDescent="0.25">
      <c r="A1093" s="31"/>
      <c r="B1093" s="16" t="str">
        <f>IFERROR(VLOOKUP(A1093,Consolidado!$B$1:$L$1500,2,FALSE),"")</f>
        <v/>
      </c>
      <c r="C1093" s="16">
        <f>IFERROR(SUMIF(Consolidado!$B$1:$B$1500,VLOOKUP(RegistroPago!A1093,Consolidado!$B$1:$L$1500,1,FALSE),Consolidado!$G$1:$G$1500),"")</f>
        <v>0</v>
      </c>
      <c r="D1093" s="3"/>
      <c r="E1093" s="3"/>
      <c r="F1093" s="5" t="str">
        <f t="shared" si="71"/>
        <v/>
      </c>
      <c r="G1093" s="16" t="str">
        <f>IF(D1093&lt;&gt;"",D1093-VLOOKUP(A1093,Consolidado!$B$1:$L$1500,8,FALSE),"")</f>
        <v/>
      </c>
      <c r="H1093" s="31"/>
      <c r="I1093" s="32">
        <f t="shared" si="68"/>
        <v>0</v>
      </c>
      <c r="J1093" s="33" t="str">
        <f t="shared" si="69"/>
        <v/>
      </c>
      <c r="K1093" s="2"/>
      <c r="L1093" s="15"/>
      <c r="M1093" s="34">
        <f t="shared" si="70"/>
        <v>0</v>
      </c>
    </row>
    <row r="1094" spans="1:13" x14ac:dyDescent="0.25">
      <c r="A1094" s="31"/>
      <c r="B1094" s="16" t="str">
        <f>IFERROR(VLOOKUP(A1094,Consolidado!$B$1:$L$1500,2,FALSE),"")</f>
        <v/>
      </c>
      <c r="C1094" s="16">
        <f>IFERROR(SUMIF(Consolidado!$B$1:$B$1500,VLOOKUP(RegistroPago!A1094,Consolidado!$B$1:$L$1500,1,FALSE),Consolidado!$G$1:$G$1500),"")</f>
        <v>0</v>
      </c>
      <c r="D1094" s="3"/>
      <c r="E1094" s="3"/>
      <c r="F1094" s="5" t="str">
        <f t="shared" si="71"/>
        <v/>
      </c>
      <c r="G1094" s="16" t="str">
        <f>IF(D1094&lt;&gt;"",D1094-VLOOKUP(A1094,Consolidado!$B$1:$L$1500,8,FALSE),"")</f>
        <v/>
      </c>
      <c r="H1094" s="31"/>
      <c r="I1094" s="32">
        <f t="shared" si="68"/>
        <v>0</v>
      </c>
      <c r="J1094" s="33" t="str">
        <f t="shared" si="69"/>
        <v/>
      </c>
      <c r="K1094" s="2"/>
      <c r="L1094" s="15"/>
      <c r="M1094" s="34">
        <f t="shared" si="70"/>
        <v>0</v>
      </c>
    </row>
    <row r="1095" spans="1:13" x14ac:dyDescent="0.25">
      <c r="A1095" s="31"/>
      <c r="B1095" s="16" t="str">
        <f>IFERROR(VLOOKUP(A1095,Consolidado!$B$1:$L$1500,2,FALSE),"")</f>
        <v/>
      </c>
      <c r="C1095" s="16">
        <f>IFERROR(SUMIF(Consolidado!$B$1:$B$1500,VLOOKUP(RegistroPago!A1095,Consolidado!$B$1:$L$1500,1,FALSE),Consolidado!$G$1:$G$1500),"")</f>
        <v>0</v>
      </c>
      <c r="D1095" s="3"/>
      <c r="E1095" s="3"/>
      <c r="F1095" s="5" t="str">
        <f t="shared" si="71"/>
        <v/>
      </c>
      <c r="G1095" s="16" t="str">
        <f>IF(D1095&lt;&gt;"",D1095-VLOOKUP(A1095,Consolidado!$B$1:$L$1500,8,FALSE),"")</f>
        <v/>
      </c>
      <c r="H1095" s="31"/>
      <c r="I1095" s="32">
        <f t="shared" si="68"/>
        <v>0</v>
      </c>
      <c r="J1095" s="33" t="str">
        <f t="shared" si="69"/>
        <v/>
      </c>
      <c r="K1095" s="2"/>
      <c r="L1095" s="15"/>
      <c r="M1095" s="34">
        <f t="shared" si="70"/>
        <v>0</v>
      </c>
    </row>
    <row r="1096" spans="1:13" x14ac:dyDescent="0.25">
      <c r="A1096" s="31"/>
      <c r="B1096" s="16" t="str">
        <f>IFERROR(VLOOKUP(A1096,Consolidado!$B$1:$L$1500,2,FALSE),"")</f>
        <v/>
      </c>
      <c r="C1096" s="16">
        <f>IFERROR(SUMIF(Consolidado!$B$1:$B$1500,VLOOKUP(RegistroPago!A1096,Consolidado!$B$1:$L$1500,1,FALSE),Consolidado!$G$1:$G$1500),"")</f>
        <v>0</v>
      </c>
      <c r="D1096" s="3"/>
      <c r="E1096" s="3"/>
      <c r="F1096" s="5" t="str">
        <f t="shared" si="71"/>
        <v/>
      </c>
      <c r="G1096" s="16" t="str">
        <f>IF(D1096&lt;&gt;"",D1096-VLOOKUP(A1096,Consolidado!$B$1:$L$1500,8,FALSE),"")</f>
        <v/>
      </c>
      <c r="H1096" s="31"/>
      <c r="I1096" s="32">
        <f t="shared" si="68"/>
        <v>0</v>
      </c>
      <c r="J1096" s="33" t="str">
        <f t="shared" si="69"/>
        <v/>
      </c>
      <c r="K1096" s="2"/>
      <c r="L1096" s="15"/>
      <c r="M1096" s="34">
        <f t="shared" si="70"/>
        <v>0</v>
      </c>
    </row>
    <row r="1097" spans="1:13" x14ac:dyDescent="0.25">
      <c r="A1097" s="31"/>
      <c r="B1097" s="16" t="str">
        <f>IFERROR(VLOOKUP(A1097,Consolidado!$B$1:$L$1500,2,FALSE),"")</f>
        <v/>
      </c>
      <c r="C1097" s="16">
        <f>IFERROR(SUMIF(Consolidado!$B$1:$B$1500,VLOOKUP(RegistroPago!A1097,Consolidado!$B$1:$L$1500,1,FALSE),Consolidado!$G$1:$G$1500),"")</f>
        <v>0</v>
      </c>
      <c r="D1097" s="3"/>
      <c r="E1097" s="3"/>
      <c r="F1097" s="5" t="str">
        <f t="shared" si="71"/>
        <v/>
      </c>
      <c r="G1097" s="16" t="str">
        <f>IF(D1097&lt;&gt;"",D1097-VLOOKUP(A1097,Consolidado!$B$1:$L$1500,8,FALSE),"")</f>
        <v/>
      </c>
      <c r="H1097" s="31"/>
      <c r="I1097" s="32">
        <f t="shared" si="68"/>
        <v>0</v>
      </c>
      <c r="J1097" s="33" t="str">
        <f t="shared" si="69"/>
        <v/>
      </c>
      <c r="K1097" s="2"/>
      <c r="L1097" s="15"/>
      <c r="M1097" s="34">
        <f t="shared" si="70"/>
        <v>0</v>
      </c>
    </row>
    <row r="1098" spans="1:13" x14ac:dyDescent="0.25">
      <c r="A1098" s="31"/>
      <c r="B1098" s="16" t="str">
        <f>IFERROR(VLOOKUP(A1098,Consolidado!$B$1:$L$1500,2,FALSE),"")</f>
        <v/>
      </c>
      <c r="C1098" s="16">
        <f>IFERROR(SUMIF(Consolidado!$B$1:$B$1500,VLOOKUP(RegistroPago!A1098,Consolidado!$B$1:$L$1500,1,FALSE),Consolidado!$G$1:$G$1500),"")</f>
        <v>0</v>
      </c>
      <c r="D1098" s="3"/>
      <c r="E1098" s="3"/>
      <c r="F1098" s="5" t="str">
        <f t="shared" si="71"/>
        <v/>
      </c>
      <c r="G1098" s="16" t="str">
        <f>IF(D1098&lt;&gt;"",D1098-VLOOKUP(A1098,Consolidado!$B$1:$L$1500,8,FALSE),"")</f>
        <v/>
      </c>
      <c r="H1098" s="31"/>
      <c r="I1098" s="32">
        <f t="shared" si="68"/>
        <v>0</v>
      </c>
      <c r="J1098" s="33" t="str">
        <f t="shared" si="69"/>
        <v/>
      </c>
      <c r="K1098" s="2"/>
      <c r="L1098" s="15"/>
      <c r="M1098" s="34">
        <f t="shared" si="70"/>
        <v>0</v>
      </c>
    </row>
    <row r="1099" spans="1:13" x14ac:dyDescent="0.25">
      <c r="A1099" s="31"/>
      <c r="B1099" s="16" t="str">
        <f>IFERROR(VLOOKUP(A1099,Consolidado!$B$1:$L$1500,2,FALSE),"")</f>
        <v/>
      </c>
      <c r="C1099" s="16">
        <f>IFERROR(SUMIF(Consolidado!$B$1:$B$1500,VLOOKUP(RegistroPago!A1099,Consolidado!$B$1:$L$1500,1,FALSE),Consolidado!$G$1:$G$1500),"")</f>
        <v>0</v>
      </c>
      <c r="D1099" s="3"/>
      <c r="E1099" s="3"/>
      <c r="F1099" s="5" t="str">
        <f t="shared" si="71"/>
        <v/>
      </c>
      <c r="G1099" s="16" t="str">
        <f>IF(D1099&lt;&gt;"",D1099-VLOOKUP(A1099,Consolidado!$B$1:$L$1500,8,FALSE),"")</f>
        <v/>
      </c>
      <c r="H1099" s="31"/>
      <c r="I1099" s="32">
        <f t="shared" si="68"/>
        <v>0</v>
      </c>
      <c r="J1099" s="33" t="str">
        <f t="shared" si="69"/>
        <v/>
      </c>
      <c r="K1099" s="2"/>
      <c r="L1099" s="15"/>
      <c r="M1099" s="34">
        <f t="shared" si="70"/>
        <v>0</v>
      </c>
    </row>
    <row r="1100" spans="1:13" x14ac:dyDescent="0.25">
      <c r="A1100" s="31"/>
      <c r="B1100" s="16" t="str">
        <f>IFERROR(VLOOKUP(A1100,Consolidado!$B$1:$L$1500,2,FALSE),"")</f>
        <v/>
      </c>
      <c r="C1100" s="16">
        <f>IFERROR(SUMIF(Consolidado!$B$1:$B$1500,VLOOKUP(RegistroPago!A1100,Consolidado!$B$1:$L$1500,1,FALSE),Consolidado!$G$1:$G$1500),"")</f>
        <v>0</v>
      </c>
      <c r="D1100" s="3"/>
      <c r="E1100" s="3"/>
      <c r="F1100" s="5" t="str">
        <f t="shared" si="71"/>
        <v/>
      </c>
      <c r="G1100" s="16" t="str">
        <f>IF(D1100&lt;&gt;"",D1100-VLOOKUP(A1100,Consolidado!$B$1:$L$1500,8,FALSE),"")</f>
        <v/>
      </c>
      <c r="H1100" s="31"/>
      <c r="I1100" s="32">
        <f t="shared" si="68"/>
        <v>0</v>
      </c>
      <c r="J1100" s="33" t="str">
        <f t="shared" si="69"/>
        <v/>
      </c>
      <c r="K1100" s="2"/>
      <c r="L1100" s="15"/>
      <c r="M1100" s="34">
        <f t="shared" si="70"/>
        <v>0</v>
      </c>
    </row>
    <row r="1101" spans="1:13" x14ac:dyDescent="0.25">
      <c r="A1101" s="31"/>
      <c r="B1101" s="16" t="str">
        <f>IFERROR(VLOOKUP(A1101,Consolidado!$B$1:$L$1500,2,FALSE),"")</f>
        <v/>
      </c>
      <c r="C1101" s="16">
        <f>IFERROR(SUMIF(Consolidado!$B$1:$B$1500,VLOOKUP(RegistroPago!A1101,Consolidado!$B$1:$L$1500,1,FALSE),Consolidado!$G$1:$G$1500),"")</f>
        <v>0</v>
      </c>
      <c r="D1101" s="3"/>
      <c r="E1101" s="3"/>
      <c r="F1101" s="5" t="str">
        <f t="shared" si="71"/>
        <v/>
      </c>
      <c r="G1101" s="16" t="str">
        <f>IF(D1101&lt;&gt;"",D1101-VLOOKUP(A1101,Consolidado!$B$1:$L$1500,8,FALSE),"")</f>
        <v/>
      </c>
      <c r="H1101" s="31"/>
      <c r="I1101" s="32">
        <f t="shared" si="68"/>
        <v>0</v>
      </c>
      <c r="J1101" s="33" t="str">
        <f t="shared" si="69"/>
        <v/>
      </c>
      <c r="K1101" s="2"/>
      <c r="L1101" s="15"/>
      <c r="M1101" s="34">
        <f t="shared" si="70"/>
        <v>0</v>
      </c>
    </row>
    <row r="1102" spans="1:13" x14ac:dyDescent="0.25">
      <c r="A1102" s="31"/>
      <c r="B1102" s="16" t="str">
        <f>IFERROR(VLOOKUP(A1102,Consolidado!$B$1:$L$1500,2,FALSE),"")</f>
        <v/>
      </c>
      <c r="C1102" s="16">
        <f>IFERROR(SUMIF(Consolidado!$B$1:$B$1500,VLOOKUP(RegistroPago!A1102,Consolidado!$B$1:$L$1500,1,FALSE),Consolidado!$G$1:$G$1500),"")</f>
        <v>0</v>
      </c>
      <c r="D1102" s="3"/>
      <c r="E1102" s="3"/>
      <c r="F1102" s="5" t="str">
        <f t="shared" si="71"/>
        <v/>
      </c>
      <c r="G1102" s="16" t="str">
        <f>IF(D1102&lt;&gt;"",D1102-VLOOKUP(A1102,Consolidado!$B$1:$L$1500,8,FALSE),"")</f>
        <v/>
      </c>
      <c r="H1102" s="31"/>
      <c r="I1102" s="32">
        <f t="shared" si="68"/>
        <v>0</v>
      </c>
      <c r="J1102" s="33" t="str">
        <f t="shared" si="69"/>
        <v/>
      </c>
      <c r="K1102" s="2"/>
      <c r="L1102" s="15"/>
      <c r="M1102" s="34">
        <f t="shared" si="70"/>
        <v>0</v>
      </c>
    </row>
    <row r="1103" spans="1:13" x14ac:dyDescent="0.25">
      <c r="A1103" s="31"/>
      <c r="B1103" s="16" t="str">
        <f>IFERROR(VLOOKUP(A1103,Consolidado!$B$1:$L$1500,2,FALSE),"")</f>
        <v/>
      </c>
      <c r="C1103" s="16">
        <f>IFERROR(SUMIF(Consolidado!$B$1:$B$1500,VLOOKUP(RegistroPago!A1103,Consolidado!$B$1:$L$1500,1,FALSE),Consolidado!$G$1:$G$1500),"")</f>
        <v>0</v>
      </c>
      <c r="D1103" s="3"/>
      <c r="E1103" s="3"/>
      <c r="F1103" s="5" t="str">
        <f t="shared" si="71"/>
        <v/>
      </c>
      <c r="G1103" s="16" t="str">
        <f>IF(D1103&lt;&gt;"",D1103-VLOOKUP(A1103,Consolidado!$B$1:$L$1500,8,FALSE),"")</f>
        <v/>
      </c>
      <c r="H1103" s="31"/>
      <c r="I1103" s="32">
        <f t="shared" si="68"/>
        <v>0</v>
      </c>
      <c r="J1103" s="33" t="str">
        <f t="shared" si="69"/>
        <v/>
      </c>
      <c r="K1103" s="2"/>
      <c r="L1103" s="15"/>
      <c r="M1103" s="34">
        <f t="shared" si="70"/>
        <v>0</v>
      </c>
    </row>
    <row r="1104" spans="1:13" x14ac:dyDescent="0.25">
      <c r="A1104" s="31"/>
      <c r="B1104" s="16" t="str">
        <f>IFERROR(VLOOKUP(A1104,Consolidado!$B$1:$L$1500,2,FALSE),"")</f>
        <v/>
      </c>
      <c r="C1104" s="16">
        <f>IFERROR(SUMIF(Consolidado!$B$1:$B$1500,VLOOKUP(RegistroPago!A1104,Consolidado!$B$1:$L$1500,1,FALSE),Consolidado!$G$1:$G$1500),"")</f>
        <v>0</v>
      </c>
      <c r="D1104" s="3"/>
      <c r="E1104" s="3"/>
      <c r="F1104" s="5" t="str">
        <f t="shared" si="71"/>
        <v/>
      </c>
      <c r="G1104" s="16" t="str">
        <f>IF(D1104&lt;&gt;"",D1104-VLOOKUP(A1104,Consolidado!$B$1:$L$1500,8,FALSE),"")</f>
        <v/>
      </c>
      <c r="H1104" s="31"/>
      <c r="I1104" s="32">
        <f t="shared" si="68"/>
        <v>0</v>
      </c>
      <c r="J1104" s="33" t="str">
        <f t="shared" si="69"/>
        <v/>
      </c>
      <c r="K1104" s="2"/>
      <c r="L1104" s="15"/>
      <c r="M1104" s="34">
        <f t="shared" si="70"/>
        <v>0</v>
      </c>
    </row>
    <row r="1105" spans="1:13" x14ac:dyDescent="0.25">
      <c r="A1105" s="31"/>
      <c r="B1105" s="16" t="str">
        <f>IFERROR(VLOOKUP(A1105,Consolidado!$B$1:$L$1500,2,FALSE),"")</f>
        <v/>
      </c>
      <c r="C1105" s="16">
        <f>IFERROR(SUMIF(Consolidado!$B$1:$B$1500,VLOOKUP(RegistroPago!A1105,Consolidado!$B$1:$L$1500,1,FALSE),Consolidado!$G$1:$G$1500),"")</f>
        <v>0</v>
      </c>
      <c r="D1105" s="3"/>
      <c r="E1105" s="3"/>
      <c r="F1105" s="5" t="str">
        <f t="shared" si="71"/>
        <v/>
      </c>
      <c r="G1105" s="16" t="str">
        <f>IF(D1105&lt;&gt;"",D1105-VLOOKUP(A1105,Consolidado!$B$1:$L$1500,8,FALSE),"")</f>
        <v/>
      </c>
      <c r="H1105" s="31"/>
      <c r="I1105" s="32">
        <f t="shared" si="68"/>
        <v>0</v>
      </c>
      <c r="J1105" s="33" t="str">
        <f t="shared" si="69"/>
        <v/>
      </c>
      <c r="K1105" s="2"/>
      <c r="L1105" s="15"/>
      <c r="M1105" s="34">
        <f t="shared" si="70"/>
        <v>0</v>
      </c>
    </row>
    <row r="1106" spans="1:13" x14ac:dyDescent="0.25">
      <c r="A1106" s="31"/>
      <c r="B1106" s="16" t="str">
        <f>IFERROR(VLOOKUP(A1106,Consolidado!$B$1:$L$1500,2,FALSE),"")</f>
        <v/>
      </c>
      <c r="C1106" s="16">
        <f>IFERROR(SUMIF(Consolidado!$B$1:$B$1500,VLOOKUP(RegistroPago!A1106,Consolidado!$B$1:$L$1500,1,FALSE),Consolidado!$G$1:$G$1500),"")</f>
        <v>0</v>
      </c>
      <c r="D1106" s="3"/>
      <c r="E1106" s="3"/>
      <c r="F1106" s="5" t="str">
        <f t="shared" si="71"/>
        <v/>
      </c>
      <c r="G1106" s="16" t="str">
        <f>IF(D1106&lt;&gt;"",D1106-VLOOKUP(A1106,Consolidado!$B$1:$L$1500,8,FALSE),"")</f>
        <v/>
      </c>
      <c r="H1106" s="31"/>
      <c r="I1106" s="32">
        <f t="shared" si="68"/>
        <v>0</v>
      </c>
      <c r="J1106" s="33" t="str">
        <f t="shared" si="69"/>
        <v/>
      </c>
      <c r="K1106" s="2"/>
      <c r="L1106" s="15"/>
      <c r="M1106" s="34">
        <f t="shared" si="70"/>
        <v>0</v>
      </c>
    </row>
    <row r="1107" spans="1:13" x14ac:dyDescent="0.25">
      <c r="A1107" s="31"/>
      <c r="B1107" s="16" t="str">
        <f>IFERROR(VLOOKUP(A1107,Consolidado!$B$1:$L$1500,2,FALSE),"")</f>
        <v/>
      </c>
      <c r="C1107" s="16">
        <f>IFERROR(SUMIF(Consolidado!$B$1:$B$1500,VLOOKUP(RegistroPago!A1107,Consolidado!$B$1:$L$1500,1,FALSE),Consolidado!$G$1:$G$1500),"")</f>
        <v>0</v>
      </c>
      <c r="D1107" s="3"/>
      <c r="E1107" s="3"/>
      <c r="F1107" s="5" t="str">
        <f t="shared" si="71"/>
        <v/>
      </c>
      <c r="G1107" s="16" t="str">
        <f>IF(D1107&lt;&gt;"",D1107-VLOOKUP(A1107,Consolidado!$B$1:$L$1500,8,FALSE),"")</f>
        <v/>
      </c>
      <c r="H1107" s="31"/>
      <c r="I1107" s="32">
        <f t="shared" si="68"/>
        <v>0</v>
      </c>
      <c r="J1107" s="33" t="str">
        <f t="shared" si="69"/>
        <v/>
      </c>
      <c r="K1107" s="2"/>
      <c r="L1107" s="15"/>
      <c r="M1107" s="34">
        <f t="shared" si="70"/>
        <v>0</v>
      </c>
    </row>
    <row r="1108" spans="1:13" x14ac:dyDescent="0.25">
      <c r="A1108" s="31"/>
      <c r="B1108" s="16" t="str">
        <f>IFERROR(VLOOKUP(A1108,Consolidado!$B$1:$L$1500,2,FALSE),"")</f>
        <v/>
      </c>
      <c r="C1108" s="16">
        <f>IFERROR(SUMIF(Consolidado!$B$1:$B$1500,VLOOKUP(RegistroPago!A1108,Consolidado!$B$1:$L$1500,1,FALSE),Consolidado!$G$1:$G$1500),"")</f>
        <v>0</v>
      </c>
      <c r="D1108" s="3"/>
      <c r="E1108" s="3"/>
      <c r="F1108" s="5" t="str">
        <f t="shared" si="71"/>
        <v/>
      </c>
      <c r="G1108" s="16" t="str">
        <f>IF(D1108&lt;&gt;"",D1108-VLOOKUP(A1108,Consolidado!$B$1:$L$1500,8,FALSE),"")</f>
        <v/>
      </c>
      <c r="H1108" s="31"/>
      <c r="I1108" s="32">
        <f t="shared" si="68"/>
        <v>0</v>
      </c>
      <c r="J1108" s="33" t="str">
        <f t="shared" si="69"/>
        <v/>
      </c>
      <c r="K1108" s="2"/>
      <c r="L1108" s="15"/>
      <c r="M1108" s="34">
        <f t="shared" si="70"/>
        <v>0</v>
      </c>
    </row>
    <row r="1109" spans="1:13" x14ac:dyDescent="0.25">
      <c r="A1109" s="31"/>
      <c r="B1109" s="16" t="str">
        <f>IFERROR(VLOOKUP(A1109,Consolidado!$B$1:$L$1500,2,FALSE),"")</f>
        <v/>
      </c>
      <c r="C1109" s="16">
        <f>IFERROR(SUMIF(Consolidado!$B$1:$B$1500,VLOOKUP(RegistroPago!A1109,Consolidado!$B$1:$L$1500,1,FALSE),Consolidado!$G$1:$G$1500),"")</f>
        <v>0</v>
      </c>
      <c r="D1109" s="3"/>
      <c r="E1109" s="3"/>
      <c r="F1109" s="5" t="str">
        <f t="shared" si="71"/>
        <v/>
      </c>
      <c r="G1109" s="16" t="str">
        <f>IF(D1109&lt;&gt;"",D1109-VLOOKUP(A1109,Consolidado!$B$1:$L$1500,8,FALSE),"")</f>
        <v/>
      </c>
      <c r="H1109" s="31"/>
      <c r="I1109" s="32">
        <f t="shared" si="68"/>
        <v>0</v>
      </c>
      <c r="J1109" s="33" t="str">
        <f t="shared" si="69"/>
        <v/>
      </c>
      <c r="K1109" s="2"/>
      <c r="L1109" s="15"/>
      <c r="M1109" s="34">
        <f t="shared" si="70"/>
        <v>0</v>
      </c>
    </row>
    <row r="1110" spans="1:13" x14ac:dyDescent="0.25">
      <c r="A1110" s="31"/>
      <c r="B1110" s="16" t="str">
        <f>IFERROR(VLOOKUP(A1110,Consolidado!$B$1:$L$1500,2,FALSE),"")</f>
        <v/>
      </c>
      <c r="C1110" s="16">
        <f>IFERROR(SUMIF(Consolidado!$B$1:$B$1500,VLOOKUP(RegistroPago!A1110,Consolidado!$B$1:$L$1500,1,FALSE),Consolidado!$G$1:$G$1500),"")</f>
        <v>0</v>
      </c>
      <c r="D1110" s="3"/>
      <c r="E1110" s="3"/>
      <c r="F1110" s="5" t="str">
        <f t="shared" si="71"/>
        <v/>
      </c>
      <c r="G1110" s="16" t="str">
        <f>IF(D1110&lt;&gt;"",D1110-VLOOKUP(A1110,Consolidado!$B$1:$L$1500,8,FALSE),"")</f>
        <v/>
      </c>
      <c r="H1110" s="31"/>
      <c r="I1110" s="32">
        <f t="shared" si="68"/>
        <v>0</v>
      </c>
      <c r="J1110" s="33" t="str">
        <f t="shared" si="69"/>
        <v/>
      </c>
      <c r="K1110" s="2"/>
      <c r="L1110" s="15"/>
      <c r="M1110" s="34">
        <f t="shared" si="70"/>
        <v>0</v>
      </c>
    </row>
    <row r="1111" spans="1:13" x14ac:dyDescent="0.25">
      <c r="A1111" s="31"/>
      <c r="B1111" s="16" t="str">
        <f>IFERROR(VLOOKUP(A1111,Consolidado!$B$1:$L$1500,2,FALSE),"")</f>
        <v/>
      </c>
      <c r="C1111" s="16">
        <f>IFERROR(SUMIF(Consolidado!$B$1:$B$1500,VLOOKUP(RegistroPago!A1111,Consolidado!$B$1:$L$1500,1,FALSE),Consolidado!$G$1:$G$1500),"")</f>
        <v>0</v>
      </c>
      <c r="D1111" s="3"/>
      <c r="E1111" s="3"/>
      <c r="F1111" s="5" t="str">
        <f t="shared" si="71"/>
        <v/>
      </c>
      <c r="G1111" s="16" t="str">
        <f>IF(D1111&lt;&gt;"",D1111-VLOOKUP(A1111,Consolidado!$B$1:$L$1500,8,FALSE),"")</f>
        <v/>
      </c>
      <c r="H1111" s="31"/>
      <c r="I1111" s="32">
        <f t="shared" si="68"/>
        <v>0</v>
      </c>
      <c r="J1111" s="33" t="str">
        <f t="shared" si="69"/>
        <v/>
      </c>
      <c r="K1111" s="2"/>
      <c r="L1111" s="15"/>
      <c r="M1111" s="34">
        <f t="shared" si="70"/>
        <v>0</v>
      </c>
    </row>
    <row r="1112" spans="1:13" x14ac:dyDescent="0.25">
      <c r="A1112" s="31"/>
      <c r="B1112" s="16" t="str">
        <f>IFERROR(VLOOKUP(A1112,Consolidado!$B$1:$L$1500,2,FALSE),"")</f>
        <v/>
      </c>
      <c r="C1112" s="16">
        <f>IFERROR(SUMIF(Consolidado!$B$1:$B$1500,VLOOKUP(RegistroPago!A1112,Consolidado!$B$1:$L$1500,1,FALSE),Consolidado!$G$1:$G$1500),"")</f>
        <v>0</v>
      </c>
      <c r="D1112" s="3"/>
      <c r="E1112" s="3"/>
      <c r="F1112" s="5" t="str">
        <f t="shared" si="71"/>
        <v/>
      </c>
      <c r="G1112" s="16" t="str">
        <f>IF(D1112&lt;&gt;"",D1112-VLOOKUP(A1112,Consolidado!$B$1:$L$1500,8,FALSE),"")</f>
        <v/>
      </c>
      <c r="H1112" s="31"/>
      <c r="I1112" s="32">
        <f t="shared" si="68"/>
        <v>0</v>
      </c>
      <c r="J1112" s="33" t="str">
        <f t="shared" si="69"/>
        <v/>
      </c>
      <c r="K1112" s="2"/>
      <c r="L1112" s="15"/>
      <c r="M1112" s="34">
        <f t="shared" si="70"/>
        <v>0</v>
      </c>
    </row>
    <row r="1113" spans="1:13" x14ac:dyDescent="0.25">
      <c r="A1113" s="31"/>
      <c r="B1113" s="16" t="str">
        <f>IFERROR(VLOOKUP(A1113,Consolidado!$B$1:$L$1500,2,FALSE),"")</f>
        <v/>
      </c>
      <c r="C1113" s="16">
        <f>IFERROR(SUMIF(Consolidado!$B$1:$B$1500,VLOOKUP(RegistroPago!A1113,Consolidado!$B$1:$L$1500,1,FALSE),Consolidado!$G$1:$G$1500),"")</f>
        <v>0</v>
      </c>
      <c r="D1113" s="3"/>
      <c r="E1113" s="3"/>
      <c r="F1113" s="5" t="str">
        <f t="shared" si="71"/>
        <v/>
      </c>
      <c r="G1113" s="16" t="str">
        <f>IF(D1113&lt;&gt;"",D1113-VLOOKUP(A1113,Consolidado!$B$1:$L$1500,8,FALSE),"")</f>
        <v/>
      </c>
      <c r="H1113" s="31"/>
      <c r="I1113" s="32">
        <f t="shared" si="68"/>
        <v>0</v>
      </c>
      <c r="J1113" s="33" t="str">
        <f t="shared" si="69"/>
        <v/>
      </c>
      <c r="K1113" s="2"/>
      <c r="L1113" s="15"/>
      <c r="M1113" s="34">
        <f t="shared" si="70"/>
        <v>0</v>
      </c>
    </row>
    <row r="1114" spans="1:13" x14ac:dyDescent="0.25">
      <c r="A1114" s="31"/>
      <c r="B1114" s="16" t="str">
        <f>IFERROR(VLOOKUP(A1114,Consolidado!$B$1:$L$1500,2,FALSE),"")</f>
        <v/>
      </c>
      <c r="C1114" s="16">
        <f>IFERROR(SUMIF(Consolidado!$B$1:$B$1500,VLOOKUP(RegistroPago!A1114,Consolidado!$B$1:$L$1500,1,FALSE),Consolidado!$G$1:$G$1500),"")</f>
        <v>0</v>
      </c>
      <c r="D1114" s="3"/>
      <c r="E1114" s="3"/>
      <c r="F1114" s="5" t="str">
        <f t="shared" si="71"/>
        <v/>
      </c>
      <c r="G1114" s="16" t="str">
        <f>IF(D1114&lt;&gt;"",D1114-VLOOKUP(A1114,Consolidado!$B$1:$L$1500,8,FALSE),"")</f>
        <v/>
      </c>
      <c r="H1114" s="31"/>
      <c r="I1114" s="32">
        <f t="shared" si="68"/>
        <v>0</v>
      </c>
      <c r="J1114" s="33" t="str">
        <f t="shared" si="69"/>
        <v/>
      </c>
      <c r="K1114" s="2"/>
      <c r="L1114" s="15"/>
      <c r="M1114" s="34">
        <f t="shared" si="70"/>
        <v>0</v>
      </c>
    </row>
    <row r="1115" spans="1:13" x14ac:dyDescent="0.25">
      <c r="A1115" s="31"/>
      <c r="B1115" s="16" t="str">
        <f>IFERROR(VLOOKUP(A1115,Consolidado!$B$1:$L$1500,2,FALSE),"")</f>
        <v/>
      </c>
      <c r="C1115" s="16">
        <f>IFERROR(SUMIF(Consolidado!$B$1:$B$1500,VLOOKUP(RegistroPago!A1115,Consolidado!$B$1:$L$1500,1,FALSE),Consolidado!$G$1:$G$1500),"")</f>
        <v>0</v>
      </c>
      <c r="D1115" s="3"/>
      <c r="E1115" s="3"/>
      <c r="F1115" s="5" t="str">
        <f t="shared" si="71"/>
        <v/>
      </c>
      <c r="G1115" s="16" t="str">
        <f>IF(D1115&lt;&gt;"",D1115-VLOOKUP(A1115,Consolidado!$B$1:$L$1500,8,FALSE),"")</f>
        <v/>
      </c>
      <c r="H1115" s="31"/>
      <c r="I1115" s="32">
        <f t="shared" si="68"/>
        <v>0</v>
      </c>
      <c r="J1115" s="33" t="str">
        <f t="shared" si="69"/>
        <v/>
      </c>
      <c r="K1115" s="2"/>
      <c r="L1115" s="15"/>
      <c r="M1115" s="34">
        <f t="shared" si="70"/>
        <v>0</v>
      </c>
    </row>
    <row r="1116" spans="1:13" x14ac:dyDescent="0.25">
      <c r="A1116" s="31"/>
      <c r="B1116" s="16" t="str">
        <f>IFERROR(VLOOKUP(A1116,Consolidado!$B$1:$L$1500,2,FALSE),"")</f>
        <v/>
      </c>
      <c r="C1116" s="16">
        <f>IFERROR(SUMIF(Consolidado!$B$1:$B$1500,VLOOKUP(RegistroPago!A1116,Consolidado!$B$1:$L$1500,1,FALSE),Consolidado!$G$1:$G$1500),"")</f>
        <v>0</v>
      </c>
      <c r="D1116" s="3"/>
      <c r="E1116" s="3"/>
      <c r="F1116" s="5" t="str">
        <f t="shared" si="71"/>
        <v/>
      </c>
      <c r="G1116" s="16" t="str">
        <f>IF(D1116&lt;&gt;"",D1116-VLOOKUP(A1116,Consolidado!$B$1:$L$1500,8,FALSE),"")</f>
        <v/>
      </c>
      <c r="H1116" s="31"/>
      <c r="I1116" s="32">
        <f t="shared" si="68"/>
        <v>0</v>
      </c>
      <c r="J1116" s="33" t="str">
        <f t="shared" si="69"/>
        <v/>
      </c>
      <c r="K1116" s="2"/>
      <c r="L1116" s="15"/>
      <c r="M1116" s="34">
        <f t="shared" si="70"/>
        <v>0</v>
      </c>
    </row>
    <row r="1117" spans="1:13" x14ac:dyDescent="0.25">
      <c r="A1117" s="31"/>
      <c r="B1117" s="16" t="str">
        <f>IFERROR(VLOOKUP(A1117,Consolidado!$B$1:$L$1500,2,FALSE),"")</f>
        <v/>
      </c>
      <c r="C1117" s="16">
        <f>IFERROR(SUMIF(Consolidado!$B$1:$B$1500,VLOOKUP(RegistroPago!A1117,Consolidado!$B$1:$L$1500,1,FALSE),Consolidado!$G$1:$G$1500),"")</f>
        <v>0</v>
      </c>
      <c r="D1117" s="3"/>
      <c r="E1117" s="3"/>
      <c r="F1117" s="5" t="str">
        <f t="shared" si="71"/>
        <v/>
      </c>
      <c r="G1117" s="16" t="str">
        <f>IF(D1117&lt;&gt;"",D1117-VLOOKUP(A1117,Consolidado!$B$1:$L$1500,8,FALSE),"")</f>
        <v/>
      </c>
      <c r="H1117" s="31"/>
      <c r="I1117" s="32">
        <f t="shared" si="68"/>
        <v>0</v>
      </c>
      <c r="J1117" s="33" t="str">
        <f t="shared" si="69"/>
        <v/>
      </c>
      <c r="K1117" s="2"/>
      <c r="L1117" s="15"/>
      <c r="M1117" s="34">
        <f t="shared" si="70"/>
        <v>0</v>
      </c>
    </row>
    <row r="1118" spans="1:13" x14ac:dyDescent="0.25">
      <c r="A1118" s="31"/>
      <c r="B1118" s="16" t="str">
        <f>IFERROR(VLOOKUP(A1118,Consolidado!$B$1:$L$1500,2,FALSE),"")</f>
        <v/>
      </c>
      <c r="C1118" s="16">
        <f>IFERROR(SUMIF(Consolidado!$B$1:$B$1500,VLOOKUP(RegistroPago!A1118,Consolidado!$B$1:$L$1500,1,FALSE),Consolidado!$G$1:$G$1500),"")</f>
        <v>0</v>
      </c>
      <c r="D1118" s="3"/>
      <c r="E1118" s="3"/>
      <c r="F1118" s="5" t="str">
        <f t="shared" si="71"/>
        <v/>
      </c>
      <c r="G1118" s="16" t="str">
        <f>IF(D1118&lt;&gt;"",D1118-VLOOKUP(A1118,Consolidado!$B$1:$L$1500,8,FALSE),"")</f>
        <v/>
      </c>
      <c r="H1118" s="31"/>
      <c r="I1118" s="32">
        <f t="shared" si="68"/>
        <v>0</v>
      </c>
      <c r="J1118" s="33" t="str">
        <f t="shared" si="69"/>
        <v/>
      </c>
      <c r="K1118" s="2"/>
      <c r="L1118" s="15"/>
      <c r="M1118" s="34">
        <f t="shared" si="70"/>
        <v>0</v>
      </c>
    </row>
    <row r="1119" spans="1:13" x14ac:dyDescent="0.25">
      <c r="A1119" s="31"/>
      <c r="B1119" s="16" t="str">
        <f>IFERROR(VLOOKUP(A1119,Consolidado!$B$1:$L$1500,2,FALSE),"")</f>
        <v/>
      </c>
      <c r="C1119" s="16">
        <f>IFERROR(SUMIF(Consolidado!$B$1:$B$1500,VLOOKUP(RegistroPago!A1119,Consolidado!$B$1:$L$1500,1,FALSE),Consolidado!$G$1:$G$1500),"")</f>
        <v>0</v>
      </c>
      <c r="D1119" s="3"/>
      <c r="E1119" s="3"/>
      <c r="F1119" s="5" t="str">
        <f t="shared" si="71"/>
        <v/>
      </c>
      <c r="G1119" s="16" t="str">
        <f>IF(D1119&lt;&gt;"",D1119-VLOOKUP(A1119,Consolidado!$B$1:$L$1500,8,FALSE),"")</f>
        <v/>
      </c>
      <c r="H1119" s="31"/>
      <c r="I1119" s="32">
        <f t="shared" si="68"/>
        <v>0</v>
      </c>
      <c r="J1119" s="33" t="str">
        <f t="shared" si="69"/>
        <v/>
      </c>
      <c r="K1119" s="2"/>
      <c r="L1119" s="15"/>
      <c r="M1119" s="34">
        <f t="shared" si="70"/>
        <v>0</v>
      </c>
    </row>
    <row r="1120" spans="1:13" x14ac:dyDescent="0.25">
      <c r="A1120" s="31"/>
      <c r="B1120" s="16" t="str">
        <f>IFERROR(VLOOKUP(A1120,Consolidado!$B$1:$L$1500,2,FALSE),"")</f>
        <v/>
      </c>
      <c r="C1120" s="16">
        <f>IFERROR(SUMIF(Consolidado!$B$1:$B$1500,VLOOKUP(RegistroPago!A1120,Consolidado!$B$1:$L$1500,1,FALSE),Consolidado!$G$1:$G$1500),"")</f>
        <v>0</v>
      </c>
      <c r="D1120" s="3"/>
      <c r="E1120" s="3"/>
      <c r="F1120" s="5" t="str">
        <f t="shared" si="71"/>
        <v/>
      </c>
      <c r="G1120" s="16" t="str">
        <f>IF(D1120&lt;&gt;"",D1120-VLOOKUP(A1120,Consolidado!$B$1:$L$1500,8,FALSE),"")</f>
        <v/>
      </c>
      <c r="H1120" s="31"/>
      <c r="I1120" s="32">
        <f t="shared" si="68"/>
        <v>0</v>
      </c>
      <c r="J1120" s="33" t="str">
        <f t="shared" si="69"/>
        <v/>
      </c>
      <c r="K1120" s="2"/>
      <c r="L1120" s="15"/>
      <c r="M1120" s="34">
        <f t="shared" si="70"/>
        <v>0</v>
      </c>
    </row>
    <row r="1121" spans="1:13" x14ac:dyDescent="0.25">
      <c r="A1121" s="31"/>
      <c r="B1121" s="16" t="str">
        <f>IFERROR(VLOOKUP(A1121,Consolidado!$B$1:$L$1500,2,FALSE),"")</f>
        <v/>
      </c>
      <c r="C1121" s="16">
        <f>IFERROR(SUMIF(Consolidado!$B$1:$B$1500,VLOOKUP(RegistroPago!A1121,Consolidado!$B$1:$L$1500,1,FALSE),Consolidado!$G$1:$G$1500),"")</f>
        <v>0</v>
      </c>
      <c r="D1121" s="3"/>
      <c r="E1121" s="3"/>
      <c r="F1121" s="5" t="str">
        <f t="shared" si="71"/>
        <v/>
      </c>
      <c r="G1121" s="16" t="str">
        <f>IF(D1121&lt;&gt;"",D1121-VLOOKUP(A1121,Consolidado!$B$1:$L$1500,8,FALSE),"")</f>
        <v/>
      </c>
      <c r="H1121" s="31"/>
      <c r="I1121" s="32">
        <f t="shared" si="68"/>
        <v>0</v>
      </c>
      <c r="J1121" s="33" t="str">
        <f t="shared" si="69"/>
        <v/>
      </c>
      <c r="K1121" s="2"/>
      <c r="L1121" s="15"/>
      <c r="M1121" s="34">
        <f t="shared" si="70"/>
        <v>0</v>
      </c>
    </row>
    <row r="1122" spans="1:13" x14ac:dyDescent="0.25">
      <c r="A1122" s="31"/>
      <c r="B1122" s="16" t="str">
        <f>IFERROR(VLOOKUP(A1122,Consolidado!$B$1:$L$1500,2,FALSE),"")</f>
        <v/>
      </c>
      <c r="C1122" s="16">
        <f>IFERROR(SUMIF(Consolidado!$B$1:$B$1500,VLOOKUP(RegistroPago!A1122,Consolidado!$B$1:$L$1500,1,FALSE),Consolidado!$G$1:$G$1500),"")</f>
        <v>0</v>
      </c>
      <c r="D1122" s="3"/>
      <c r="E1122" s="3"/>
      <c r="F1122" s="5" t="str">
        <f t="shared" si="71"/>
        <v/>
      </c>
      <c r="G1122" s="16" t="str">
        <f>IF(D1122&lt;&gt;"",D1122-VLOOKUP(A1122,Consolidado!$B$1:$L$1500,8,FALSE),"")</f>
        <v/>
      </c>
      <c r="H1122" s="31"/>
      <c r="I1122" s="32">
        <f t="shared" si="68"/>
        <v>0</v>
      </c>
      <c r="J1122" s="33" t="str">
        <f t="shared" si="69"/>
        <v/>
      </c>
      <c r="K1122" s="2"/>
      <c r="L1122" s="15"/>
      <c r="M1122" s="34">
        <f t="shared" si="70"/>
        <v>0</v>
      </c>
    </row>
    <row r="1123" spans="1:13" x14ac:dyDescent="0.25">
      <c r="A1123" s="31"/>
      <c r="B1123" s="16" t="str">
        <f>IFERROR(VLOOKUP(A1123,Consolidado!$B$1:$L$1500,2,FALSE),"")</f>
        <v/>
      </c>
      <c r="C1123" s="16">
        <f>IFERROR(SUMIF(Consolidado!$B$1:$B$1500,VLOOKUP(RegistroPago!A1123,Consolidado!$B$1:$L$1500,1,FALSE),Consolidado!$G$1:$G$1500),"")</f>
        <v>0</v>
      </c>
      <c r="D1123" s="3"/>
      <c r="E1123" s="3"/>
      <c r="F1123" s="5" t="str">
        <f t="shared" si="71"/>
        <v/>
      </c>
      <c r="G1123" s="16" t="str">
        <f>IF(D1123&lt;&gt;"",D1123-VLOOKUP(A1123,Consolidado!$B$1:$L$1500,8,FALSE),"")</f>
        <v/>
      </c>
      <c r="H1123" s="31"/>
      <c r="I1123" s="32">
        <f t="shared" si="68"/>
        <v>0</v>
      </c>
      <c r="J1123" s="33" t="str">
        <f t="shared" si="69"/>
        <v/>
      </c>
      <c r="K1123" s="2"/>
      <c r="L1123" s="15"/>
      <c r="M1123" s="34">
        <f t="shared" si="70"/>
        <v>0</v>
      </c>
    </row>
    <row r="1124" spans="1:13" x14ac:dyDescent="0.25">
      <c r="A1124" s="31"/>
      <c r="B1124" s="16" t="str">
        <f>IFERROR(VLOOKUP(A1124,Consolidado!$B$1:$L$1500,2,FALSE),"")</f>
        <v/>
      </c>
      <c r="C1124" s="16">
        <f>IFERROR(SUMIF(Consolidado!$B$1:$B$1500,VLOOKUP(RegistroPago!A1124,Consolidado!$B$1:$L$1500,1,FALSE),Consolidado!$G$1:$G$1500),"")</f>
        <v>0</v>
      </c>
      <c r="D1124" s="3"/>
      <c r="E1124" s="3"/>
      <c r="F1124" s="5" t="str">
        <f t="shared" si="71"/>
        <v/>
      </c>
      <c r="G1124" s="16" t="str">
        <f>IF(D1124&lt;&gt;"",D1124-VLOOKUP(A1124,Consolidado!$B$1:$L$1500,8,FALSE),"")</f>
        <v/>
      </c>
      <c r="H1124" s="31"/>
      <c r="I1124" s="32">
        <f t="shared" si="68"/>
        <v>0</v>
      </c>
      <c r="J1124" s="33" t="str">
        <f t="shared" si="69"/>
        <v/>
      </c>
      <c r="K1124" s="2"/>
      <c r="L1124" s="15"/>
      <c r="M1124" s="34">
        <f t="shared" si="70"/>
        <v>0</v>
      </c>
    </row>
    <row r="1125" spans="1:13" x14ac:dyDescent="0.25">
      <c r="A1125" s="31"/>
      <c r="B1125" s="16" t="str">
        <f>IFERROR(VLOOKUP(A1125,Consolidado!$B$1:$L$1500,2,FALSE),"")</f>
        <v/>
      </c>
      <c r="C1125" s="16">
        <f>IFERROR(SUMIF(Consolidado!$B$1:$B$1500,VLOOKUP(RegistroPago!A1125,Consolidado!$B$1:$L$1500,1,FALSE),Consolidado!$G$1:$G$1500),"")</f>
        <v>0</v>
      </c>
      <c r="D1125" s="3"/>
      <c r="E1125" s="3"/>
      <c r="F1125" s="5" t="str">
        <f t="shared" si="71"/>
        <v/>
      </c>
      <c r="G1125" s="16" t="str">
        <f>IF(D1125&lt;&gt;"",D1125-VLOOKUP(A1125,Consolidado!$B$1:$L$1500,8,FALSE),"")</f>
        <v/>
      </c>
      <c r="H1125" s="31"/>
      <c r="I1125" s="32">
        <f t="shared" si="68"/>
        <v>0</v>
      </c>
      <c r="J1125" s="33" t="str">
        <f t="shared" si="69"/>
        <v/>
      </c>
      <c r="K1125" s="2"/>
      <c r="L1125" s="15"/>
      <c r="M1125" s="34">
        <f t="shared" si="70"/>
        <v>0</v>
      </c>
    </row>
    <row r="1126" spans="1:13" x14ac:dyDescent="0.25">
      <c r="A1126" s="31"/>
      <c r="B1126" s="16" t="str">
        <f>IFERROR(VLOOKUP(A1126,Consolidado!$B$1:$L$1500,2,FALSE),"")</f>
        <v/>
      </c>
      <c r="C1126" s="16">
        <f>IFERROR(SUMIF(Consolidado!$B$1:$B$1500,VLOOKUP(RegistroPago!A1126,Consolidado!$B$1:$L$1500,1,FALSE),Consolidado!$G$1:$G$1500),"")</f>
        <v>0</v>
      </c>
      <c r="D1126" s="3"/>
      <c r="E1126" s="3"/>
      <c r="F1126" s="5" t="str">
        <f t="shared" si="71"/>
        <v/>
      </c>
      <c r="G1126" s="16" t="str">
        <f>IF(D1126&lt;&gt;"",D1126-VLOOKUP(A1126,Consolidado!$B$1:$L$1500,8,FALSE),"")</f>
        <v/>
      </c>
      <c r="H1126" s="31"/>
      <c r="I1126" s="32">
        <f t="shared" si="68"/>
        <v>0</v>
      </c>
      <c r="J1126" s="33" t="str">
        <f t="shared" si="69"/>
        <v/>
      </c>
      <c r="K1126" s="2"/>
      <c r="L1126" s="15"/>
      <c r="M1126" s="34">
        <f t="shared" si="70"/>
        <v>0</v>
      </c>
    </row>
    <row r="1127" spans="1:13" x14ac:dyDescent="0.25">
      <c r="A1127" s="31"/>
      <c r="B1127" s="16" t="str">
        <f>IFERROR(VLOOKUP(A1127,Consolidado!$B$1:$L$1500,2,FALSE),"")</f>
        <v/>
      </c>
      <c r="C1127" s="16">
        <f>IFERROR(SUMIF(Consolidado!$B$1:$B$1500,VLOOKUP(RegistroPago!A1127,Consolidado!$B$1:$L$1500,1,FALSE),Consolidado!$G$1:$G$1500),"")</f>
        <v>0</v>
      </c>
      <c r="D1127" s="3"/>
      <c r="E1127" s="3"/>
      <c r="F1127" s="5" t="str">
        <f t="shared" si="71"/>
        <v/>
      </c>
      <c r="G1127" s="16" t="str">
        <f>IF(D1127&lt;&gt;"",D1127-VLOOKUP(A1127,Consolidado!$B$1:$L$1500,8,FALSE),"")</f>
        <v/>
      </c>
      <c r="H1127" s="31"/>
      <c r="I1127" s="32">
        <f t="shared" si="68"/>
        <v>0</v>
      </c>
      <c r="J1127" s="33" t="str">
        <f t="shared" si="69"/>
        <v/>
      </c>
      <c r="K1127" s="2"/>
      <c r="L1127" s="15"/>
      <c r="M1127" s="34">
        <f t="shared" si="70"/>
        <v>0</v>
      </c>
    </row>
    <row r="1128" spans="1:13" x14ac:dyDescent="0.25">
      <c r="A1128" s="31"/>
      <c r="B1128" s="16" t="str">
        <f>IFERROR(VLOOKUP(A1128,Consolidado!$B$1:$L$1500,2,FALSE),"")</f>
        <v/>
      </c>
      <c r="C1128" s="16">
        <f>IFERROR(SUMIF(Consolidado!$B$1:$B$1500,VLOOKUP(RegistroPago!A1128,Consolidado!$B$1:$L$1500,1,FALSE),Consolidado!$G$1:$G$1500),"")</f>
        <v>0</v>
      </c>
      <c r="D1128" s="3"/>
      <c r="E1128" s="3"/>
      <c r="F1128" s="5" t="str">
        <f t="shared" si="71"/>
        <v/>
      </c>
      <c r="G1128" s="16" t="str">
        <f>IF(D1128&lt;&gt;"",D1128-VLOOKUP(A1128,Consolidado!$B$1:$L$1500,8,FALSE),"")</f>
        <v/>
      </c>
      <c r="H1128" s="31"/>
      <c r="I1128" s="32">
        <f t="shared" si="68"/>
        <v>0</v>
      </c>
      <c r="J1128" s="33" t="str">
        <f t="shared" si="69"/>
        <v/>
      </c>
      <c r="K1128" s="2"/>
      <c r="L1128" s="15"/>
      <c r="M1128" s="34">
        <f t="shared" si="70"/>
        <v>0</v>
      </c>
    </row>
    <row r="1129" spans="1:13" x14ac:dyDescent="0.25">
      <c r="A1129" s="31"/>
      <c r="B1129" s="16" t="str">
        <f>IFERROR(VLOOKUP(A1129,Consolidado!$B$1:$L$1500,2,FALSE),"")</f>
        <v/>
      </c>
      <c r="C1129" s="16">
        <f>IFERROR(SUMIF(Consolidado!$B$1:$B$1500,VLOOKUP(RegistroPago!A1129,Consolidado!$B$1:$L$1500,1,FALSE),Consolidado!$G$1:$G$1500),"")</f>
        <v>0</v>
      </c>
      <c r="D1129" s="3"/>
      <c r="E1129" s="3"/>
      <c r="F1129" s="5" t="str">
        <f t="shared" si="71"/>
        <v/>
      </c>
      <c r="G1129" s="16" t="str">
        <f>IF(D1129&lt;&gt;"",D1129-VLOOKUP(A1129,Consolidado!$B$1:$L$1500,8,FALSE),"")</f>
        <v/>
      </c>
      <c r="H1129" s="31"/>
      <c r="I1129" s="32">
        <f t="shared" ref="I1129:I1192" si="72">IFERROR(SUMIF($E$1:$E$2000,H1129,$C$1:$C$2000)-SUMIF($E$1:$E$2000,H1129,$F$1:$F$2000),"")</f>
        <v>0</v>
      </c>
      <c r="J1129" s="33" t="str">
        <f t="shared" ref="J1129:J1192" si="73">IFERROR(I1129/SUMIF($E$1:$E$2000,H1129,$C$1:$C$2000),"")</f>
        <v/>
      </c>
      <c r="K1129" s="2"/>
      <c r="L1129" s="15"/>
      <c r="M1129" s="34">
        <f t="shared" ref="M1129:M1192" si="74">IFERROR(L1129*SUMIF($E$1:$E$2000,H1129,$F$1:$F$2000),"")</f>
        <v>0</v>
      </c>
    </row>
    <row r="1130" spans="1:13" x14ac:dyDescent="0.25">
      <c r="A1130" s="31"/>
      <c r="B1130" s="16" t="str">
        <f>IFERROR(VLOOKUP(A1130,Consolidado!$B$1:$L$1500,2,FALSE),"")</f>
        <v/>
      </c>
      <c r="C1130" s="16">
        <f>IFERROR(SUMIF(Consolidado!$B$1:$B$1500,VLOOKUP(RegistroPago!A1130,Consolidado!$B$1:$L$1500,1,FALSE),Consolidado!$G$1:$G$1500),"")</f>
        <v>0</v>
      </c>
      <c r="D1130" s="3"/>
      <c r="E1130" s="3"/>
      <c r="F1130" s="5" t="str">
        <f t="shared" si="71"/>
        <v/>
      </c>
      <c r="G1130" s="16" t="str">
        <f>IF(D1130&lt;&gt;"",D1130-VLOOKUP(A1130,Consolidado!$B$1:$L$1500,8,FALSE),"")</f>
        <v/>
      </c>
      <c r="H1130" s="31"/>
      <c r="I1130" s="32">
        <f t="shared" si="72"/>
        <v>0</v>
      </c>
      <c r="J1130" s="33" t="str">
        <f t="shared" si="73"/>
        <v/>
      </c>
      <c r="K1130" s="2"/>
      <c r="L1130" s="15"/>
      <c r="M1130" s="34">
        <f t="shared" si="74"/>
        <v>0</v>
      </c>
    </row>
    <row r="1131" spans="1:13" x14ac:dyDescent="0.25">
      <c r="A1131" s="31"/>
      <c r="B1131" s="16" t="str">
        <f>IFERROR(VLOOKUP(A1131,Consolidado!$B$1:$L$1500,2,FALSE),"")</f>
        <v/>
      </c>
      <c r="C1131" s="16">
        <f>IFERROR(SUMIF(Consolidado!$B$1:$B$1500,VLOOKUP(RegistroPago!A1131,Consolidado!$B$1:$L$1500,1,FALSE),Consolidado!$G$1:$G$1500),"")</f>
        <v>0</v>
      </c>
      <c r="D1131" s="3"/>
      <c r="E1131" s="3"/>
      <c r="F1131" s="5" t="str">
        <f t="shared" si="71"/>
        <v/>
      </c>
      <c r="G1131" s="16" t="str">
        <f>IF(D1131&lt;&gt;"",D1131-VLOOKUP(A1131,Consolidado!$B$1:$L$1500,8,FALSE),"")</f>
        <v/>
      </c>
      <c r="H1131" s="31"/>
      <c r="I1131" s="32">
        <f t="shared" si="72"/>
        <v>0</v>
      </c>
      <c r="J1131" s="33" t="str">
        <f t="shared" si="73"/>
        <v/>
      </c>
      <c r="K1131" s="2"/>
      <c r="L1131" s="15"/>
      <c r="M1131" s="34">
        <f t="shared" si="74"/>
        <v>0</v>
      </c>
    </row>
    <row r="1132" spans="1:13" x14ac:dyDescent="0.25">
      <c r="A1132" s="31"/>
      <c r="B1132" s="16" t="str">
        <f>IFERROR(VLOOKUP(A1132,Consolidado!$B$1:$L$1500,2,FALSE),"")</f>
        <v/>
      </c>
      <c r="C1132" s="16">
        <f>IFERROR(SUMIF(Consolidado!$B$1:$B$1500,VLOOKUP(RegistroPago!A1132,Consolidado!$B$1:$L$1500,1,FALSE),Consolidado!$G$1:$G$1500),"")</f>
        <v>0</v>
      </c>
      <c r="D1132" s="3"/>
      <c r="E1132" s="3"/>
      <c r="F1132" s="5" t="str">
        <f t="shared" si="71"/>
        <v/>
      </c>
      <c r="G1132" s="16" t="str">
        <f>IF(D1132&lt;&gt;"",D1132-VLOOKUP(A1132,Consolidado!$B$1:$L$1500,8,FALSE),"")</f>
        <v/>
      </c>
      <c r="H1132" s="31"/>
      <c r="I1132" s="32">
        <f t="shared" si="72"/>
        <v>0</v>
      </c>
      <c r="J1132" s="33" t="str">
        <f t="shared" si="73"/>
        <v/>
      </c>
      <c r="K1132" s="2"/>
      <c r="L1132" s="15"/>
      <c r="M1132" s="34">
        <f t="shared" si="74"/>
        <v>0</v>
      </c>
    </row>
    <row r="1133" spans="1:13" x14ac:dyDescent="0.25">
      <c r="A1133" s="31"/>
      <c r="B1133" s="16" t="str">
        <f>IFERROR(VLOOKUP(A1133,Consolidado!$B$1:$L$1500,2,FALSE),"")</f>
        <v/>
      </c>
      <c r="C1133" s="16">
        <f>IFERROR(SUMIF(Consolidado!$B$1:$B$1500,VLOOKUP(RegistroPago!A1133,Consolidado!$B$1:$L$1500,1,FALSE),Consolidado!$G$1:$G$1500),"")</f>
        <v>0</v>
      </c>
      <c r="D1133" s="3"/>
      <c r="E1133" s="3"/>
      <c r="F1133" s="5" t="str">
        <f t="shared" si="71"/>
        <v/>
      </c>
      <c r="G1133" s="16" t="str">
        <f>IF(D1133&lt;&gt;"",D1133-VLOOKUP(A1133,Consolidado!$B$1:$L$1500,8,FALSE),"")</f>
        <v/>
      </c>
      <c r="H1133" s="31"/>
      <c r="I1133" s="32">
        <f t="shared" si="72"/>
        <v>0</v>
      </c>
      <c r="J1133" s="33" t="str">
        <f t="shared" si="73"/>
        <v/>
      </c>
      <c r="K1133" s="2"/>
      <c r="L1133" s="15"/>
      <c r="M1133" s="34">
        <f t="shared" si="74"/>
        <v>0</v>
      </c>
    </row>
    <row r="1134" spans="1:13" x14ac:dyDescent="0.25">
      <c r="A1134" s="31"/>
      <c r="B1134" s="16" t="str">
        <f>IFERROR(VLOOKUP(A1134,Consolidado!$B$1:$L$1500,2,FALSE),"")</f>
        <v/>
      </c>
      <c r="C1134" s="16">
        <f>IFERROR(SUMIF(Consolidado!$B$1:$B$1500,VLOOKUP(RegistroPago!A1134,Consolidado!$B$1:$L$1500,1,FALSE),Consolidado!$G$1:$G$1500),"")</f>
        <v>0</v>
      </c>
      <c r="D1134" s="3"/>
      <c r="E1134" s="3"/>
      <c r="F1134" s="5" t="str">
        <f t="shared" si="71"/>
        <v/>
      </c>
      <c r="G1134" s="16" t="str">
        <f>IF(D1134&lt;&gt;"",D1134-VLOOKUP(A1134,Consolidado!$B$1:$L$1500,8,FALSE),"")</f>
        <v/>
      </c>
      <c r="H1134" s="31"/>
      <c r="I1134" s="32">
        <f t="shared" si="72"/>
        <v>0</v>
      </c>
      <c r="J1134" s="33" t="str">
        <f t="shared" si="73"/>
        <v/>
      </c>
      <c r="K1134" s="2"/>
      <c r="L1134" s="15"/>
      <c r="M1134" s="34">
        <f t="shared" si="74"/>
        <v>0</v>
      </c>
    </row>
    <row r="1135" spans="1:13" x14ac:dyDescent="0.25">
      <c r="A1135" s="31"/>
      <c r="B1135" s="16" t="str">
        <f>IFERROR(VLOOKUP(A1135,Consolidado!$B$1:$L$1500,2,FALSE),"")</f>
        <v/>
      </c>
      <c r="C1135" s="16">
        <f>IFERROR(SUMIF(Consolidado!$B$1:$B$1500,VLOOKUP(RegistroPago!A1135,Consolidado!$B$1:$L$1500,1,FALSE),Consolidado!$G$1:$G$1500),"")</f>
        <v>0</v>
      </c>
      <c r="D1135" s="3"/>
      <c r="E1135" s="3"/>
      <c r="F1135" s="5" t="str">
        <f t="shared" si="71"/>
        <v/>
      </c>
      <c r="G1135" s="16" t="str">
        <f>IF(D1135&lt;&gt;"",D1135-VLOOKUP(A1135,Consolidado!$B$1:$L$1500,8,FALSE),"")</f>
        <v/>
      </c>
      <c r="H1135" s="31"/>
      <c r="I1135" s="32">
        <f t="shared" si="72"/>
        <v>0</v>
      </c>
      <c r="J1135" s="33" t="str">
        <f t="shared" si="73"/>
        <v/>
      </c>
      <c r="K1135" s="2"/>
      <c r="L1135" s="15"/>
      <c r="M1135" s="34">
        <f t="shared" si="74"/>
        <v>0</v>
      </c>
    </row>
    <row r="1136" spans="1:13" x14ac:dyDescent="0.25">
      <c r="A1136" s="31"/>
      <c r="B1136" s="16" t="str">
        <f>IFERROR(VLOOKUP(A1136,Consolidado!$B$1:$L$1500,2,FALSE),"")</f>
        <v/>
      </c>
      <c r="C1136" s="16">
        <f>IFERROR(SUMIF(Consolidado!$B$1:$B$1500,VLOOKUP(RegistroPago!A1136,Consolidado!$B$1:$L$1500,1,FALSE),Consolidado!$G$1:$G$1500),"")</f>
        <v>0</v>
      </c>
      <c r="D1136" s="3"/>
      <c r="E1136" s="3"/>
      <c r="F1136" s="5" t="str">
        <f t="shared" si="71"/>
        <v/>
      </c>
      <c r="G1136" s="16" t="str">
        <f>IF(D1136&lt;&gt;"",D1136-VLOOKUP(A1136,Consolidado!$B$1:$L$1500,8,FALSE),"")</f>
        <v/>
      </c>
      <c r="H1136" s="31"/>
      <c r="I1136" s="32">
        <f t="shared" si="72"/>
        <v>0</v>
      </c>
      <c r="J1136" s="33" t="str">
        <f t="shared" si="73"/>
        <v/>
      </c>
      <c r="K1136" s="2"/>
      <c r="L1136" s="15"/>
      <c r="M1136" s="34">
        <f t="shared" si="74"/>
        <v>0</v>
      </c>
    </row>
    <row r="1137" spans="1:13" x14ac:dyDescent="0.25">
      <c r="A1137" s="31"/>
      <c r="B1137" s="16" t="str">
        <f>IFERROR(VLOOKUP(A1137,Consolidado!$B$1:$L$1500,2,FALSE),"")</f>
        <v/>
      </c>
      <c r="C1137" s="16">
        <f>IFERROR(SUMIF(Consolidado!$B$1:$B$1500,VLOOKUP(RegistroPago!A1137,Consolidado!$B$1:$L$1500,1,FALSE),Consolidado!$G$1:$G$1500),"")</f>
        <v>0</v>
      </c>
      <c r="D1137" s="3"/>
      <c r="E1137" s="3"/>
      <c r="F1137" s="5" t="str">
        <f t="shared" si="71"/>
        <v/>
      </c>
      <c r="G1137" s="16" t="str">
        <f>IF(D1137&lt;&gt;"",D1137-VLOOKUP(A1137,Consolidado!$B$1:$L$1500,8,FALSE),"")</f>
        <v/>
      </c>
      <c r="H1137" s="31"/>
      <c r="I1137" s="32">
        <f t="shared" si="72"/>
        <v>0</v>
      </c>
      <c r="J1137" s="33" t="str">
        <f t="shared" si="73"/>
        <v/>
      </c>
      <c r="K1137" s="2"/>
      <c r="L1137" s="15"/>
      <c r="M1137" s="34">
        <f t="shared" si="74"/>
        <v>0</v>
      </c>
    </row>
    <row r="1138" spans="1:13" x14ac:dyDescent="0.25">
      <c r="A1138" s="31"/>
      <c r="B1138" s="16" t="str">
        <f>IFERROR(VLOOKUP(A1138,Consolidado!$B$1:$L$1500,2,FALSE),"")</f>
        <v/>
      </c>
      <c r="C1138" s="16">
        <f>IFERROR(SUMIF(Consolidado!$B$1:$B$1500,VLOOKUP(RegistroPago!A1138,Consolidado!$B$1:$L$1500,1,FALSE),Consolidado!$G$1:$G$1500),"")</f>
        <v>0</v>
      </c>
      <c r="D1138" s="3"/>
      <c r="E1138" s="3"/>
      <c r="F1138" s="5" t="str">
        <f t="shared" si="71"/>
        <v/>
      </c>
      <c r="G1138" s="16" t="str">
        <f>IF(D1138&lt;&gt;"",D1138-VLOOKUP(A1138,Consolidado!$B$1:$L$1500,8,FALSE),"")</f>
        <v/>
      </c>
      <c r="H1138" s="31"/>
      <c r="I1138" s="32">
        <f t="shared" si="72"/>
        <v>0</v>
      </c>
      <c r="J1138" s="33" t="str">
        <f t="shared" si="73"/>
        <v/>
      </c>
      <c r="K1138" s="2"/>
      <c r="L1138" s="15"/>
      <c r="M1138" s="34">
        <f t="shared" si="74"/>
        <v>0</v>
      </c>
    </row>
    <row r="1139" spans="1:13" x14ac:dyDescent="0.25">
      <c r="A1139" s="31"/>
      <c r="B1139" s="16" t="str">
        <f>IFERROR(VLOOKUP(A1139,Consolidado!$B$1:$L$1500,2,FALSE),"")</f>
        <v/>
      </c>
      <c r="C1139" s="16">
        <f>IFERROR(SUMIF(Consolidado!$B$1:$B$1500,VLOOKUP(RegistroPago!A1139,Consolidado!$B$1:$L$1500,1,FALSE),Consolidado!$G$1:$G$1500),"")</f>
        <v>0</v>
      </c>
      <c r="D1139" s="3"/>
      <c r="E1139" s="3"/>
      <c r="F1139" s="5" t="str">
        <f t="shared" si="71"/>
        <v/>
      </c>
      <c r="G1139" s="16" t="str">
        <f>IF(D1139&lt;&gt;"",D1139-VLOOKUP(A1139,Consolidado!$B$1:$L$1500,8,FALSE),"")</f>
        <v/>
      </c>
      <c r="H1139" s="31"/>
      <c r="I1139" s="32">
        <f t="shared" si="72"/>
        <v>0</v>
      </c>
      <c r="J1139" s="33" t="str">
        <f t="shared" si="73"/>
        <v/>
      </c>
      <c r="K1139" s="2"/>
      <c r="L1139" s="15"/>
      <c r="M1139" s="34">
        <f t="shared" si="74"/>
        <v>0</v>
      </c>
    </row>
    <row r="1140" spans="1:13" x14ac:dyDescent="0.25">
      <c r="A1140" s="31"/>
      <c r="B1140" s="16" t="str">
        <f>IFERROR(VLOOKUP(A1140,Consolidado!$B$1:$L$1500,2,FALSE),"")</f>
        <v/>
      </c>
      <c r="C1140" s="16">
        <f>IFERROR(SUMIF(Consolidado!$B$1:$B$1500,VLOOKUP(RegistroPago!A1140,Consolidado!$B$1:$L$1500,1,FALSE),Consolidado!$G$1:$G$1500),"")</f>
        <v>0</v>
      </c>
      <c r="D1140" s="3"/>
      <c r="E1140" s="3"/>
      <c r="F1140" s="5" t="str">
        <f t="shared" si="71"/>
        <v/>
      </c>
      <c r="G1140" s="16" t="str">
        <f>IF(D1140&lt;&gt;"",D1140-VLOOKUP(A1140,Consolidado!$B$1:$L$1500,8,FALSE),"")</f>
        <v/>
      </c>
      <c r="H1140" s="31"/>
      <c r="I1140" s="32">
        <f t="shared" si="72"/>
        <v>0</v>
      </c>
      <c r="J1140" s="33" t="str">
        <f t="shared" si="73"/>
        <v/>
      </c>
      <c r="K1140" s="2"/>
      <c r="L1140" s="15"/>
      <c r="M1140" s="34">
        <f t="shared" si="74"/>
        <v>0</v>
      </c>
    </row>
    <row r="1141" spans="1:13" x14ac:dyDescent="0.25">
      <c r="A1141" s="31"/>
      <c r="B1141" s="16" t="str">
        <f>IFERROR(VLOOKUP(A1141,Consolidado!$B$1:$L$1500,2,FALSE),"")</f>
        <v/>
      </c>
      <c r="C1141" s="16">
        <f>IFERROR(SUMIF(Consolidado!$B$1:$B$1500,VLOOKUP(RegistroPago!A1141,Consolidado!$B$1:$L$1500,1,FALSE),Consolidado!$G$1:$G$1500),"")</f>
        <v>0</v>
      </c>
      <c r="D1141" s="3"/>
      <c r="E1141" s="3"/>
      <c r="F1141" s="5" t="str">
        <f t="shared" si="71"/>
        <v/>
      </c>
      <c r="G1141" s="16" t="str">
        <f>IF(D1141&lt;&gt;"",D1141-VLOOKUP(A1141,Consolidado!$B$1:$L$1500,8,FALSE),"")</f>
        <v/>
      </c>
      <c r="H1141" s="31"/>
      <c r="I1141" s="32">
        <f t="shared" si="72"/>
        <v>0</v>
      </c>
      <c r="J1141" s="33" t="str">
        <f t="shared" si="73"/>
        <v/>
      </c>
      <c r="K1141" s="2"/>
      <c r="L1141" s="15"/>
      <c r="M1141" s="34">
        <f t="shared" si="74"/>
        <v>0</v>
      </c>
    </row>
    <row r="1142" spans="1:13" x14ac:dyDescent="0.25">
      <c r="A1142" s="31"/>
      <c r="B1142" s="16" t="str">
        <f>IFERROR(VLOOKUP(A1142,Consolidado!$B$1:$L$1500,2,FALSE),"")</f>
        <v/>
      </c>
      <c r="C1142" s="16">
        <f>IFERROR(SUMIF(Consolidado!$B$1:$B$1500,VLOOKUP(RegistroPago!A1142,Consolidado!$B$1:$L$1500,1,FALSE),Consolidado!$G$1:$G$1500),"")</f>
        <v>0</v>
      </c>
      <c r="D1142" s="3"/>
      <c r="E1142" s="3"/>
      <c r="F1142" s="5" t="str">
        <f t="shared" si="71"/>
        <v/>
      </c>
      <c r="G1142" s="16" t="str">
        <f>IF(D1142&lt;&gt;"",D1142-VLOOKUP(A1142,Consolidado!$B$1:$L$1500,8,FALSE),"")</f>
        <v/>
      </c>
      <c r="H1142" s="31"/>
      <c r="I1142" s="32">
        <f t="shared" si="72"/>
        <v>0</v>
      </c>
      <c r="J1142" s="33" t="str">
        <f t="shared" si="73"/>
        <v/>
      </c>
      <c r="K1142" s="2"/>
      <c r="L1142" s="15"/>
      <c r="M1142" s="34">
        <f t="shared" si="74"/>
        <v>0</v>
      </c>
    </row>
    <row r="1143" spans="1:13" x14ac:dyDescent="0.25">
      <c r="A1143" s="31"/>
      <c r="B1143" s="16" t="str">
        <f>IFERROR(VLOOKUP(A1143,Consolidado!$B$1:$L$1500,2,FALSE),"")</f>
        <v/>
      </c>
      <c r="C1143" s="16">
        <f>IFERROR(SUMIF(Consolidado!$B$1:$B$1500,VLOOKUP(RegistroPago!A1143,Consolidado!$B$1:$L$1500,1,FALSE),Consolidado!$G$1:$G$1500),"")</f>
        <v>0</v>
      </c>
      <c r="D1143" s="3"/>
      <c r="E1143" s="3"/>
      <c r="F1143" s="5" t="str">
        <f t="shared" si="71"/>
        <v/>
      </c>
      <c r="G1143" s="16" t="str">
        <f>IF(D1143&lt;&gt;"",D1143-VLOOKUP(A1143,Consolidado!$B$1:$L$1500,8,FALSE),"")</f>
        <v/>
      </c>
      <c r="H1143" s="31"/>
      <c r="I1143" s="32">
        <f t="shared" si="72"/>
        <v>0</v>
      </c>
      <c r="J1143" s="33" t="str">
        <f t="shared" si="73"/>
        <v/>
      </c>
      <c r="K1143" s="2"/>
      <c r="L1143" s="15"/>
      <c r="M1143" s="34">
        <f t="shared" si="74"/>
        <v>0</v>
      </c>
    </row>
    <row r="1144" spans="1:13" x14ac:dyDescent="0.25">
      <c r="A1144" s="31"/>
      <c r="B1144" s="16" t="str">
        <f>IFERROR(VLOOKUP(A1144,Consolidado!$B$1:$L$1500,2,FALSE),"")</f>
        <v/>
      </c>
      <c r="C1144" s="16">
        <f>IFERROR(SUMIF(Consolidado!$B$1:$B$1500,VLOOKUP(RegistroPago!A1144,Consolidado!$B$1:$L$1500,1,FALSE),Consolidado!$G$1:$G$1500),"")</f>
        <v>0</v>
      </c>
      <c r="D1144" s="3"/>
      <c r="E1144" s="3"/>
      <c r="F1144" s="5" t="str">
        <f t="shared" si="71"/>
        <v/>
      </c>
      <c r="G1144" s="16" t="str">
        <f>IF(D1144&lt;&gt;"",D1144-VLOOKUP(A1144,Consolidado!$B$1:$L$1500,8,FALSE),"")</f>
        <v/>
      </c>
      <c r="H1144" s="31"/>
      <c r="I1144" s="32">
        <f t="shared" si="72"/>
        <v>0</v>
      </c>
      <c r="J1144" s="33" t="str">
        <f t="shared" si="73"/>
        <v/>
      </c>
      <c r="K1144" s="2"/>
      <c r="L1144" s="15"/>
      <c r="M1144" s="34">
        <f t="shared" si="74"/>
        <v>0</v>
      </c>
    </row>
    <row r="1145" spans="1:13" x14ac:dyDescent="0.25">
      <c r="A1145" s="31"/>
      <c r="B1145" s="16" t="str">
        <f>IFERROR(VLOOKUP(A1145,Consolidado!$B$1:$L$1500,2,FALSE),"")</f>
        <v/>
      </c>
      <c r="C1145" s="16">
        <f>IFERROR(SUMIF(Consolidado!$B$1:$B$1500,VLOOKUP(RegistroPago!A1145,Consolidado!$B$1:$L$1500,1,FALSE),Consolidado!$G$1:$G$1500),"")</f>
        <v>0</v>
      </c>
      <c r="D1145" s="3"/>
      <c r="E1145" s="3"/>
      <c r="F1145" s="5" t="str">
        <f t="shared" si="71"/>
        <v/>
      </c>
      <c r="G1145" s="16" t="str">
        <f>IF(D1145&lt;&gt;"",D1145-VLOOKUP(A1145,Consolidado!$B$1:$L$1500,8,FALSE),"")</f>
        <v/>
      </c>
      <c r="H1145" s="31"/>
      <c r="I1145" s="32">
        <f t="shared" si="72"/>
        <v>0</v>
      </c>
      <c r="J1145" s="33" t="str">
        <f t="shared" si="73"/>
        <v/>
      </c>
      <c r="K1145" s="2"/>
      <c r="L1145" s="15"/>
      <c r="M1145" s="34">
        <f t="shared" si="74"/>
        <v>0</v>
      </c>
    </row>
    <row r="1146" spans="1:13" x14ac:dyDescent="0.25">
      <c r="A1146" s="31"/>
      <c r="B1146" s="16" t="str">
        <f>IFERROR(VLOOKUP(A1146,Consolidado!$B$1:$L$1500,2,FALSE),"")</f>
        <v/>
      </c>
      <c r="C1146" s="16">
        <f>IFERROR(SUMIF(Consolidado!$B$1:$B$1500,VLOOKUP(RegistroPago!A1146,Consolidado!$B$1:$L$1500,1,FALSE),Consolidado!$G$1:$G$1500),"")</f>
        <v>0</v>
      </c>
      <c r="D1146" s="3"/>
      <c r="E1146" s="3"/>
      <c r="F1146" s="5" t="str">
        <f t="shared" si="71"/>
        <v/>
      </c>
      <c r="G1146" s="16" t="str">
        <f>IF(D1146&lt;&gt;"",D1146-VLOOKUP(A1146,Consolidado!$B$1:$L$1500,8,FALSE),"")</f>
        <v/>
      </c>
      <c r="H1146" s="31"/>
      <c r="I1146" s="32">
        <f t="shared" si="72"/>
        <v>0</v>
      </c>
      <c r="J1146" s="33" t="str">
        <f t="shared" si="73"/>
        <v/>
      </c>
      <c r="K1146" s="2"/>
      <c r="L1146" s="15"/>
      <c r="M1146" s="34">
        <f t="shared" si="74"/>
        <v>0</v>
      </c>
    </row>
    <row r="1147" spans="1:13" x14ac:dyDescent="0.25">
      <c r="A1147" s="31"/>
      <c r="B1147" s="16" t="str">
        <f>IFERROR(VLOOKUP(A1147,Consolidado!$B$1:$L$1500,2,FALSE),"")</f>
        <v/>
      </c>
      <c r="C1147" s="16">
        <f>IFERROR(SUMIF(Consolidado!$B$1:$B$1500,VLOOKUP(RegistroPago!A1147,Consolidado!$B$1:$L$1500,1,FALSE),Consolidado!$G$1:$G$1500),"")</f>
        <v>0</v>
      </c>
      <c r="D1147" s="3"/>
      <c r="E1147" s="3"/>
      <c r="F1147" s="5" t="str">
        <f t="shared" si="71"/>
        <v/>
      </c>
      <c r="G1147" s="16" t="str">
        <f>IF(D1147&lt;&gt;"",D1147-VLOOKUP(A1147,Consolidado!$B$1:$L$1500,8,FALSE),"")</f>
        <v/>
      </c>
      <c r="H1147" s="31"/>
      <c r="I1147" s="32">
        <f t="shared" si="72"/>
        <v>0</v>
      </c>
      <c r="J1147" s="33" t="str">
        <f t="shared" si="73"/>
        <v/>
      </c>
      <c r="K1147" s="2"/>
      <c r="L1147" s="15"/>
      <c r="M1147" s="34">
        <f t="shared" si="74"/>
        <v>0</v>
      </c>
    </row>
    <row r="1148" spans="1:13" x14ac:dyDescent="0.25">
      <c r="A1148" s="31"/>
      <c r="B1148" s="16" t="str">
        <f>IFERROR(VLOOKUP(A1148,Consolidado!$B$1:$L$1500,2,FALSE),"")</f>
        <v/>
      </c>
      <c r="C1148" s="16">
        <f>IFERROR(SUMIF(Consolidado!$B$1:$B$1500,VLOOKUP(RegistroPago!A1148,Consolidado!$B$1:$L$1500,1,FALSE),Consolidado!$G$1:$G$1500),"")</f>
        <v>0</v>
      </c>
      <c r="D1148" s="3"/>
      <c r="E1148" s="3"/>
      <c r="F1148" s="5" t="str">
        <f t="shared" si="71"/>
        <v/>
      </c>
      <c r="G1148" s="16" t="str">
        <f>IF(D1148&lt;&gt;"",D1148-VLOOKUP(A1148,Consolidado!$B$1:$L$1500,8,FALSE),"")</f>
        <v/>
      </c>
      <c r="H1148" s="31"/>
      <c r="I1148" s="32">
        <f t="shared" si="72"/>
        <v>0</v>
      </c>
      <c r="J1148" s="33" t="str">
        <f t="shared" si="73"/>
        <v/>
      </c>
      <c r="K1148" s="2"/>
      <c r="L1148" s="15"/>
      <c r="M1148" s="34">
        <f t="shared" si="74"/>
        <v>0</v>
      </c>
    </row>
    <row r="1149" spans="1:13" x14ac:dyDescent="0.25">
      <c r="A1149" s="31"/>
      <c r="B1149" s="16" t="str">
        <f>IFERROR(VLOOKUP(A1149,Consolidado!$B$1:$L$1500,2,FALSE),"")</f>
        <v/>
      </c>
      <c r="C1149" s="16">
        <f>IFERROR(SUMIF(Consolidado!$B$1:$B$1500,VLOOKUP(RegistroPago!A1149,Consolidado!$B$1:$L$1500,1,FALSE),Consolidado!$G$1:$G$1500),"")</f>
        <v>0</v>
      </c>
      <c r="D1149" s="3"/>
      <c r="E1149" s="3"/>
      <c r="F1149" s="5" t="str">
        <f t="shared" si="71"/>
        <v/>
      </c>
      <c r="G1149" s="16" t="str">
        <f>IF(D1149&lt;&gt;"",D1149-VLOOKUP(A1149,Consolidado!$B$1:$L$1500,8,FALSE),"")</f>
        <v/>
      </c>
      <c r="H1149" s="31"/>
      <c r="I1149" s="32">
        <f t="shared" si="72"/>
        <v>0</v>
      </c>
      <c r="J1149" s="33" t="str">
        <f t="shared" si="73"/>
        <v/>
      </c>
      <c r="K1149" s="2"/>
      <c r="L1149" s="15"/>
      <c r="M1149" s="34">
        <f t="shared" si="74"/>
        <v>0</v>
      </c>
    </row>
    <row r="1150" spans="1:13" x14ac:dyDescent="0.25">
      <c r="A1150" s="31"/>
      <c r="B1150" s="16" t="str">
        <f>IFERROR(VLOOKUP(A1150,Consolidado!$B$1:$L$1500,2,FALSE),"")</f>
        <v/>
      </c>
      <c r="C1150" s="16">
        <f>IFERROR(SUMIF(Consolidado!$B$1:$B$1500,VLOOKUP(RegistroPago!A1150,Consolidado!$B$1:$L$1500,1,FALSE),Consolidado!$G$1:$G$1500),"")</f>
        <v>0</v>
      </c>
      <c r="D1150" s="3"/>
      <c r="E1150" s="3"/>
      <c r="F1150" s="5" t="str">
        <f t="shared" si="71"/>
        <v/>
      </c>
      <c r="G1150" s="16" t="str">
        <f>IF(D1150&lt;&gt;"",D1150-VLOOKUP(A1150,Consolidado!$B$1:$L$1500,8,FALSE),"")</f>
        <v/>
      </c>
      <c r="H1150" s="31"/>
      <c r="I1150" s="32">
        <f t="shared" si="72"/>
        <v>0</v>
      </c>
      <c r="J1150" s="33" t="str">
        <f t="shared" si="73"/>
        <v/>
      </c>
      <c r="K1150" s="2"/>
      <c r="L1150" s="15"/>
      <c r="M1150" s="34">
        <f t="shared" si="74"/>
        <v>0</v>
      </c>
    </row>
    <row r="1151" spans="1:13" x14ac:dyDescent="0.25">
      <c r="A1151" s="31"/>
      <c r="B1151" s="16" t="str">
        <f>IFERROR(VLOOKUP(A1151,Consolidado!$B$1:$L$1500,2,FALSE),"")</f>
        <v/>
      </c>
      <c r="C1151" s="16">
        <f>IFERROR(SUMIF(Consolidado!$B$1:$B$1500,VLOOKUP(RegistroPago!A1151,Consolidado!$B$1:$L$1500,1,FALSE),Consolidado!$G$1:$G$1500),"")</f>
        <v>0</v>
      </c>
      <c r="D1151" s="3"/>
      <c r="E1151" s="3"/>
      <c r="F1151" s="5" t="str">
        <f t="shared" si="71"/>
        <v/>
      </c>
      <c r="G1151" s="16" t="str">
        <f>IF(D1151&lt;&gt;"",D1151-VLOOKUP(A1151,Consolidado!$B$1:$L$1500,8,FALSE),"")</f>
        <v/>
      </c>
      <c r="H1151" s="31"/>
      <c r="I1151" s="32">
        <f t="shared" si="72"/>
        <v>0</v>
      </c>
      <c r="J1151" s="33" t="str">
        <f t="shared" si="73"/>
        <v/>
      </c>
      <c r="K1151" s="2"/>
      <c r="L1151" s="15"/>
      <c r="M1151" s="34">
        <f t="shared" si="74"/>
        <v>0</v>
      </c>
    </row>
    <row r="1152" spans="1:13" x14ac:dyDescent="0.25">
      <c r="A1152" s="31"/>
      <c r="B1152" s="16" t="str">
        <f>IFERROR(VLOOKUP(A1152,Consolidado!$B$1:$L$1500,2,FALSE),"")</f>
        <v/>
      </c>
      <c r="C1152" s="16">
        <f>IFERROR(SUMIF(Consolidado!$B$1:$B$1500,VLOOKUP(RegistroPago!A1152,Consolidado!$B$1:$L$1500,1,FALSE),Consolidado!$G$1:$G$1500),"")</f>
        <v>0</v>
      </c>
      <c r="D1152" s="3"/>
      <c r="E1152" s="3"/>
      <c r="F1152" s="5" t="str">
        <f t="shared" si="71"/>
        <v/>
      </c>
      <c r="G1152" s="16" t="str">
        <f>IF(D1152&lt;&gt;"",D1152-VLOOKUP(A1152,Consolidado!$B$1:$L$1500,8,FALSE),"")</f>
        <v/>
      </c>
      <c r="H1152" s="31"/>
      <c r="I1152" s="32">
        <f t="shared" si="72"/>
        <v>0</v>
      </c>
      <c r="J1152" s="33" t="str">
        <f t="shared" si="73"/>
        <v/>
      </c>
      <c r="K1152" s="2"/>
      <c r="L1152" s="15"/>
      <c r="M1152" s="34">
        <f t="shared" si="74"/>
        <v>0</v>
      </c>
    </row>
    <row r="1153" spans="1:13" x14ac:dyDescent="0.25">
      <c r="A1153" s="31"/>
      <c r="B1153" s="16" t="str">
        <f>IFERROR(VLOOKUP(A1153,Consolidado!$B$1:$L$1500,2,FALSE),"")</f>
        <v/>
      </c>
      <c r="C1153" s="16">
        <f>IFERROR(SUMIF(Consolidado!$B$1:$B$1500,VLOOKUP(RegistroPago!A1153,Consolidado!$B$1:$L$1500,1,FALSE),Consolidado!$G$1:$G$1500),"")</f>
        <v>0</v>
      </c>
      <c r="D1153" s="3"/>
      <c r="E1153" s="3"/>
      <c r="F1153" s="5" t="str">
        <f t="shared" si="71"/>
        <v/>
      </c>
      <c r="G1153" s="16" t="str">
        <f>IF(D1153&lt;&gt;"",D1153-VLOOKUP(A1153,Consolidado!$B$1:$L$1500,8,FALSE),"")</f>
        <v/>
      </c>
      <c r="H1153" s="31"/>
      <c r="I1153" s="32">
        <f t="shared" si="72"/>
        <v>0</v>
      </c>
      <c r="J1153" s="33" t="str">
        <f t="shared" si="73"/>
        <v/>
      </c>
      <c r="K1153" s="2"/>
      <c r="L1153" s="15"/>
      <c r="M1153" s="34">
        <f t="shared" si="74"/>
        <v>0</v>
      </c>
    </row>
    <row r="1154" spans="1:13" x14ac:dyDescent="0.25">
      <c r="A1154" s="31"/>
      <c r="B1154" s="16" t="str">
        <f>IFERROR(VLOOKUP(A1154,Consolidado!$B$1:$L$1500,2,FALSE),"")</f>
        <v/>
      </c>
      <c r="C1154" s="16">
        <f>IFERROR(SUMIF(Consolidado!$B$1:$B$1500,VLOOKUP(RegistroPago!A1154,Consolidado!$B$1:$L$1500,1,FALSE),Consolidado!$G$1:$G$1500),"")</f>
        <v>0</v>
      </c>
      <c r="D1154" s="3"/>
      <c r="E1154" s="3"/>
      <c r="F1154" s="5" t="str">
        <f t="shared" si="71"/>
        <v/>
      </c>
      <c r="G1154" s="16" t="str">
        <f>IF(D1154&lt;&gt;"",D1154-VLOOKUP(A1154,Consolidado!$B$1:$L$1500,8,FALSE),"")</f>
        <v/>
      </c>
      <c r="H1154" s="31"/>
      <c r="I1154" s="32">
        <f t="shared" si="72"/>
        <v>0</v>
      </c>
      <c r="J1154" s="33" t="str">
        <f t="shared" si="73"/>
        <v/>
      </c>
      <c r="K1154" s="2"/>
      <c r="L1154" s="15"/>
      <c r="M1154" s="34">
        <f t="shared" si="74"/>
        <v>0</v>
      </c>
    </row>
    <row r="1155" spans="1:13" x14ac:dyDescent="0.25">
      <c r="A1155" s="31"/>
      <c r="B1155" s="16" t="str">
        <f>IFERROR(VLOOKUP(A1155,Consolidado!$B$1:$L$1500,2,FALSE),"")</f>
        <v/>
      </c>
      <c r="C1155" s="16">
        <f>IFERROR(SUMIF(Consolidado!$B$1:$B$1500,VLOOKUP(RegistroPago!A1155,Consolidado!$B$1:$L$1500,1,FALSE),Consolidado!$G$1:$G$1500),"")</f>
        <v>0</v>
      </c>
      <c r="D1155" s="3"/>
      <c r="E1155" s="3"/>
      <c r="F1155" s="5" t="str">
        <f t="shared" ref="F1155:F1218" si="75">IF(COUNTIF($E$2:$E$2000,E1155)&gt;1,"Ya registrado","")</f>
        <v/>
      </c>
      <c r="G1155" s="16" t="str">
        <f>IF(D1155&lt;&gt;"",D1155-VLOOKUP(A1155,Consolidado!$B$1:$L$1500,8,FALSE),"")</f>
        <v/>
      </c>
      <c r="H1155" s="31"/>
      <c r="I1155" s="32">
        <f t="shared" si="72"/>
        <v>0</v>
      </c>
      <c r="J1155" s="33" t="str">
        <f t="shared" si="73"/>
        <v/>
      </c>
      <c r="K1155" s="2"/>
      <c r="L1155" s="15"/>
      <c r="M1155" s="34">
        <f t="shared" si="74"/>
        <v>0</v>
      </c>
    </row>
    <row r="1156" spans="1:13" x14ac:dyDescent="0.25">
      <c r="A1156" s="31"/>
      <c r="B1156" s="16" t="str">
        <f>IFERROR(VLOOKUP(A1156,Consolidado!$B$1:$L$1500,2,FALSE),"")</f>
        <v/>
      </c>
      <c r="C1156" s="16">
        <f>IFERROR(SUMIF(Consolidado!$B$1:$B$1500,VLOOKUP(RegistroPago!A1156,Consolidado!$B$1:$L$1500,1,FALSE),Consolidado!$G$1:$G$1500),"")</f>
        <v>0</v>
      </c>
      <c r="D1156" s="3"/>
      <c r="E1156" s="3"/>
      <c r="F1156" s="5" t="str">
        <f t="shared" si="75"/>
        <v/>
      </c>
      <c r="G1156" s="16" t="str">
        <f>IF(D1156&lt;&gt;"",D1156-VLOOKUP(A1156,Consolidado!$B$1:$L$1500,8,FALSE),"")</f>
        <v/>
      </c>
      <c r="H1156" s="31"/>
      <c r="I1156" s="32">
        <f t="shared" si="72"/>
        <v>0</v>
      </c>
      <c r="J1156" s="33" t="str">
        <f t="shared" si="73"/>
        <v/>
      </c>
      <c r="K1156" s="2"/>
      <c r="L1156" s="15"/>
      <c r="M1156" s="34">
        <f t="shared" si="74"/>
        <v>0</v>
      </c>
    </row>
    <row r="1157" spans="1:13" x14ac:dyDescent="0.25">
      <c r="A1157" s="31"/>
      <c r="B1157" s="16" t="str">
        <f>IFERROR(VLOOKUP(A1157,Consolidado!$B$1:$L$1500,2,FALSE),"")</f>
        <v/>
      </c>
      <c r="C1157" s="16">
        <f>IFERROR(SUMIF(Consolidado!$B$1:$B$1500,VLOOKUP(RegistroPago!A1157,Consolidado!$B$1:$L$1500,1,FALSE),Consolidado!$G$1:$G$1500),"")</f>
        <v>0</v>
      </c>
      <c r="D1157" s="3"/>
      <c r="E1157" s="3"/>
      <c r="F1157" s="5" t="str">
        <f t="shared" si="75"/>
        <v/>
      </c>
      <c r="G1157" s="16" t="str">
        <f>IF(D1157&lt;&gt;"",D1157-VLOOKUP(A1157,Consolidado!$B$1:$L$1500,8,FALSE),"")</f>
        <v/>
      </c>
      <c r="H1157" s="31"/>
      <c r="I1157" s="32">
        <f t="shared" si="72"/>
        <v>0</v>
      </c>
      <c r="J1157" s="33" t="str">
        <f t="shared" si="73"/>
        <v/>
      </c>
      <c r="K1157" s="2"/>
      <c r="L1157" s="15"/>
      <c r="M1157" s="34">
        <f t="shared" si="74"/>
        <v>0</v>
      </c>
    </row>
    <row r="1158" spans="1:13" x14ac:dyDescent="0.25">
      <c r="A1158" s="31"/>
      <c r="B1158" s="16" t="str">
        <f>IFERROR(VLOOKUP(A1158,Consolidado!$B$1:$L$1500,2,FALSE),"")</f>
        <v/>
      </c>
      <c r="C1158" s="16">
        <f>IFERROR(SUMIF(Consolidado!$B$1:$B$1500,VLOOKUP(RegistroPago!A1158,Consolidado!$B$1:$L$1500,1,FALSE),Consolidado!$G$1:$G$1500),"")</f>
        <v>0</v>
      </c>
      <c r="D1158" s="3"/>
      <c r="E1158" s="3"/>
      <c r="F1158" s="5" t="str">
        <f t="shared" si="75"/>
        <v/>
      </c>
      <c r="G1158" s="16" t="str">
        <f>IF(D1158&lt;&gt;"",D1158-VLOOKUP(A1158,Consolidado!$B$1:$L$1500,8,FALSE),"")</f>
        <v/>
      </c>
      <c r="H1158" s="31"/>
      <c r="I1158" s="32">
        <f t="shared" si="72"/>
        <v>0</v>
      </c>
      <c r="J1158" s="33" t="str">
        <f t="shared" si="73"/>
        <v/>
      </c>
      <c r="K1158" s="2"/>
      <c r="L1158" s="15"/>
      <c r="M1158" s="34">
        <f t="shared" si="74"/>
        <v>0</v>
      </c>
    </row>
    <row r="1159" spans="1:13" x14ac:dyDescent="0.25">
      <c r="A1159" s="31"/>
      <c r="B1159" s="16" t="str">
        <f>IFERROR(VLOOKUP(A1159,Consolidado!$B$1:$L$1500,2,FALSE),"")</f>
        <v/>
      </c>
      <c r="C1159" s="16">
        <f>IFERROR(SUMIF(Consolidado!$B$1:$B$1500,VLOOKUP(RegistroPago!A1159,Consolidado!$B$1:$L$1500,1,FALSE),Consolidado!$G$1:$G$1500),"")</f>
        <v>0</v>
      </c>
      <c r="D1159" s="3"/>
      <c r="E1159" s="3"/>
      <c r="F1159" s="5" t="str">
        <f t="shared" si="75"/>
        <v/>
      </c>
      <c r="G1159" s="16" t="str">
        <f>IF(D1159&lt;&gt;"",D1159-VLOOKUP(A1159,Consolidado!$B$1:$L$1500,8,FALSE),"")</f>
        <v/>
      </c>
      <c r="H1159" s="31"/>
      <c r="I1159" s="32">
        <f t="shared" si="72"/>
        <v>0</v>
      </c>
      <c r="J1159" s="33" t="str">
        <f t="shared" si="73"/>
        <v/>
      </c>
      <c r="K1159" s="2"/>
      <c r="L1159" s="15"/>
      <c r="M1159" s="34">
        <f t="shared" si="74"/>
        <v>0</v>
      </c>
    </row>
    <row r="1160" spans="1:13" x14ac:dyDescent="0.25">
      <c r="A1160" s="31"/>
      <c r="B1160" s="16" t="str">
        <f>IFERROR(VLOOKUP(A1160,Consolidado!$B$1:$L$1500,2,FALSE),"")</f>
        <v/>
      </c>
      <c r="C1160" s="16">
        <f>IFERROR(SUMIF(Consolidado!$B$1:$B$1500,VLOOKUP(RegistroPago!A1160,Consolidado!$B$1:$L$1500,1,FALSE),Consolidado!$G$1:$G$1500),"")</f>
        <v>0</v>
      </c>
      <c r="D1160" s="3"/>
      <c r="E1160" s="3"/>
      <c r="F1160" s="5" t="str">
        <f t="shared" si="75"/>
        <v/>
      </c>
      <c r="G1160" s="16" t="str">
        <f>IF(D1160&lt;&gt;"",D1160-VLOOKUP(A1160,Consolidado!$B$1:$L$1500,8,FALSE),"")</f>
        <v/>
      </c>
      <c r="H1160" s="31"/>
      <c r="I1160" s="32">
        <f t="shared" si="72"/>
        <v>0</v>
      </c>
      <c r="J1160" s="33" t="str">
        <f t="shared" si="73"/>
        <v/>
      </c>
      <c r="K1160" s="2"/>
      <c r="L1160" s="15"/>
      <c r="M1160" s="34">
        <f t="shared" si="74"/>
        <v>0</v>
      </c>
    </row>
    <row r="1161" spans="1:13" x14ac:dyDescent="0.25">
      <c r="A1161" s="31"/>
      <c r="B1161" s="16" t="str">
        <f>IFERROR(VLOOKUP(A1161,Consolidado!$B$1:$L$1500,2,FALSE),"")</f>
        <v/>
      </c>
      <c r="C1161" s="16">
        <f>IFERROR(SUMIF(Consolidado!$B$1:$B$1500,VLOOKUP(RegistroPago!A1161,Consolidado!$B$1:$L$1500,1,FALSE),Consolidado!$G$1:$G$1500),"")</f>
        <v>0</v>
      </c>
      <c r="D1161" s="3"/>
      <c r="E1161" s="3"/>
      <c r="F1161" s="5" t="str">
        <f t="shared" si="75"/>
        <v/>
      </c>
      <c r="G1161" s="16" t="str">
        <f>IF(D1161&lt;&gt;"",D1161-VLOOKUP(A1161,Consolidado!$B$1:$L$1500,8,FALSE),"")</f>
        <v/>
      </c>
      <c r="H1161" s="31"/>
      <c r="I1161" s="32">
        <f t="shared" si="72"/>
        <v>0</v>
      </c>
      <c r="J1161" s="33" t="str">
        <f t="shared" si="73"/>
        <v/>
      </c>
      <c r="K1161" s="2"/>
      <c r="L1161" s="15"/>
      <c r="M1161" s="34">
        <f t="shared" si="74"/>
        <v>0</v>
      </c>
    </row>
    <row r="1162" spans="1:13" x14ac:dyDescent="0.25">
      <c r="A1162" s="31"/>
      <c r="B1162" s="16" t="str">
        <f>IFERROR(VLOOKUP(A1162,Consolidado!$B$1:$L$1500,2,FALSE),"")</f>
        <v/>
      </c>
      <c r="C1162" s="16">
        <f>IFERROR(SUMIF(Consolidado!$B$1:$B$1500,VLOOKUP(RegistroPago!A1162,Consolidado!$B$1:$L$1500,1,FALSE),Consolidado!$G$1:$G$1500),"")</f>
        <v>0</v>
      </c>
      <c r="D1162" s="3"/>
      <c r="E1162" s="3"/>
      <c r="F1162" s="5" t="str">
        <f t="shared" si="75"/>
        <v/>
      </c>
      <c r="G1162" s="16" t="str">
        <f>IF(D1162&lt;&gt;"",D1162-VLOOKUP(A1162,Consolidado!$B$1:$L$1500,8,FALSE),"")</f>
        <v/>
      </c>
      <c r="H1162" s="31"/>
      <c r="I1162" s="32">
        <f t="shared" si="72"/>
        <v>0</v>
      </c>
      <c r="J1162" s="33" t="str">
        <f t="shared" si="73"/>
        <v/>
      </c>
      <c r="K1162" s="2"/>
      <c r="L1162" s="15"/>
      <c r="M1162" s="34">
        <f t="shared" si="74"/>
        <v>0</v>
      </c>
    </row>
    <row r="1163" spans="1:13" x14ac:dyDescent="0.25">
      <c r="A1163" s="31"/>
      <c r="B1163" s="16" t="str">
        <f>IFERROR(VLOOKUP(A1163,Consolidado!$B$1:$L$1500,2,FALSE),"")</f>
        <v/>
      </c>
      <c r="C1163" s="16">
        <f>IFERROR(SUMIF(Consolidado!$B$1:$B$1500,VLOOKUP(RegistroPago!A1163,Consolidado!$B$1:$L$1500,1,FALSE),Consolidado!$G$1:$G$1500),"")</f>
        <v>0</v>
      </c>
      <c r="D1163" s="3"/>
      <c r="E1163" s="3"/>
      <c r="F1163" s="5" t="str">
        <f t="shared" si="75"/>
        <v/>
      </c>
      <c r="G1163" s="16" t="str">
        <f>IF(D1163&lt;&gt;"",D1163-VLOOKUP(A1163,Consolidado!$B$1:$L$1500,8,FALSE),"")</f>
        <v/>
      </c>
      <c r="H1163" s="31"/>
      <c r="I1163" s="32">
        <f t="shared" si="72"/>
        <v>0</v>
      </c>
      <c r="J1163" s="33" t="str">
        <f t="shared" si="73"/>
        <v/>
      </c>
      <c r="K1163" s="2"/>
      <c r="L1163" s="15"/>
      <c r="M1163" s="34">
        <f t="shared" si="74"/>
        <v>0</v>
      </c>
    </row>
    <row r="1164" spans="1:13" x14ac:dyDescent="0.25">
      <c r="A1164" s="31"/>
      <c r="B1164" s="16" t="str">
        <f>IFERROR(VLOOKUP(A1164,Consolidado!$B$1:$L$1500,2,FALSE),"")</f>
        <v/>
      </c>
      <c r="C1164" s="16">
        <f>IFERROR(SUMIF(Consolidado!$B$1:$B$1500,VLOOKUP(RegistroPago!A1164,Consolidado!$B$1:$L$1500,1,FALSE),Consolidado!$G$1:$G$1500),"")</f>
        <v>0</v>
      </c>
      <c r="D1164" s="3"/>
      <c r="E1164" s="3"/>
      <c r="F1164" s="5" t="str">
        <f t="shared" si="75"/>
        <v/>
      </c>
      <c r="G1164" s="16" t="str">
        <f>IF(D1164&lt;&gt;"",D1164-VLOOKUP(A1164,Consolidado!$B$1:$L$1500,8,FALSE),"")</f>
        <v/>
      </c>
      <c r="H1164" s="31"/>
      <c r="I1164" s="32">
        <f t="shared" si="72"/>
        <v>0</v>
      </c>
      <c r="J1164" s="33" t="str">
        <f t="shared" si="73"/>
        <v/>
      </c>
      <c r="K1164" s="2"/>
      <c r="L1164" s="15"/>
      <c r="M1164" s="34">
        <f t="shared" si="74"/>
        <v>0</v>
      </c>
    </row>
    <row r="1165" spans="1:13" x14ac:dyDescent="0.25">
      <c r="A1165" s="31"/>
      <c r="B1165" s="16" t="str">
        <f>IFERROR(VLOOKUP(A1165,Consolidado!$B$1:$L$1500,2,FALSE),"")</f>
        <v/>
      </c>
      <c r="C1165" s="16">
        <f>IFERROR(SUMIF(Consolidado!$B$1:$B$1500,VLOOKUP(RegistroPago!A1165,Consolidado!$B$1:$L$1500,1,FALSE),Consolidado!$G$1:$G$1500),"")</f>
        <v>0</v>
      </c>
      <c r="D1165" s="3"/>
      <c r="E1165" s="3"/>
      <c r="F1165" s="5" t="str">
        <f t="shared" si="75"/>
        <v/>
      </c>
      <c r="G1165" s="16" t="str">
        <f>IF(D1165&lt;&gt;"",D1165-VLOOKUP(A1165,Consolidado!$B$1:$L$1500,8,FALSE),"")</f>
        <v/>
      </c>
      <c r="H1165" s="31"/>
      <c r="I1165" s="32">
        <f t="shared" si="72"/>
        <v>0</v>
      </c>
      <c r="J1165" s="33" t="str">
        <f t="shared" si="73"/>
        <v/>
      </c>
      <c r="K1165" s="2"/>
      <c r="L1165" s="15"/>
      <c r="M1165" s="34">
        <f t="shared" si="74"/>
        <v>0</v>
      </c>
    </row>
    <row r="1166" spans="1:13" x14ac:dyDescent="0.25">
      <c r="A1166" s="31"/>
      <c r="B1166" s="16" t="str">
        <f>IFERROR(VLOOKUP(A1166,Consolidado!$B$1:$L$1500,2,FALSE),"")</f>
        <v/>
      </c>
      <c r="C1166" s="16">
        <f>IFERROR(SUMIF(Consolidado!$B$1:$B$1500,VLOOKUP(RegistroPago!A1166,Consolidado!$B$1:$L$1500,1,FALSE),Consolidado!$G$1:$G$1500),"")</f>
        <v>0</v>
      </c>
      <c r="D1166" s="3"/>
      <c r="E1166" s="3"/>
      <c r="F1166" s="5" t="str">
        <f t="shared" si="75"/>
        <v/>
      </c>
      <c r="G1166" s="16" t="str">
        <f>IF(D1166&lt;&gt;"",D1166-VLOOKUP(A1166,Consolidado!$B$1:$L$1500,8,FALSE),"")</f>
        <v/>
      </c>
      <c r="H1166" s="31"/>
      <c r="I1166" s="32">
        <f t="shared" si="72"/>
        <v>0</v>
      </c>
      <c r="J1166" s="33" t="str">
        <f t="shared" si="73"/>
        <v/>
      </c>
      <c r="K1166" s="2"/>
      <c r="L1166" s="15"/>
      <c r="M1166" s="34">
        <f t="shared" si="74"/>
        <v>0</v>
      </c>
    </row>
    <row r="1167" spans="1:13" x14ac:dyDescent="0.25">
      <c r="A1167" s="31"/>
      <c r="B1167" s="16" t="str">
        <f>IFERROR(VLOOKUP(A1167,Consolidado!$B$1:$L$1500,2,FALSE),"")</f>
        <v/>
      </c>
      <c r="C1167" s="16">
        <f>IFERROR(SUMIF(Consolidado!$B$1:$B$1500,VLOOKUP(RegistroPago!A1167,Consolidado!$B$1:$L$1500,1,FALSE),Consolidado!$G$1:$G$1500),"")</f>
        <v>0</v>
      </c>
      <c r="D1167" s="3"/>
      <c r="E1167" s="3"/>
      <c r="F1167" s="5" t="str">
        <f t="shared" si="75"/>
        <v/>
      </c>
      <c r="G1167" s="16" t="str">
        <f>IF(D1167&lt;&gt;"",D1167-VLOOKUP(A1167,Consolidado!$B$1:$L$1500,8,FALSE),"")</f>
        <v/>
      </c>
      <c r="H1167" s="31"/>
      <c r="I1167" s="32">
        <f t="shared" si="72"/>
        <v>0</v>
      </c>
      <c r="J1167" s="33" t="str">
        <f t="shared" si="73"/>
        <v/>
      </c>
      <c r="K1167" s="2"/>
      <c r="L1167" s="15"/>
      <c r="M1167" s="34">
        <f t="shared" si="74"/>
        <v>0</v>
      </c>
    </row>
    <row r="1168" spans="1:13" x14ac:dyDescent="0.25">
      <c r="A1168" s="31"/>
      <c r="B1168" s="16" t="str">
        <f>IFERROR(VLOOKUP(A1168,Consolidado!$B$1:$L$1500,2,FALSE),"")</f>
        <v/>
      </c>
      <c r="C1168" s="16">
        <f>IFERROR(SUMIF(Consolidado!$B$1:$B$1500,VLOOKUP(RegistroPago!A1168,Consolidado!$B$1:$L$1500,1,FALSE),Consolidado!$G$1:$G$1500),"")</f>
        <v>0</v>
      </c>
      <c r="D1168" s="3"/>
      <c r="E1168" s="3"/>
      <c r="F1168" s="5" t="str">
        <f t="shared" si="75"/>
        <v/>
      </c>
      <c r="G1168" s="16" t="str">
        <f>IF(D1168&lt;&gt;"",D1168-VLOOKUP(A1168,Consolidado!$B$1:$L$1500,8,FALSE),"")</f>
        <v/>
      </c>
      <c r="H1168" s="31"/>
      <c r="I1168" s="32">
        <f t="shared" si="72"/>
        <v>0</v>
      </c>
      <c r="J1168" s="33" t="str">
        <f t="shared" si="73"/>
        <v/>
      </c>
      <c r="K1168" s="2"/>
      <c r="L1168" s="15"/>
      <c r="M1168" s="34">
        <f t="shared" si="74"/>
        <v>0</v>
      </c>
    </row>
    <row r="1169" spans="1:13" x14ac:dyDescent="0.25">
      <c r="A1169" s="31"/>
      <c r="B1169" s="16" t="str">
        <f>IFERROR(VLOOKUP(A1169,Consolidado!$B$1:$L$1500,2,FALSE),"")</f>
        <v/>
      </c>
      <c r="C1169" s="16">
        <f>IFERROR(SUMIF(Consolidado!$B$1:$B$1500,VLOOKUP(RegistroPago!A1169,Consolidado!$B$1:$L$1500,1,FALSE),Consolidado!$G$1:$G$1500),"")</f>
        <v>0</v>
      </c>
      <c r="D1169" s="3"/>
      <c r="E1169" s="3"/>
      <c r="F1169" s="5" t="str">
        <f t="shared" si="75"/>
        <v/>
      </c>
      <c r="G1169" s="16" t="str">
        <f>IF(D1169&lt;&gt;"",D1169-VLOOKUP(A1169,Consolidado!$B$1:$L$1500,8,FALSE),"")</f>
        <v/>
      </c>
      <c r="H1169" s="31"/>
      <c r="I1169" s="32">
        <f t="shared" si="72"/>
        <v>0</v>
      </c>
      <c r="J1169" s="33" t="str">
        <f t="shared" si="73"/>
        <v/>
      </c>
      <c r="K1169" s="2"/>
      <c r="L1169" s="15"/>
      <c r="M1169" s="34">
        <f t="shared" si="74"/>
        <v>0</v>
      </c>
    </row>
    <row r="1170" spans="1:13" x14ac:dyDescent="0.25">
      <c r="A1170" s="31"/>
      <c r="B1170" s="16" t="str">
        <f>IFERROR(VLOOKUP(A1170,Consolidado!$B$1:$L$1500,2,FALSE),"")</f>
        <v/>
      </c>
      <c r="C1170" s="16">
        <f>IFERROR(SUMIF(Consolidado!$B$1:$B$1500,VLOOKUP(RegistroPago!A1170,Consolidado!$B$1:$L$1500,1,FALSE),Consolidado!$G$1:$G$1500),"")</f>
        <v>0</v>
      </c>
      <c r="D1170" s="3"/>
      <c r="E1170" s="3"/>
      <c r="F1170" s="5" t="str">
        <f t="shared" si="75"/>
        <v/>
      </c>
      <c r="G1170" s="16" t="str">
        <f>IF(D1170&lt;&gt;"",D1170-VLOOKUP(A1170,Consolidado!$B$1:$L$1500,8,FALSE),"")</f>
        <v/>
      </c>
      <c r="H1170" s="31"/>
      <c r="I1170" s="32">
        <f t="shared" si="72"/>
        <v>0</v>
      </c>
      <c r="J1170" s="33" t="str">
        <f t="shared" si="73"/>
        <v/>
      </c>
      <c r="K1170" s="2"/>
      <c r="L1170" s="15"/>
      <c r="M1170" s="34">
        <f t="shared" si="74"/>
        <v>0</v>
      </c>
    </row>
    <row r="1171" spans="1:13" x14ac:dyDescent="0.25">
      <c r="A1171" s="31"/>
      <c r="B1171" s="16" t="str">
        <f>IFERROR(VLOOKUP(A1171,Consolidado!$B$1:$L$1500,2,FALSE),"")</f>
        <v/>
      </c>
      <c r="C1171" s="16">
        <f>IFERROR(SUMIF(Consolidado!$B$1:$B$1500,VLOOKUP(RegistroPago!A1171,Consolidado!$B$1:$L$1500,1,FALSE),Consolidado!$G$1:$G$1500),"")</f>
        <v>0</v>
      </c>
      <c r="D1171" s="3"/>
      <c r="E1171" s="3"/>
      <c r="F1171" s="5" t="str">
        <f t="shared" si="75"/>
        <v/>
      </c>
      <c r="G1171" s="16" t="str">
        <f>IF(D1171&lt;&gt;"",D1171-VLOOKUP(A1171,Consolidado!$B$1:$L$1500,8,FALSE),"")</f>
        <v/>
      </c>
      <c r="H1171" s="31"/>
      <c r="I1171" s="32">
        <f t="shared" si="72"/>
        <v>0</v>
      </c>
      <c r="J1171" s="33" t="str">
        <f t="shared" si="73"/>
        <v/>
      </c>
      <c r="K1171" s="2"/>
      <c r="L1171" s="15"/>
      <c r="M1171" s="34">
        <f t="shared" si="74"/>
        <v>0</v>
      </c>
    </row>
    <row r="1172" spans="1:13" x14ac:dyDescent="0.25">
      <c r="A1172" s="31"/>
      <c r="B1172" s="16" t="str">
        <f>IFERROR(VLOOKUP(A1172,Consolidado!$B$1:$L$1500,2,FALSE),"")</f>
        <v/>
      </c>
      <c r="C1172" s="16">
        <f>IFERROR(SUMIF(Consolidado!$B$1:$B$1500,VLOOKUP(RegistroPago!A1172,Consolidado!$B$1:$L$1500,1,FALSE),Consolidado!$G$1:$G$1500),"")</f>
        <v>0</v>
      </c>
      <c r="D1172" s="3"/>
      <c r="E1172" s="3"/>
      <c r="F1172" s="5" t="str">
        <f t="shared" si="75"/>
        <v/>
      </c>
      <c r="G1172" s="16" t="str">
        <f>IF(D1172&lt;&gt;"",D1172-VLOOKUP(A1172,Consolidado!$B$1:$L$1500,8,FALSE),"")</f>
        <v/>
      </c>
      <c r="H1172" s="31"/>
      <c r="I1172" s="32">
        <f t="shared" si="72"/>
        <v>0</v>
      </c>
      <c r="J1172" s="33" t="str">
        <f t="shared" si="73"/>
        <v/>
      </c>
      <c r="K1172" s="2"/>
      <c r="L1172" s="15"/>
      <c r="M1172" s="34">
        <f t="shared" si="74"/>
        <v>0</v>
      </c>
    </row>
    <row r="1173" spans="1:13" x14ac:dyDescent="0.25">
      <c r="A1173" s="31"/>
      <c r="B1173" s="16" t="str">
        <f>IFERROR(VLOOKUP(A1173,Consolidado!$B$1:$L$1500,2,FALSE),"")</f>
        <v/>
      </c>
      <c r="C1173" s="16">
        <f>IFERROR(SUMIF(Consolidado!$B$1:$B$1500,VLOOKUP(RegistroPago!A1173,Consolidado!$B$1:$L$1500,1,FALSE),Consolidado!$G$1:$G$1500),"")</f>
        <v>0</v>
      </c>
      <c r="D1173" s="3"/>
      <c r="E1173" s="3"/>
      <c r="F1173" s="5" t="str">
        <f t="shared" si="75"/>
        <v/>
      </c>
      <c r="G1173" s="16" t="str">
        <f>IF(D1173&lt;&gt;"",D1173-VLOOKUP(A1173,Consolidado!$B$1:$L$1500,8,FALSE),"")</f>
        <v/>
      </c>
      <c r="H1173" s="31"/>
      <c r="I1173" s="32">
        <f t="shared" si="72"/>
        <v>0</v>
      </c>
      <c r="J1173" s="33" t="str">
        <f t="shared" si="73"/>
        <v/>
      </c>
      <c r="K1173" s="2"/>
      <c r="L1173" s="15"/>
      <c r="M1173" s="34">
        <f t="shared" si="74"/>
        <v>0</v>
      </c>
    </row>
    <row r="1174" spans="1:13" x14ac:dyDescent="0.25">
      <c r="A1174" s="31"/>
      <c r="B1174" s="16" t="str">
        <f>IFERROR(VLOOKUP(A1174,Consolidado!$B$1:$L$1500,2,FALSE),"")</f>
        <v/>
      </c>
      <c r="C1174" s="16">
        <f>IFERROR(SUMIF(Consolidado!$B$1:$B$1500,VLOOKUP(RegistroPago!A1174,Consolidado!$B$1:$L$1500,1,FALSE),Consolidado!$G$1:$G$1500),"")</f>
        <v>0</v>
      </c>
      <c r="D1174" s="3"/>
      <c r="E1174" s="3"/>
      <c r="F1174" s="5" t="str">
        <f t="shared" si="75"/>
        <v/>
      </c>
      <c r="G1174" s="16" t="str">
        <f>IF(D1174&lt;&gt;"",D1174-VLOOKUP(A1174,Consolidado!$B$1:$L$1500,8,FALSE),"")</f>
        <v/>
      </c>
      <c r="H1174" s="31"/>
      <c r="I1174" s="32">
        <f t="shared" si="72"/>
        <v>0</v>
      </c>
      <c r="J1174" s="33" t="str">
        <f t="shared" si="73"/>
        <v/>
      </c>
      <c r="K1174" s="2"/>
      <c r="L1174" s="15"/>
      <c r="M1174" s="34">
        <f t="shared" si="74"/>
        <v>0</v>
      </c>
    </row>
    <row r="1175" spans="1:13" x14ac:dyDescent="0.25">
      <c r="A1175" s="31"/>
      <c r="B1175" s="16" t="str">
        <f>IFERROR(VLOOKUP(A1175,Consolidado!$B$1:$L$1500,2,FALSE),"")</f>
        <v/>
      </c>
      <c r="C1175" s="16">
        <f>IFERROR(SUMIF(Consolidado!$B$1:$B$1500,VLOOKUP(RegistroPago!A1175,Consolidado!$B$1:$L$1500,1,FALSE),Consolidado!$G$1:$G$1500),"")</f>
        <v>0</v>
      </c>
      <c r="D1175" s="3"/>
      <c r="E1175" s="3"/>
      <c r="F1175" s="5" t="str">
        <f t="shared" si="75"/>
        <v/>
      </c>
      <c r="G1175" s="16" t="str">
        <f>IF(D1175&lt;&gt;"",D1175-VLOOKUP(A1175,Consolidado!$B$1:$L$1500,8,FALSE),"")</f>
        <v/>
      </c>
      <c r="H1175" s="31"/>
      <c r="I1175" s="32">
        <f t="shared" si="72"/>
        <v>0</v>
      </c>
      <c r="J1175" s="33" t="str">
        <f t="shared" si="73"/>
        <v/>
      </c>
      <c r="K1175" s="2"/>
      <c r="L1175" s="15"/>
      <c r="M1175" s="34">
        <f t="shared" si="74"/>
        <v>0</v>
      </c>
    </row>
    <row r="1176" spans="1:13" x14ac:dyDescent="0.25">
      <c r="A1176" s="31"/>
      <c r="B1176" s="16" t="str">
        <f>IFERROR(VLOOKUP(A1176,Consolidado!$B$1:$L$1500,2,FALSE),"")</f>
        <v/>
      </c>
      <c r="C1176" s="16">
        <f>IFERROR(SUMIF(Consolidado!$B$1:$B$1500,VLOOKUP(RegistroPago!A1176,Consolidado!$B$1:$L$1500,1,FALSE),Consolidado!$G$1:$G$1500),"")</f>
        <v>0</v>
      </c>
      <c r="D1176" s="3"/>
      <c r="E1176" s="3"/>
      <c r="F1176" s="5" t="str">
        <f t="shared" si="75"/>
        <v/>
      </c>
      <c r="G1176" s="16" t="str">
        <f>IF(D1176&lt;&gt;"",D1176-VLOOKUP(A1176,Consolidado!$B$1:$L$1500,8,FALSE),"")</f>
        <v/>
      </c>
      <c r="H1176" s="31"/>
      <c r="I1176" s="32">
        <f t="shared" si="72"/>
        <v>0</v>
      </c>
      <c r="J1176" s="33" t="str">
        <f t="shared" si="73"/>
        <v/>
      </c>
      <c r="K1176" s="2"/>
      <c r="L1176" s="15"/>
      <c r="M1176" s="34">
        <f t="shared" si="74"/>
        <v>0</v>
      </c>
    </row>
    <row r="1177" spans="1:13" x14ac:dyDescent="0.25">
      <c r="A1177" s="31"/>
      <c r="B1177" s="16" t="str">
        <f>IFERROR(VLOOKUP(A1177,Consolidado!$B$1:$L$1500,2,FALSE),"")</f>
        <v/>
      </c>
      <c r="C1177" s="16">
        <f>IFERROR(SUMIF(Consolidado!$B$1:$B$1500,VLOOKUP(RegistroPago!A1177,Consolidado!$B$1:$L$1500,1,FALSE),Consolidado!$G$1:$G$1500),"")</f>
        <v>0</v>
      </c>
      <c r="D1177" s="3"/>
      <c r="E1177" s="3"/>
      <c r="F1177" s="5" t="str">
        <f t="shared" si="75"/>
        <v/>
      </c>
      <c r="G1177" s="16" t="str">
        <f>IF(D1177&lt;&gt;"",D1177-VLOOKUP(A1177,Consolidado!$B$1:$L$1500,8,FALSE),"")</f>
        <v/>
      </c>
      <c r="H1177" s="31"/>
      <c r="I1177" s="32">
        <f t="shared" si="72"/>
        <v>0</v>
      </c>
      <c r="J1177" s="33" t="str">
        <f t="shared" si="73"/>
        <v/>
      </c>
      <c r="K1177" s="2"/>
      <c r="L1177" s="15"/>
      <c r="M1177" s="34">
        <f t="shared" si="74"/>
        <v>0</v>
      </c>
    </row>
    <row r="1178" spans="1:13" x14ac:dyDescent="0.25">
      <c r="A1178" s="31"/>
      <c r="B1178" s="16" t="str">
        <f>IFERROR(VLOOKUP(A1178,Consolidado!$B$1:$L$1500,2,FALSE),"")</f>
        <v/>
      </c>
      <c r="C1178" s="16">
        <f>IFERROR(SUMIF(Consolidado!$B$1:$B$1500,VLOOKUP(RegistroPago!A1178,Consolidado!$B$1:$L$1500,1,FALSE),Consolidado!$G$1:$G$1500),"")</f>
        <v>0</v>
      </c>
      <c r="D1178" s="3"/>
      <c r="E1178" s="3"/>
      <c r="F1178" s="5" t="str">
        <f t="shared" si="75"/>
        <v/>
      </c>
      <c r="G1178" s="16" t="str">
        <f>IF(D1178&lt;&gt;"",D1178-VLOOKUP(A1178,Consolidado!$B$1:$L$1500,8,FALSE),"")</f>
        <v/>
      </c>
      <c r="H1178" s="31"/>
      <c r="I1178" s="32">
        <f t="shared" si="72"/>
        <v>0</v>
      </c>
      <c r="J1178" s="33" t="str">
        <f t="shared" si="73"/>
        <v/>
      </c>
      <c r="K1178" s="2"/>
      <c r="L1178" s="15"/>
      <c r="M1178" s="34">
        <f t="shared" si="74"/>
        <v>0</v>
      </c>
    </row>
    <row r="1179" spans="1:13" x14ac:dyDescent="0.25">
      <c r="A1179" s="31"/>
      <c r="B1179" s="16" t="str">
        <f>IFERROR(VLOOKUP(A1179,Consolidado!$B$1:$L$1500,2,FALSE),"")</f>
        <v/>
      </c>
      <c r="C1179" s="16">
        <f>IFERROR(SUMIF(Consolidado!$B$1:$B$1500,VLOOKUP(RegistroPago!A1179,Consolidado!$B$1:$L$1500,1,FALSE),Consolidado!$G$1:$G$1500),"")</f>
        <v>0</v>
      </c>
      <c r="D1179" s="3"/>
      <c r="E1179" s="3"/>
      <c r="F1179" s="5" t="str">
        <f t="shared" si="75"/>
        <v/>
      </c>
      <c r="G1179" s="16" t="str">
        <f>IF(D1179&lt;&gt;"",D1179-VLOOKUP(A1179,Consolidado!$B$1:$L$1500,8,FALSE),"")</f>
        <v/>
      </c>
      <c r="H1179" s="31"/>
      <c r="I1179" s="32">
        <f t="shared" si="72"/>
        <v>0</v>
      </c>
      <c r="J1179" s="33" t="str">
        <f t="shared" si="73"/>
        <v/>
      </c>
      <c r="K1179" s="2"/>
      <c r="L1179" s="15"/>
      <c r="M1179" s="34">
        <f t="shared" si="74"/>
        <v>0</v>
      </c>
    </row>
    <row r="1180" spans="1:13" x14ac:dyDescent="0.25">
      <c r="A1180" s="31"/>
      <c r="B1180" s="16" t="str">
        <f>IFERROR(VLOOKUP(A1180,Consolidado!$B$1:$L$1500,2,FALSE),"")</f>
        <v/>
      </c>
      <c r="C1180" s="16">
        <f>IFERROR(SUMIF(Consolidado!$B$1:$B$1500,VLOOKUP(RegistroPago!A1180,Consolidado!$B$1:$L$1500,1,FALSE),Consolidado!$G$1:$G$1500),"")</f>
        <v>0</v>
      </c>
      <c r="D1180" s="3"/>
      <c r="E1180" s="3"/>
      <c r="F1180" s="5" t="str">
        <f t="shared" si="75"/>
        <v/>
      </c>
      <c r="G1180" s="16" t="str">
        <f>IF(D1180&lt;&gt;"",D1180-VLOOKUP(A1180,Consolidado!$B$1:$L$1500,8,FALSE),"")</f>
        <v/>
      </c>
      <c r="H1180" s="31"/>
      <c r="I1180" s="32">
        <f t="shared" si="72"/>
        <v>0</v>
      </c>
      <c r="J1180" s="33" t="str">
        <f t="shared" si="73"/>
        <v/>
      </c>
      <c r="K1180" s="2"/>
      <c r="L1180" s="15"/>
      <c r="M1180" s="34">
        <f t="shared" si="74"/>
        <v>0</v>
      </c>
    </row>
    <row r="1181" spans="1:13" x14ac:dyDescent="0.25">
      <c r="A1181" s="31"/>
      <c r="B1181" s="16" t="str">
        <f>IFERROR(VLOOKUP(A1181,Consolidado!$B$1:$L$1500,2,FALSE),"")</f>
        <v/>
      </c>
      <c r="C1181" s="16">
        <f>IFERROR(SUMIF(Consolidado!$B$1:$B$1500,VLOOKUP(RegistroPago!A1181,Consolidado!$B$1:$L$1500,1,FALSE),Consolidado!$G$1:$G$1500),"")</f>
        <v>0</v>
      </c>
      <c r="D1181" s="3"/>
      <c r="E1181" s="3"/>
      <c r="F1181" s="5" t="str">
        <f t="shared" si="75"/>
        <v/>
      </c>
      <c r="G1181" s="16" t="str">
        <f>IF(D1181&lt;&gt;"",D1181-VLOOKUP(A1181,Consolidado!$B$1:$L$1500,8,FALSE),"")</f>
        <v/>
      </c>
      <c r="H1181" s="31"/>
      <c r="I1181" s="32">
        <f t="shared" si="72"/>
        <v>0</v>
      </c>
      <c r="J1181" s="33" t="str">
        <f t="shared" si="73"/>
        <v/>
      </c>
      <c r="K1181" s="2"/>
      <c r="L1181" s="15"/>
      <c r="M1181" s="34">
        <f t="shared" si="74"/>
        <v>0</v>
      </c>
    </row>
    <row r="1182" spans="1:13" x14ac:dyDescent="0.25">
      <c r="A1182" s="31"/>
      <c r="B1182" s="16" t="str">
        <f>IFERROR(VLOOKUP(A1182,Consolidado!$B$1:$L$1500,2,FALSE),"")</f>
        <v/>
      </c>
      <c r="C1182" s="16">
        <f>IFERROR(SUMIF(Consolidado!$B$1:$B$1500,VLOOKUP(RegistroPago!A1182,Consolidado!$B$1:$L$1500,1,FALSE),Consolidado!$G$1:$G$1500),"")</f>
        <v>0</v>
      </c>
      <c r="D1182" s="3"/>
      <c r="E1182" s="3"/>
      <c r="F1182" s="5" t="str">
        <f t="shared" si="75"/>
        <v/>
      </c>
      <c r="G1182" s="16" t="str">
        <f>IF(D1182&lt;&gt;"",D1182-VLOOKUP(A1182,Consolidado!$B$1:$L$1500,8,FALSE),"")</f>
        <v/>
      </c>
      <c r="H1182" s="31"/>
      <c r="I1182" s="32">
        <f t="shared" si="72"/>
        <v>0</v>
      </c>
      <c r="J1182" s="33" t="str">
        <f t="shared" si="73"/>
        <v/>
      </c>
      <c r="K1182" s="2"/>
      <c r="L1182" s="15"/>
      <c r="M1182" s="34">
        <f t="shared" si="74"/>
        <v>0</v>
      </c>
    </row>
    <row r="1183" spans="1:13" x14ac:dyDescent="0.25">
      <c r="A1183" s="31"/>
      <c r="B1183" s="16" t="str">
        <f>IFERROR(VLOOKUP(A1183,Consolidado!$B$1:$L$1500,2,FALSE),"")</f>
        <v/>
      </c>
      <c r="C1183" s="16">
        <f>IFERROR(SUMIF(Consolidado!$B$1:$B$1500,VLOOKUP(RegistroPago!A1183,Consolidado!$B$1:$L$1500,1,FALSE),Consolidado!$G$1:$G$1500),"")</f>
        <v>0</v>
      </c>
      <c r="D1183" s="3"/>
      <c r="E1183" s="3"/>
      <c r="F1183" s="5" t="str">
        <f t="shared" si="75"/>
        <v/>
      </c>
      <c r="G1183" s="16" t="str">
        <f>IF(D1183&lt;&gt;"",D1183-VLOOKUP(A1183,Consolidado!$B$1:$L$1500,8,FALSE),"")</f>
        <v/>
      </c>
      <c r="H1183" s="31"/>
      <c r="I1183" s="32">
        <f t="shared" si="72"/>
        <v>0</v>
      </c>
      <c r="J1183" s="33" t="str">
        <f t="shared" si="73"/>
        <v/>
      </c>
      <c r="K1183" s="2"/>
      <c r="L1183" s="15"/>
      <c r="M1183" s="34">
        <f t="shared" si="74"/>
        <v>0</v>
      </c>
    </row>
    <row r="1184" spans="1:13" x14ac:dyDescent="0.25">
      <c r="A1184" s="31"/>
      <c r="B1184" s="16" t="str">
        <f>IFERROR(VLOOKUP(A1184,Consolidado!$B$1:$L$1500,2,FALSE),"")</f>
        <v/>
      </c>
      <c r="C1184" s="16">
        <f>IFERROR(SUMIF(Consolidado!$B$1:$B$1500,VLOOKUP(RegistroPago!A1184,Consolidado!$B$1:$L$1500,1,FALSE),Consolidado!$G$1:$G$1500),"")</f>
        <v>0</v>
      </c>
      <c r="D1184" s="3"/>
      <c r="E1184" s="3"/>
      <c r="F1184" s="5" t="str">
        <f t="shared" si="75"/>
        <v/>
      </c>
      <c r="G1184" s="16" t="str">
        <f>IF(D1184&lt;&gt;"",D1184-VLOOKUP(A1184,Consolidado!$B$1:$L$1500,8,FALSE),"")</f>
        <v/>
      </c>
      <c r="H1184" s="31"/>
      <c r="I1184" s="32">
        <f t="shared" si="72"/>
        <v>0</v>
      </c>
      <c r="J1184" s="33" t="str">
        <f t="shared" si="73"/>
        <v/>
      </c>
      <c r="K1184" s="2"/>
      <c r="L1184" s="15"/>
      <c r="M1184" s="34">
        <f t="shared" si="74"/>
        <v>0</v>
      </c>
    </row>
    <row r="1185" spans="1:13" x14ac:dyDescent="0.25">
      <c r="A1185" s="31"/>
      <c r="B1185" s="16" t="str">
        <f>IFERROR(VLOOKUP(A1185,Consolidado!$B$1:$L$1500,2,FALSE),"")</f>
        <v/>
      </c>
      <c r="C1185" s="16">
        <f>IFERROR(SUMIF(Consolidado!$B$1:$B$1500,VLOOKUP(RegistroPago!A1185,Consolidado!$B$1:$L$1500,1,FALSE),Consolidado!$G$1:$G$1500),"")</f>
        <v>0</v>
      </c>
      <c r="D1185" s="3"/>
      <c r="E1185" s="3"/>
      <c r="F1185" s="5" t="str">
        <f t="shared" si="75"/>
        <v/>
      </c>
      <c r="G1185" s="16" t="str">
        <f>IF(D1185&lt;&gt;"",D1185-VLOOKUP(A1185,Consolidado!$B$1:$L$1500,8,FALSE),"")</f>
        <v/>
      </c>
      <c r="H1185" s="31"/>
      <c r="I1185" s="32">
        <f t="shared" si="72"/>
        <v>0</v>
      </c>
      <c r="J1185" s="33" t="str">
        <f t="shared" si="73"/>
        <v/>
      </c>
      <c r="K1185" s="2"/>
      <c r="L1185" s="15"/>
      <c r="M1185" s="34">
        <f t="shared" si="74"/>
        <v>0</v>
      </c>
    </row>
    <row r="1186" spans="1:13" x14ac:dyDescent="0.25">
      <c r="A1186" s="31"/>
      <c r="B1186" s="16" t="str">
        <f>IFERROR(VLOOKUP(A1186,Consolidado!$B$1:$L$1500,2,FALSE),"")</f>
        <v/>
      </c>
      <c r="C1186" s="16">
        <f>IFERROR(SUMIF(Consolidado!$B$1:$B$1500,VLOOKUP(RegistroPago!A1186,Consolidado!$B$1:$L$1500,1,FALSE),Consolidado!$G$1:$G$1500),"")</f>
        <v>0</v>
      </c>
      <c r="D1186" s="3"/>
      <c r="E1186" s="3"/>
      <c r="F1186" s="5" t="str">
        <f t="shared" si="75"/>
        <v/>
      </c>
      <c r="G1186" s="16" t="str">
        <f>IF(D1186&lt;&gt;"",D1186-VLOOKUP(A1186,Consolidado!$B$1:$L$1500,8,FALSE),"")</f>
        <v/>
      </c>
      <c r="H1186" s="31"/>
      <c r="I1186" s="32">
        <f t="shared" si="72"/>
        <v>0</v>
      </c>
      <c r="J1186" s="33" t="str">
        <f t="shared" si="73"/>
        <v/>
      </c>
      <c r="K1186" s="2"/>
      <c r="L1186" s="15"/>
      <c r="M1186" s="34">
        <f t="shared" si="74"/>
        <v>0</v>
      </c>
    </row>
    <row r="1187" spans="1:13" x14ac:dyDescent="0.25">
      <c r="A1187" s="31"/>
      <c r="B1187" s="16" t="str">
        <f>IFERROR(VLOOKUP(A1187,Consolidado!$B$1:$L$1500,2,FALSE),"")</f>
        <v/>
      </c>
      <c r="C1187" s="16">
        <f>IFERROR(SUMIF(Consolidado!$B$1:$B$1500,VLOOKUP(RegistroPago!A1187,Consolidado!$B$1:$L$1500,1,FALSE),Consolidado!$G$1:$G$1500),"")</f>
        <v>0</v>
      </c>
      <c r="D1187" s="3"/>
      <c r="E1187" s="3"/>
      <c r="F1187" s="5" t="str">
        <f t="shared" si="75"/>
        <v/>
      </c>
      <c r="G1187" s="16" t="str">
        <f>IF(D1187&lt;&gt;"",D1187-VLOOKUP(A1187,Consolidado!$B$1:$L$1500,8,FALSE),"")</f>
        <v/>
      </c>
      <c r="H1187" s="31"/>
      <c r="I1187" s="32">
        <f t="shared" si="72"/>
        <v>0</v>
      </c>
      <c r="J1187" s="33" t="str">
        <f t="shared" si="73"/>
        <v/>
      </c>
      <c r="K1187" s="2"/>
      <c r="L1187" s="15"/>
      <c r="M1187" s="34">
        <f t="shared" si="74"/>
        <v>0</v>
      </c>
    </row>
    <row r="1188" spans="1:13" x14ac:dyDescent="0.25">
      <c r="A1188" s="31"/>
      <c r="B1188" s="16" t="str">
        <f>IFERROR(VLOOKUP(A1188,Consolidado!$B$1:$L$1500,2,FALSE),"")</f>
        <v/>
      </c>
      <c r="C1188" s="16">
        <f>IFERROR(SUMIF(Consolidado!$B$1:$B$1500,VLOOKUP(RegistroPago!A1188,Consolidado!$B$1:$L$1500,1,FALSE),Consolidado!$G$1:$G$1500),"")</f>
        <v>0</v>
      </c>
      <c r="D1188" s="3"/>
      <c r="E1188" s="3"/>
      <c r="F1188" s="5" t="str">
        <f t="shared" si="75"/>
        <v/>
      </c>
      <c r="G1188" s="16" t="str">
        <f>IF(D1188&lt;&gt;"",D1188-VLOOKUP(A1188,Consolidado!$B$1:$L$1500,8,FALSE),"")</f>
        <v/>
      </c>
      <c r="H1188" s="31"/>
      <c r="I1188" s="32">
        <f t="shared" si="72"/>
        <v>0</v>
      </c>
      <c r="J1188" s="33" t="str">
        <f t="shared" si="73"/>
        <v/>
      </c>
      <c r="K1188" s="2"/>
      <c r="L1188" s="15"/>
      <c r="M1188" s="34">
        <f t="shared" si="74"/>
        <v>0</v>
      </c>
    </row>
    <row r="1189" spans="1:13" x14ac:dyDescent="0.25">
      <c r="A1189" s="31"/>
      <c r="B1189" s="16" t="str">
        <f>IFERROR(VLOOKUP(A1189,Consolidado!$B$1:$L$1500,2,FALSE),"")</f>
        <v/>
      </c>
      <c r="C1189" s="16">
        <f>IFERROR(SUMIF(Consolidado!$B$1:$B$1500,VLOOKUP(RegistroPago!A1189,Consolidado!$B$1:$L$1500,1,FALSE),Consolidado!$G$1:$G$1500),"")</f>
        <v>0</v>
      </c>
      <c r="D1189" s="3"/>
      <c r="E1189" s="3"/>
      <c r="F1189" s="5" t="str">
        <f t="shared" si="75"/>
        <v/>
      </c>
      <c r="G1189" s="16" t="str">
        <f>IF(D1189&lt;&gt;"",D1189-VLOOKUP(A1189,Consolidado!$B$1:$L$1500,8,FALSE),"")</f>
        <v/>
      </c>
      <c r="H1189" s="31"/>
      <c r="I1189" s="32">
        <f t="shared" si="72"/>
        <v>0</v>
      </c>
      <c r="J1189" s="33" t="str">
        <f t="shared" si="73"/>
        <v/>
      </c>
      <c r="K1189" s="2"/>
      <c r="L1189" s="15"/>
      <c r="M1189" s="34">
        <f t="shared" si="74"/>
        <v>0</v>
      </c>
    </row>
    <row r="1190" spans="1:13" x14ac:dyDescent="0.25">
      <c r="A1190" s="31"/>
      <c r="B1190" s="16" t="str">
        <f>IFERROR(VLOOKUP(A1190,Consolidado!$B$1:$L$1500,2,FALSE),"")</f>
        <v/>
      </c>
      <c r="C1190" s="16">
        <f>IFERROR(SUMIF(Consolidado!$B$1:$B$1500,VLOOKUP(RegistroPago!A1190,Consolidado!$B$1:$L$1500,1,FALSE),Consolidado!$G$1:$G$1500),"")</f>
        <v>0</v>
      </c>
      <c r="D1190" s="3"/>
      <c r="E1190" s="3"/>
      <c r="F1190" s="5" t="str">
        <f t="shared" si="75"/>
        <v/>
      </c>
      <c r="G1190" s="16" t="str">
        <f>IF(D1190&lt;&gt;"",D1190-VLOOKUP(A1190,Consolidado!$B$1:$L$1500,8,FALSE),"")</f>
        <v/>
      </c>
      <c r="H1190" s="31"/>
      <c r="I1190" s="32">
        <f t="shared" si="72"/>
        <v>0</v>
      </c>
      <c r="J1190" s="33" t="str">
        <f t="shared" si="73"/>
        <v/>
      </c>
      <c r="K1190" s="2"/>
      <c r="L1190" s="15"/>
      <c r="M1190" s="34">
        <f t="shared" si="74"/>
        <v>0</v>
      </c>
    </row>
    <row r="1191" spans="1:13" x14ac:dyDescent="0.25">
      <c r="A1191" s="31"/>
      <c r="B1191" s="16" t="str">
        <f>IFERROR(VLOOKUP(A1191,Consolidado!$B$1:$L$1500,2,FALSE),"")</f>
        <v/>
      </c>
      <c r="C1191" s="16">
        <f>IFERROR(SUMIF(Consolidado!$B$1:$B$1500,VLOOKUP(RegistroPago!A1191,Consolidado!$B$1:$L$1500,1,FALSE),Consolidado!$G$1:$G$1500),"")</f>
        <v>0</v>
      </c>
      <c r="D1191" s="3"/>
      <c r="E1191" s="3"/>
      <c r="F1191" s="5" t="str">
        <f t="shared" si="75"/>
        <v/>
      </c>
      <c r="G1191" s="16" t="str">
        <f>IF(D1191&lt;&gt;"",D1191-VLOOKUP(A1191,Consolidado!$B$1:$L$1500,8,FALSE),"")</f>
        <v/>
      </c>
      <c r="H1191" s="31"/>
      <c r="I1191" s="32">
        <f t="shared" si="72"/>
        <v>0</v>
      </c>
      <c r="J1191" s="33" t="str">
        <f t="shared" si="73"/>
        <v/>
      </c>
      <c r="K1191" s="2"/>
      <c r="L1191" s="15"/>
      <c r="M1191" s="34">
        <f t="shared" si="74"/>
        <v>0</v>
      </c>
    </row>
    <row r="1192" spans="1:13" x14ac:dyDescent="0.25">
      <c r="A1192" s="31"/>
      <c r="B1192" s="16" t="str">
        <f>IFERROR(VLOOKUP(A1192,Consolidado!$B$1:$L$1500,2,FALSE),"")</f>
        <v/>
      </c>
      <c r="C1192" s="16">
        <f>IFERROR(SUMIF(Consolidado!$B$1:$B$1500,VLOOKUP(RegistroPago!A1192,Consolidado!$B$1:$L$1500,1,FALSE),Consolidado!$G$1:$G$1500),"")</f>
        <v>0</v>
      </c>
      <c r="D1192" s="3"/>
      <c r="E1192" s="3"/>
      <c r="F1192" s="5" t="str">
        <f t="shared" si="75"/>
        <v/>
      </c>
      <c r="G1192" s="16" t="str">
        <f>IF(D1192&lt;&gt;"",D1192-VLOOKUP(A1192,Consolidado!$B$1:$L$1500,8,FALSE),"")</f>
        <v/>
      </c>
      <c r="H1192" s="31"/>
      <c r="I1192" s="32">
        <f t="shared" si="72"/>
        <v>0</v>
      </c>
      <c r="J1192" s="33" t="str">
        <f t="shared" si="73"/>
        <v/>
      </c>
      <c r="K1192" s="2"/>
      <c r="L1192" s="15"/>
      <c r="M1192" s="34">
        <f t="shared" si="74"/>
        <v>0</v>
      </c>
    </row>
    <row r="1193" spans="1:13" x14ac:dyDescent="0.25">
      <c r="A1193" s="31"/>
      <c r="B1193" s="16" t="str">
        <f>IFERROR(VLOOKUP(A1193,Consolidado!$B$1:$L$1500,2,FALSE),"")</f>
        <v/>
      </c>
      <c r="C1193" s="16">
        <f>IFERROR(SUMIF(Consolidado!$B$1:$B$1500,VLOOKUP(RegistroPago!A1193,Consolidado!$B$1:$L$1500,1,FALSE),Consolidado!$G$1:$G$1500),"")</f>
        <v>0</v>
      </c>
      <c r="D1193" s="3"/>
      <c r="E1193" s="3"/>
      <c r="F1193" s="5" t="str">
        <f t="shared" si="75"/>
        <v/>
      </c>
      <c r="G1193" s="16" t="str">
        <f>IF(D1193&lt;&gt;"",D1193-VLOOKUP(A1193,Consolidado!$B$1:$L$1500,8,FALSE),"")</f>
        <v/>
      </c>
      <c r="H1193" s="31"/>
      <c r="I1193" s="32">
        <f t="shared" ref="I1193:I1256" si="76">IFERROR(SUMIF($E$1:$E$2000,H1193,$C$1:$C$2000)-SUMIF($E$1:$E$2000,H1193,$F$1:$F$2000),"")</f>
        <v>0</v>
      </c>
      <c r="J1193" s="33" t="str">
        <f t="shared" ref="J1193:J1256" si="77">IFERROR(I1193/SUMIF($E$1:$E$2000,H1193,$C$1:$C$2000),"")</f>
        <v/>
      </c>
      <c r="K1193" s="2"/>
      <c r="L1193" s="15"/>
      <c r="M1193" s="34">
        <f t="shared" ref="M1193:M1256" si="78">IFERROR(L1193*SUMIF($E$1:$E$2000,H1193,$F$1:$F$2000),"")</f>
        <v>0</v>
      </c>
    </row>
    <row r="1194" spans="1:13" x14ac:dyDescent="0.25">
      <c r="A1194" s="31"/>
      <c r="B1194" s="16" t="str">
        <f>IFERROR(VLOOKUP(A1194,Consolidado!$B$1:$L$1500,2,FALSE),"")</f>
        <v/>
      </c>
      <c r="C1194" s="16">
        <f>IFERROR(SUMIF(Consolidado!$B$1:$B$1500,VLOOKUP(RegistroPago!A1194,Consolidado!$B$1:$L$1500,1,FALSE),Consolidado!$G$1:$G$1500),"")</f>
        <v>0</v>
      </c>
      <c r="D1194" s="3"/>
      <c r="E1194" s="3"/>
      <c r="F1194" s="5" t="str">
        <f t="shared" si="75"/>
        <v/>
      </c>
      <c r="G1194" s="16" t="str">
        <f>IF(D1194&lt;&gt;"",D1194-VLOOKUP(A1194,Consolidado!$B$1:$L$1500,8,FALSE),"")</f>
        <v/>
      </c>
      <c r="H1194" s="31"/>
      <c r="I1194" s="32">
        <f t="shared" si="76"/>
        <v>0</v>
      </c>
      <c r="J1194" s="33" t="str">
        <f t="shared" si="77"/>
        <v/>
      </c>
      <c r="K1194" s="2"/>
      <c r="L1194" s="15"/>
      <c r="M1194" s="34">
        <f t="shared" si="78"/>
        <v>0</v>
      </c>
    </row>
    <row r="1195" spans="1:13" x14ac:dyDescent="0.25">
      <c r="A1195" s="31"/>
      <c r="B1195" s="16" t="str">
        <f>IFERROR(VLOOKUP(A1195,Consolidado!$B$1:$L$1500,2,FALSE),"")</f>
        <v/>
      </c>
      <c r="C1195" s="16">
        <f>IFERROR(SUMIF(Consolidado!$B$1:$B$1500,VLOOKUP(RegistroPago!A1195,Consolidado!$B$1:$L$1500,1,FALSE),Consolidado!$G$1:$G$1500),"")</f>
        <v>0</v>
      </c>
      <c r="D1195" s="3"/>
      <c r="E1195" s="3"/>
      <c r="F1195" s="5" t="str">
        <f t="shared" si="75"/>
        <v/>
      </c>
      <c r="G1195" s="16" t="str">
        <f>IF(D1195&lt;&gt;"",D1195-VLOOKUP(A1195,Consolidado!$B$1:$L$1500,8,FALSE),"")</f>
        <v/>
      </c>
      <c r="H1195" s="31"/>
      <c r="I1195" s="32">
        <f t="shared" si="76"/>
        <v>0</v>
      </c>
      <c r="J1195" s="33" t="str">
        <f t="shared" si="77"/>
        <v/>
      </c>
      <c r="K1195" s="2"/>
      <c r="L1195" s="15"/>
      <c r="M1195" s="34">
        <f t="shared" si="78"/>
        <v>0</v>
      </c>
    </row>
    <row r="1196" spans="1:13" x14ac:dyDescent="0.25">
      <c r="A1196" s="31"/>
      <c r="B1196" s="16" t="str">
        <f>IFERROR(VLOOKUP(A1196,Consolidado!$B$1:$L$1500,2,FALSE),"")</f>
        <v/>
      </c>
      <c r="C1196" s="16">
        <f>IFERROR(SUMIF(Consolidado!$B$1:$B$1500,VLOOKUP(RegistroPago!A1196,Consolidado!$B$1:$L$1500,1,FALSE),Consolidado!$G$1:$G$1500),"")</f>
        <v>0</v>
      </c>
      <c r="D1196" s="3"/>
      <c r="E1196" s="3"/>
      <c r="F1196" s="5" t="str">
        <f t="shared" si="75"/>
        <v/>
      </c>
      <c r="G1196" s="16" t="str">
        <f>IF(D1196&lt;&gt;"",D1196-VLOOKUP(A1196,Consolidado!$B$1:$L$1500,8,FALSE),"")</f>
        <v/>
      </c>
      <c r="H1196" s="31"/>
      <c r="I1196" s="32">
        <f t="shared" si="76"/>
        <v>0</v>
      </c>
      <c r="J1196" s="33" t="str">
        <f t="shared" si="77"/>
        <v/>
      </c>
      <c r="K1196" s="2"/>
      <c r="L1196" s="15"/>
      <c r="M1196" s="34">
        <f t="shared" si="78"/>
        <v>0</v>
      </c>
    </row>
    <row r="1197" spans="1:13" x14ac:dyDescent="0.25">
      <c r="A1197" s="31"/>
      <c r="B1197" s="16" t="str">
        <f>IFERROR(VLOOKUP(A1197,Consolidado!$B$1:$L$1500,2,FALSE),"")</f>
        <v/>
      </c>
      <c r="C1197" s="16">
        <f>IFERROR(SUMIF(Consolidado!$B$1:$B$1500,VLOOKUP(RegistroPago!A1197,Consolidado!$B$1:$L$1500,1,FALSE),Consolidado!$G$1:$G$1500),"")</f>
        <v>0</v>
      </c>
      <c r="D1197" s="3"/>
      <c r="E1197" s="3"/>
      <c r="F1197" s="5" t="str">
        <f t="shared" si="75"/>
        <v/>
      </c>
      <c r="G1197" s="16" t="str">
        <f>IF(D1197&lt;&gt;"",D1197-VLOOKUP(A1197,Consolidado!$B$1:$L$1500,8,FALSE),"")</f>
        <v/>
      </c>
      <c r="H1197" s="31"/>
      <c r="I1197" s="32">
        <f t="shared" si="76"/>
        <v>0</v>
      </c>
      <c r="J1197" s="33" t="str">
        <f t="shared" si="77"/>
        <v/>
      </c>
      <c r="K1197" s="2"/>
      <c r="L1197" s="15"/>
      <c r="M1197" s="34">
        <f t="shared" si="78"/>
        <v>0</v>
      </c>
    </row>
    <row r="1198" spans="1:13" x14ac:dyDescent="0.25">
      <c r="A1198" s="31"/>
      <c r="B1198" s="16" t="str">
        <f>IFERROR(VLOOKUP(A1198,Consolidado!$B$1:$L$1500,2,FALSE),"")</f>
        <v/>
      </c>
      <c r="C1198" s="16">
        <f>IFERROR(SUMIF(Consolidado!$B$1:$B$1500,VLOOKUP(RegistroPago!A1198,Consolidado!$B$1:$L$1500,1,FALSE),Consolidado!$G$1:$G$1500),"")</f>
        <v>0</v>
      </c>
      <c r="D1198" s="3"/>
      <c r="E1198" s="3"/>
      <c r="F1198" s="5" t="str">
        <f t="shared" si="75"/>
        <v/>
      </c>
      <c r="G1198" s="16" t="str">
        <f>IF(D1198&lt;&gt;"",D1198-VLOOKUP(A1198,Consolidado!$B$1:$L$1500,8,FALSE),"")</f>
        <v/>
      </c>
      <c r="H1198" s="31"/>
      <c r="I1198" s="32">
        <f t="shared" si="76"/>
        <v>0</v>
      </c>
      <c r="J1198" s="33" t="str">
        <f t="shared" si="77"/>
        <v/>
      </c>
      <c r="K1198" s="2"/>
      <c r="L1198" s="15"/>
      <c r="M1198" s="34">
        <f t="shared" si="78"/>
        <v>0</v>
      </c>
    </row>
    <row r="1199" spans="1:13" x14ac:dyDescent="0.25">
      <c r="A1199" s="31"/>
      <c r="B1199" s="16" t="str">
        <f>IFERROR(VLOOKUP(A1199,Consolidado!$B$1:$L$1500,2,FALSE),"")</f>
        <v/>
      </c>
      <c r="C1199" s="16">
        <f>IFERROR(SUMIF(Consolidado!$B$1:$B$1500,VLOOKUP(RegistroPago!A1199,Consolidado!$B$1:$L$1500,1,FALSE),Consolidado!$G$1:$G$1500),"")</f>
        <v>0</v>
      </c>
      <c r="D1199" s="3"/>
      <c r="E1199" s="3"/>
      <c r="F1199" s="5" t="str">
        <f t="shared" si="75"/>
        <v/>
      </c>
      <c r="G1199" s="16" t="str">
        <f>IF(D1199&lt;&gt;"",D1199-VLOOKUP(A1199,Consolidado!$B$1:$L$1500,8,FALSE),"")</f>
        <v/>
      </c>
      <c r="H1199" s="31"/>
      <c r="I1199" s="32">
        <f t="shared" si="76"/>
        <v>0</v>
      </c>
      <c r="J1199" s="33" t="str">
        <f t="shared" si="77"/>
        <v/>
      </c>
      <c r="K1199" s="2"/>
      <c r="L1199" s="15"/>
      <c r="M1199" s="34">
        <f t="shared" si="78"/>
        <v>0</v>
      </c>
    </row>
    <row r="1200" spans="1:13" x14ac:dyDescent="0.25">
      <c r="A1200" s="31"/>
      <c r="B1200" s="16" t="str">
        <f>IFERROR(VLOOKUP(A1200,Consolidado!$B$1:$L$1500,2,FALSE),"")</f>
        <v/>
      </c>
      <c r="C1200" s="16">
        <f>IFERROR(SUMIF(Consolidado!$B$1:$B$1500,VLOOKUP(RegistroPago!A1200,Consolidado!$B$1:$L$1500,1,FALSE),Consolidado!$G$1:$G$1500),"")</f>
        <v>0</v>
      </c>
      <c r="D1200" s="3"/>
      <c r="E1200" s="3"/>
      <c r="F1200" s="5" t="str">
        <f t="shared" si="75"/>
        <v/>
      </c>
      <c r="G1200" s="16" t="str">
        <f>IF(D1200&lt;&gt;"",D1200-VLOOKUP(A1200,Consolidado!$B$1:$L$1500,8,FALSE),"")</f>
        <v/>
      </c>
      <c r="H1200" s="31"/>
      <c r="I1200" s="32">
        <f t="shared" si="76"/>
        <v>0</v>
      </c>
      <c r="J1200" s="33" t="str">
        <f t="shared" si="77"/>
        <v/>
      </c>
      <c r="K1200" s="2"/>
      <c r="L1200" s="15"/>
      <c r="M1200" s="34">
        <f t="shared" si="78"/>
        <v>0</v>
      </c>
    </row>
    <row r="1201" spans="1:13" x14ac:dyDescent="0.25">
      <c r="A1201" s="31"/>
      <c r="B1201" s="16" t="str">
        <f>IFERROR(VLOOKUP(A1201,Consolidado!$B$1:$L$1500,2,FALSE),"")</f>
        <v/>
      </c>
      <c r="C1201" s="16">
        <f>IFERROR(SUMIF(Consolidado!$B$1:$B$1500,VLOOKUP(RegistroPago!A1201,Consolidado!$B$1:$L$1500,1,FALSE),Consolidado!$G$1:$G$1500),"")</f>
        <v>0</v>
      </c>
      <c r="D1201" s="3"/>
      <c r="E1201" s="3"/>
      <c r="F1201" s="5" t="str">
        <f t="shared" si="75"/>
        <v/>
      </c>
      <c r="G1201" s="16" t="str">
        <f>IF(D1201&lt;&gt;"",D1201-VLOOKUP(A1201,Consolidado!$B$1:$L$1500,8,FALSE),"")</f>
        <v/>
      </c>
      <c r="H1201" s="31"/>
      <c r="I1201" s="32">
        <f t="shared" si="76"/>
        <v>0</v>
      </c>
      <c r="J1201" s="33" t="str">
        <f t="shared" si="77"/>
        <v/>
      </c>
      <c r="K1201" s="2"/>
      <c r="L1201" s="15"/>
      <c r="M1201" s="34">
        <f t="shared" si="78"/>
        <v>0</v>
      </c>
    </row>
    <row r="1202" spans="1:13" x14ac:dyDescent="0.25">
      <c r="A1202" s="31"/>
      <c r="B1202" s="16" t="str">
        <f>IFERROR(VLOOKUP(A1202,Consolidado!$B$1:$L$1500,2,FALSE),"")</f>
        <v/>
      </c>
      <c r="C1202" s="16">
        <f>IFERROR(SUMIF(Consolidado!$B$1:$B$1500,VLOOKUP(RegistroPago!A1202,Consolidado!$B$1:$L$1500,1,FALSE),Consolidado!$G$1:$G$1500),"")</f>
        <v>0</v>
      </c>
      <c r="D1202" s="3"/>
      <c r="E1202" s="3"/>
      <c r="F1202" s="5" t="str">
        <f t="shared" si="75"/>
        <v/>
      </c>
      <c r="G1202" s="16" t="str">
        <f>IF(D1202&lt;&gt;"",D1202-VLOOKUP(A1202,Consolidado!$B$1:$L$1500,8,FALSE),"")</f>
        <v/>
      </c>
      <c r="H1202" s="31"/>
      <c r="I1202" s="32">
        <f t="shared" si="76"/>
        <v>0</v>
      </c>
      <c r="J1202" s="33" t="str">
        <f t="shared" si="77"/>
        <v/>
      </c>
      <c r="K1202" s="2"/>
      <c r="L1202" s="15"/>
      <c r="M1202" s="34">
        <f t="shared" si="78"/>
        <v>0</v>
      </c>
    </row>
    <row r="1203" spans="1:13" x14ac:dyDescent="0.25">
      <c r="A1203" s="31"/>
      <c r="B1203" s="16" t="str">
        <f>IFERROR(VLOOKUP(A1203,Consolidado!$B$1:$L$1500,2,FALSE),"")</f>
        <v/>
      </c>
      <c r="C1203" s="16">
        <f>IFERROR(SUMIF(Consolidado!$B$1:$B$1500,VLOOKUP(RegistroPago!A1203,Consolidado!$B$1:$L$1500,1,FALSE),Consolidado!$G$1:$G$1500),"")</f>
        <v>0</v>
      </c>
      <c r="D1203" s="3"/>
      <c r="E1203" s="3"/>
      <c r="F1203" s="5" t="str">
        <f t="shared" si="75"/>
        <v/>
      </c>
      <c r="G1203" s="16" t="str">
        <f>IF(D1203&lt;&gt;"",D1203-VLOOKUP(A1203,Consolidado!$B$1:$L$1500,8,FALSE),"")</f>
        <v/>
      </c>
      <c r="H1203" s="31"/>
      <c r="I1203" s="32">
        <f t="shared" si="76"/>
        <v>0</v>
      </c>
      <c r="J1203" s="33" t="str">
        <f t="shared" si="77"/>
        <v/>
      </c>
      <c r="K1203" s="2"/>
      <c r="L1203" s="15"/>
      <c r="M1203" s="34">
        <f t="shared" si="78"/>
        <v>0</v>
      </c>
    </row>
    <row r="1204" spans="1:13" x14ac:dyDescent="0.25">
      <c r="A1204" s="31"/>
      <c r="B1204" s="16" t="str">
        <f>IFERROR(VLOOKUP(A1204,Consolidado!$B$1:$L$1500,2,FALSE),"")</f>
        <v/>
      </c>
      <c r="C1204" s="16">
        <f>IFERROR(SUMIF(Consolidado!$B$1:$B$1500,VLOOKUP(RegistroPago!A1204,Consolidado!$B$1:$L$1500,1,FALSE),Consolidado!$G$1:$G$1500),"")</f>
        <v>0</v>
      </c>
      <c r="D1204" s="3"/>
      <c r="E1204" s="3"/>
      <c r="F1204" s="5" t="str">
        <f t="shared" si="75"/>
        <v/>
      </c>
      <c r="G1204" s="16" t="str">
        <f>IF(D1204&lt;&gt;"",D1204-VLOOKUP(A1204,Consolidado!$B$1:$L$1500,8,FALSE),"")</f>
        <v/>
      </c>
      <c r="H1204" s="31"/>
      <c r="I1204" s="32">
        <f t="shared" si="76"/>
        <v>0</v>
      </c>
      <c r="J1204" s="33" t="str">
        <f t="shared" si="77"/>
        <v/>
      </c>
      <c r="K1204" s="2"/>
      <c r="L1204" s="15"/>
      <c r="M1204" s="34">
        <f t="shared" si="78"/>
        <v>0</v>
      </c>
    </row>
    <row r="1205" spans="1:13" x14ac:dyDescent="0.25">
      <c r="A1205" s="31"/>
      <c r="B1205" s="16" t="str">
        <f>IFERROR(VLOOKUP(A1205,Consolidado!$B$1:$L$1500,2,FALSE),"")</f>
        <v/>
      </c>
      <c r="C1205" s="16">
        <f>IFERROR(SUMIF(Consolidado!$B$1:$B$1500,VLOOKUP(RegistroPago!A1205,Consolidado!$B$1:$L$1500,1,FALSE),Consolidado!$G$1:$G$1500),"")</f>
        <v>0</v>
      </c>
      <c r="D1205" s="3"/>
      <c r="E1205" s="3"/>
      <c r="F1205" s="5" t="str">
        <f t="shared" si="75"/>
        <v/>
      </c>
      <c r="G1205" s="16" t="str">
        <f>IF(D1205&lt;&gt;"",D1205-VLOOKUP(A1205,Consolidado!$B$1:$L$1500,8,FALSE),"")</f>
        <v/>
      </c>
      <c r="H1205" s="31"/>
      <c r="I1205" s="32">
        <f t="shared" si="76"/>
        <v>0</v>
      </c>
      <c r="J1205" s="33" t="str">
        <f t="shared" si="77"/>
        <v/>
      </c>
      <c r="K1205" s="2"/>
      <c r="L1205" s="15"/>
      <c r="M1205" s="34">
        <f t="shared" si="78"/>
        <v>0</v>
      </c>
    </row>
    <row r="1206" spans="1:13" x14ac:dyDescent="0.25">
      <c r="A1206" s="31"/>
      <c r="B1206" s="16" t="str">
        <f>IFERROR(VLOOKUP(A1206,Consolidado!$B$1:$L$1500,2,FALSE),"")</f>
        <v/>
      </c>
      <c r="C1206" s="16">
        <f>IFERROR(SUMIF(Consolidado!$B$1:$B$1500,VLOOKUP(RegistroPago!A1206,Consolidado!$B$1:$L$1500,1,FALSE),Consolidado!$G$1:$G$1500),"")</f>
        <v>0</v>
      </c>
      <c r="D1206" s="3"/>
      <c r="E1206" s="3"/>
      <c r="F1206" s="5" t="str">
        <f t="shared" si="75"/>
        <v/>
      </c>
      <c r="G1206" s="16" t="str">
        <f>IF(D1206&lt;&gt;"",D1206-VLOOKUP(A1206,Consolidado!$B$1:$L$1500,8,FALSE),"")</f>
        <v/>
      </c>
      <c r="H1206" s="31"/>
      <c r="I1206" s="32">
        <f t="shared" si="76"/>
        <v>0</v>
      </c>
      <c r="J1206" s="33" t="str">
        <f t="shared" si="77"/>
        <v/>
      </c>
      <c r="K1206" s="2"/>
      <c r="L1206" s="15"/>
      <c r="M1206" s="34">
        <f t="shared" si="78"/>
        <v>0</v>
      </c>
    </row>
    <row r="1207" spans="1:13" x14ac:dyDescent="0.25">
      <c r="A1207" s="31"/>
      <c r="B1207" s="16" t="str">
        <f>IFERROR(VLOOKUP(A1207,Consolidado!$B$1:$L$1500,2,FALSE),"")</f>
        <v/>
      </c>
      <c r="C1207" s="16">
        <f>IFERROR(SUMIF(Consolidado!$B$1:$B$1500,VLOOKUP(RegistroPago!A1207,Consolidado!$B$1:$L$1500,1,FALSE),Consolidado!$G$1:$G$1500),"")</f>
        <v>0</v>
      </c>
      <c r="D1207" s="3"/>
      <c r="E1207" s="3"/>
      <c r="F1207" s="5" t="str">
        <f t="shared" si="75"/>
        <v/>
      </c>
      <c r="G1207" s="16" t="str">
        <f>IF(D1207&lt;&gt;"",D1207-VLOOKUP(A1207,Consolidado!$B$1:$L$1500,8,FALSE),"")</f>
        <v/>
      </c>
      <c r="H1207" s="31"/>
      <c r="I1207" s="32">
        <f t="shared" si="76"/>
        <v>0</v>
      </c>
      <c r="J1207" s="33" t="str">
        <f t="shared" si="77"/>
        <v/>
      </c>
      <c r="K1207" s="2"/>
      <c r="L1207" s="15"/>
      <c r="M1207" s="34">
        <f t="shared" si="78"/>
        <v>0</v>
      </c>
    </row>
    <row r="1208" spans="1:13" x14ac:dyDescent="0.25">
      <c r="A1208" s="31"/>
      <c r="B1208" s="16" t="str">
        <f>IFERROR(VLOOKUP(A1208,Consolidado!$B$1:$L$1500,2,FALSE),"")</f>
        <v/>
      </c>
      <c r="C1208" s="16">
        <f>IFERROR(SUMIF(Consolidado!$B$1:$B$1500,VLOOKUP(RegistroPago!A1208,Consolidado!$B$1:$L$1500,1,FALSE),Consolidado!$G$1:$G$1500),"")</f>
        <v>0</v>
      </c>
      <c r="D1208" s="3"/>
      <c r="E1208" s="3"/>
      <c r="F1208" s="5" t="str">
        <f t="shared" si="75"/>
        <v/>
      </c>
      <c r="G1208" s="16" t="str">
        <f>IF(D1208&lt;&gt;"",D1208-VLOOKUP(A1208,Consolidado!$B$1:$L$1500,8,FALSE),"")</f>
        <v/>
      </c>
      <c r="H1208" s="31"/>
      <c r="I1208" s="32">
        <f t="shared" si="76"/>
        <v>0</v>
      </c>
      <c r="J1208" s="33" t="str">
        <f t="shared" si="77"/>
        <v/>
      </c>
      <c r="K1208" s="2"/>
      <c r="L1208" s="15"/>
      <c r="M1208" s="34">
        <f t="shared" si="78"/>
        <v>0</v>
      </c>
    </row>
    <row r="1209" spans="1:13" x14ac:dyDescent="0.25">
      <c r="A1209" s="31"/>
      <c r="B1209" s="16" t="str">
        <f>IFERROR(VLOOKUP(A1209,Consolidado!$B$1:$L$1500,2,FALSE),"")</f>
        <v/>
      </c>
      <c r="C1209" s="16">
        <f>IFERROR(SUMIF(Consolidado!$B$1:$B$1500,VLOOKUP(RegistroPago!A1209,Consolidado!$B$1:$L$1500,1,FALSE),Consolidado!$G$1:$G$1500),"")</f>
        <v>0</v>
      </c>
      <c r="D1209" s="3"/>
      <c r="E1209" s="3"/>
      <c r="F1209" s="5" t="str">
        <f t="shared" si="75"/>
        <v/>
      </c>
      <c r="G1209" s="16" t="str">
        <f>IF(D1209&lt;&gt;"",D1209-VLOOKUP(A1209,Consolidado!$B$1:$L$1500,8,FALSE),"")</f>
        <v/>
      </c>
      <c r="H1209" s="31"/>
      <c r="I1209" s="32">
        <f t="shared" si="76"/>
        <v>0</v>
      </c>
      <c r="J1209" s="33" t="str">
        <f t="shared" si="77"/>
        <v/>
      </c>
      <c r="K1209" s="2"/>
      <c r="L1209" s="15"/>
      <c r="M1209" s="34">
        <f t="shared" si="78"/>
        <v>0</v>
      </c>
    </row>
    <row r="1210" spans="1:13" x14ac:dyDescent="0.25">
      <c r="A1210" s="31"/>
      <c r="B1210" s="16" t="str">
        <f>IFERROR(VLOOKUP(A1210,Consolidado!$B$1:$L$1500,2,FALSE),"")</f>
        <v/>
      </c>
      <c r="C1210" s="16">
        <f>IFERROR(SUMIF(Consolidado!$B$1:$B$1500,VLOOKUP(RegistroPago!A1210,Consolidado!$B$1:$L$1500,1,FALSE),Consolidado!$G$1:$G$1500),"")</f>
        <v>0</v>
      </c>
      <c r="D1210" s="3"/>
      <c r="E1210" s="3"/>
      <c r="F1210" s="5" t="str">
        <f t="shared" si="75"/>
        <v/>
      </c>
      <c r="G1210" s="16" t="str">
        <f>IF(D1210&lt;&gt;"",D1210-VLOOKUP(A1210,Consolidado!$B$1:$L$1500,8,FALSE),"")</f>
        <v/>
      </c>
      <c r="H1210" s="31"/>
      <c r="I1210" s="32">
        <f t="shared" si="76"/>
        <v>0</v>
      </c>
      <c r="J1210" s="33" t="str">
        <f t="shared" si="77"/>
        <v/>
      </c>
      <c r="K1210" s="2"/>
      <c r="L1210" s="15"/>
      <c r="M1210" s="34">
        <f t="shared" si="78"/>
        <v>0</v>
      </c>
    </row>
    <row r="1211" spans="1:13" x14ac:dyDescent="0.25">
      <c r="A1211" s="31"/>
      <c r="B1211" s="16" t="str">
        <f>IFERROR(VLOOKUP(A1211,Consolidado!$B$1:$L$1500,2,FALSE),"")</f>
        <v/>
      </c>
      <c r="C1211" s="16">
        <f>IFERROR(SUMIF(Consolidado!$B$1:$B$1500,VLOOKUP(RegistroPago!A1211,Consolidado!$B$1:$L$1500,1,FALSE),Consolidado!$G$1:$G$1500),"")</f>
        <v>0</v>
      </c>
      <c r="D1211" s="3"/>
      <c r="E1211" s="3"/>
      <c r="F1211" s="5" t="str">
        <f t="shared" si="75"/>
        <v/>
      </c>
      <c r="G1211" s="16" t="str">
        <f>IF(D1211&lt;&gt;"",D1211-VLOOKUP(A1211,Consolidado!$B$1:$L$1500,8,FALSE),"")</f>
        <v/>
      </c>
      <c r="H1211" s="31"/>
      <c r="I1211" s="32">
        <f t="shared" si="76"/>
        <v>0</v>
      </c>
      <c r="J1211" s="33" t="str">
        <f t="shared" si="77"/>
        <v/>
      </c>
      <c r="K1211" s="2"/>
      <c r="L1211" s="15"/>
      <c r="M1211" s="34">
        <f t="shared" si="78"/>
        <v>0</v>
      </c>
    </row>
    <row r="1212" spans="1:13" x14ac:dyDescent="0.25">
      <c r="A1212" s="31"/>
      <c r="B1212" s="16" t="str">
        <f>IFERROR(VLOOKUP(A1212,Consolidado!$B$1:$L$1500,2,FALSE),"")</f>
        <v/>
      </c>
      <c r="C1212" s="16">
        <f>IFERROR(SUMIF(Consolidado!$B$1:$B$1500,VLOOKUP(RegistroPago!A1212,Consolidado!$B$1:$L$1500,1,FALSE),Consolidado!$G$1:$G$1500),"")</f>
        <v>0</v>
      </c>
      <c r="D1212" s="3"/>
      <c r="E1212" s="3"/>
      <c r="F1212" s="5" t="str">
        <f t="shared" si="75"/>
        <v/>
      </c>
      <c r="G1212" s="16" t="str">
        <f>IF(D1212&lt;&gt;"",D1212-VLOOKUP(A1212,Consolidado!$B$1:$L$1500,8,FALSE),"")</f>
        <v/>
      </c>
      <c r="H1212" s="31"/>
      <c r="I1212" s="32">
        <f t="shared" si="76"/>
        <v>0</v>
      </c>
      <c r="J1212" s="33" t="str">
        <f t="shared" si="77"/>
        <v/>
      </c>
      <c r="K1212" s="2"/>
      <c r="L1212" s="15"/>
      <c r="M1212" s="34">
        <f t="shared" si="78"/>
        <v>0</v>
      </c>
    </row>
    <row r="1213" spans="1:13" x14ac:dyDescent="0.25">
      <c r="A1213" s="31"/>
      <c r="B1213" s="16" t="str">
        <f>IFERROR(VLOOKUP(A1213,Consolidado!$B$1:$L$1500,2,FALSE),"")</f>
        <v/>
      </c>
      <c r="C1213" s="16">
        <f>IFERROR(SUMIF(Consolidado!$B$1:$B$1500,VLOOKUP(RegistroPago!A1213,Consolidado!$B$1:$L$1500,1,FALSE),Consolidado!$G$1:$G$1500),"")</f>
        <v>0</v>
      </c>
      <c r="D1213" s="3"/>
      <c r="E1213" s="3"/>
      <c r="F1213" s="5" t="str">
        <f t="shared" si="75"/>
        <v/>
      </c>
      <c r="G1213" s="16" t="str">
        <f>IF(D1213&lt;&gt;"",D1213-VLOOKUP(A1213,Consolidado!$B$1:$L$1500,8,FALSE),"")</f>
        <v/>
      </c>
      <c r="H1213" s="31"/>
      <c r="I1213" s="32">
        <f t="shared" si="76"/>
        <v>0</v>
      </c>
      <c r="J1213" s="33" t="str">
        <f t="shared" si="77"/>
        <v/>
      </c>
      <c r="K1213" s="2"/>
      <c r="L1213" s="15"/>
      <c r="M1213" s="34">
        <f t="shared" si="78"/>
        <v>0</v>
      </c>
    </row>
    <row r="1214" spans="1:13" x14ac:dyDescent="0.25">
      <c r="A1214" s="31"/>
      <c r="B1214" s="16" t="str">
        <f>IFERROR(VLOOKUP(A1214,Consolidado!$B$1:$L$1500,2,FALSE),"")</f>
        <v/>
      </c>
      <c r="C1214" s="16">
        <f>IFERROR(SUMIF(Consolidado!$B$1:$B$1500,VLOOKUP(RegistroPago!A1214,Consolidado!$B$1:$L$1500,1,FALSE),Consolidado!$G$1:$G$1500),"")</f>
        <v>0</v>
      </c>
      <c r="D1214" s="3"/>
      <c r="E1214" s="3"/>
      <c r="F1214" s="5" t="str">
        <f t="shared" si="75"/>
        <v/>
      </c>
      <c r="G1214" s="16" t="str">
        <f>IF(D1214&lt;&gt;"",D1214-VLOOKUP(A1214,Consolidado!$B$1:$L$1500,8,FALSE),"")</f>
        <v/>
      </c>
      <c r="H1214" s="31"/>
      <c r="I1214" s="32">
        <f t="shared" si="76"/>
        <v>0</v>
      </c>
      <c r="J1214" s="33" t="str">
        <f t="shared" si="77"/>
        <v/>
      </c>
      <c r="K1214" s="2"/>
      <c r="L1214" s="15"/>
      <c r="M1214" s="34">
        <f t="shared" si="78"/>
        <v>0</v>
      </c>
    </row>
    <row r="1215" spans="1:13" x14ac:dyDescent="0.25">
      <c r="A1215" s="31"/>
      <c r="B1215" s="16" t="str">
        <f>IFERROR(VLOOKUP(A1215,Consolidado!$B$1:$L$1500,2,FALSE),"")</f>
        <v/>
      </c>
      <c r="C1215" s="16">
        <f>IFERROR(SUMIF(Consolidado!$B$1:$B$1500,VLOOKUP(RegistroPago!A1215,Consolidado!$B$1:$L$1500,1,FALSE),Consolidado!$G$1:$G$1500),"")</f>
        <v>0</v>
      </c>
      <c r="D1215" s="3"/>
      <c r="E1215" s="3"/>
      <c r="F1215" s="5" t="str">
        <f t="shared" si="75"/>
        <v/>
      </c>
      <c r="G1215" s="16" t="str">
        <f>IF(D1215&lt;&gt;"",D1215-VLOOKUP(A1215,Consolidado!$B$1:$L$1500,8,FALSE),"")</f>
        <v/>
      </c>
      <c r="H1215" s="31"/>
      <c r="I1215" s="32">
        <f t="shared" si="76"/>
        <v>0</v>
      </c>
      <c r="J1215" s="33" t="str">
        <f t="shared" si="77"/>
        <v/>
      </c>
      <c r="K1215" s="2"/>
      <c r="L1215" s="15"/>
      <c r="M1215" s="34">
        <f t="shared" si="78"/>
        <v>0</v>
      </c>
    </row>
    <row r="1216" spans="1:13" x14ac:dyDescent="0.25">
      <c r="A1216" s="31"/>
      <c r="B1216" s="16" t="str">
        <f>IFERROR(VLOOKUP(A1216,Consolidado!$B$1:$L$1500,2,FALSE),"")</f>
        <v/>
      </c>
      <c r="C1216" s="16">
        <f>IFERROR(SUMIF(Consolidado!$B$1:$B$1500,VLOOKUP(RegistroPago!A1216,Consolidado!$B$1:$L$1500,1,FALSE),Consolidado!$G$1:$G$1500),"")</f>
        <v>0</v>
      </c>
      <c r="D1216" s="3"/>
      <c r="E1216" s="3"/>
      <c r="F1216" s="5" t="str">
        <f t="shared" si="75"/>
        <v/>
      </c>
      <c r="G1216" s="16" t="str">
        <f>IF(D1216&lt;&gt;"",D1216-VLOOKUP(A1216,Consolidado!$B$1:$L$1500,8,FALSE),"")</f>
        <v/>
      </c>
      <c r="H1216" s="31"/>
      <c r="I1216" s="32">
        <f t="shared" si="76"/>
        <v>0</v>
      </c>
      <c r="J1216" s="33" t="str">
        <f t="shared" si="77"/>
        <v/>
      </c>
      <c r="K1216" s="2"/>
      <c r="L1216" s="15"/>
      <c r="M1216" s="34">
        <f t="shared" si="78"/>
        <v>0</v>
      </c>
    </row>
    <row r="1217" spans="1:13" x14ac:dyDescent="0.25">
      <c r="A1217" s="31"/>
      <c r="B1217" s="16" t="str">
        <f>IFERROR(VLOOKUP(A1217,Consolidado!$B$1:$L$1500,2,FALSE),"")</f>
        <v/>
      </c>
      <c r="C1217" s="16">
        <f>IFERROR(SUMIF(Consolidado!$B$1:$B$1500,VLOOKUP(RegistroPago!A1217,Consolidado!$B$1:$L$1500,1,FALSE),Consolidado!$G$1:$G$1500),"")</f>
        <v>0</v>
      </c>
      <c r="D1217" s="3"/>
      <c r="E1217" s="3"/>
      <c r="F1217" s="5" t="str">
        <f t="shared" si="75"/>
        <v/>
      </c>
      <c r="G1217" s="16" t="str">
        <f>IF(D1217&lt;&gt;"",D1217-VLOOKUP(A1217,Consolidado!$B$1:$L$1500,8,FALSE),"")</f>
        <v/>
      </c>
      <c r="H1217" s="31"/>
      <c r="I1217" s="32">
        <f t="shared" si="76"/>
        <v>0</v>
      </c>
      <c r="J1217" s="33" t="str">
        <f t="shared" si="77"/>
        <v/>
      </c>
      <c r="K1217" s="2"/>
      <c r="L1217" s="15"/>
      <c r="M1217" s="34">
        <f t="shared" si="78"/>
        <v>0</v>
      </c>
    </row>
    <row r="1218" spans="1:13" x14ac:dyDescent="0.25">
      <c r="A1218" s="31"/>
      <c r="B1218" s="16" t="str">
        <f>IFERROR(VLOOKUP(A1218,Consolidado!$B$1:$L$1500,2,FALSE),"")</f>
        <v/>
      </c>
      <c r="C1218" s="16">
        <f>IFERROR(SUMIF(Consolidado!$B$1:$B$1500,VLOOKUP(RegistroPago!A1218,Consolidado!$B$1:$L$1500,1,FALSE),Consolidado!$G$1:$G$1500),"")</f>
        <v>0</v>
      </c>
      <c r="D1218" s="3"/>
      <c r="E1218" s="3"/>
      <c r="F1218" s="5" t="str">
        <f t="shared" si="75"/>
        <v/>
      </c>
      <c r="G1218" s="16" t="str">
        <f>IF(D1218&lt;&gt;"",D1218-VLOOKUP(A1218,Consolidado!$B$1:$L$1500,8,FALSE),"")</f>
        <v/>
      </c>
      <c r="H1218" s="31"/>
      <c r="I1218" s="32">
        <f t="shared" si="76"/>
        <v>0</v>
      </c>
      <c r="J1218" s="33" t="str">
        <f t="shared" si="77"/>
        <v/>
      </c>
      <c r="K1218" s="2"/>
      <c r="L1218" s="15"/>
      <c r="M1218" s="34">
        <f t="shared" si="78"/>
        <v>0</v>
      </c>
    </row>
    <row r="1219" spans="1:13" x14ac:dyDescent="0.25">
      <c r="A1219" s="31"/>
      <c r="B1219" s="16" t="str">
        <f>IFERROR(VLOOKUP(A1219,Consolidado!$B$1:$L$1500,2,FALSE),"")</f>
        <v/>
      </c>
      <c r="C1219" s="16">
        <f>IFERROR(SUMIF(Consolidado!$B$1:$B$1500,VLOOKUP(RegistroPago!A1219,Consolidado!$B$1:$L$1500,1,FALSE),Consolidado!$G$1:$G$1500),"")</f>
        <v>0</v>
      </c>
      <c r="D1219" s="3"/>
      <c r="E1219" s="3"/>
      <c r="F1219" s="5" t="str">
        <f t="shared" ref="F1219:F1282" si="79">IF(COUNTIF($E$2:$E$2000,E1219)&gt;1,"Ya registrado","")</f>
        <v/>
      </c>
      <c r="G1219" s="16" t="str">
        <f>IF(D1219&lt;&gt;"",D1219-VLOOKUP(A1219,Consolidado!$B$1:$L$1500,8,FALSE),"")</f>
        <v/>
      </c>
      <c r="H1219" s="31"/>
      <c r="I1219" s="32">
        <f t="shared" si="76"/>
        <v>0</v>
      </c>
      <c r="J1219" s="33" t="str">
        <f t="shared" si="77"/>
        <v/>
      </c>
      <c r="K1219" s="2"/>
      <c r="L1219" s="15"/>
      <c r="M1219" s="34">
        <f t="shared" si="78"/>
        <v>0</v>
      </c>
    </row>
    <row r="1220" spans="1:13" x14ac:dyDescent="0.25">
      <c r="A1220" s="31"/>
      <c r="B1220" s="16" t="str">
        <f>IFERROR(VLOOKUP(A1220,Consolidado!$B$1:$L$1500,2,FALSE),"")</f>
        <v/>
      </c>
      <c r="C1220" s="16">
        <f>IFERROR(SUMIF(Consolidado!$B$1:$B$1500,VLOOKUP(RegistroPago!A1220,Consolidado!$B$1:$L$1500,1,FALSE),Consolidado!$G$1:$G$1500),"")</f>
        <v>0</v>
      </c>
      <c r="D1220" s="3"/>
      <c r="E1220" s="3"/>
      <c r="F1220" s="5" t="str">
        <f t="shared" si="79"/>
        <v/>
      </c>
      <c r="G1220" s="16" t="str">
        <f>IF(D1220&lt;&gt;"",D1220-VLOOKUP(A1220,Consolidado!$B$1:$L$1500,8,FALSE),"")</f>
        <v/>
      </c>
      <c r="H1220" s="31"/>
      <c r="I1220" s="32">
        <f t="shared" si="76"/>
        <v>0</v>
      </c>
      <c r="J1220" s="33" t="str">
        <f t="shared" si="77"/>
        <v/>
      </c>
      <c r="K1220" s="2"/>
      <c r="L1220" s="15"/>
      <c r="M1220" s="34">
        <f t="shared" si="78"/>
        <v>0</v>
      </c>
    </row>
    <row r="1221" spans="1:13" x14ac:dyDescent="0.25">
      <c r="A1221" s="31"/>
      <c r="B1221" s="16" t="str">
        <f>IFERROR(VLOOKUP(A1221,Consolidado!$B$1:$L$1500,2,FALSE),"")</f>
        <v/>
      </c>
      <c r="C1221" s="16">
        <f>IFERROR(SUMIF(Consolidado!$B$1:$B$1500,VLOOKUP(RegistroPago!A1221,Consolidado!$B$1:$L$1500,1,FALSE),Consolidado!$G$1:$G$1500),"")</f>
        <v>0</v>
      </c>
      <c r="D1221" s="3"/>
      <c r="E1221" s="3"/>
      <c r="F1221" s="5" t="str">
        <f t="shared" si="79"/>
        <v/>
      </c>
      <c r="G1221" s="16" t="str">
        <f>IF(D1221&lt;&gt;"",D1221-VLOOKUP(A1221,Consolidado!$B$1:$L$1500,8,FALSE),"")</f>
        <v/>
      </c>
      <c r="H1221" s="31"/>
      <c r="I1221" s="32">
        <f t="shared" si="76"/>
        <v>0</v>
      </c>
      <c r="J1221" s="33" t="str">
        <f t="shared" si="77"/>
        <v/>
      </c>
      <c r="K1221" s="2"/>
      <c r="L1221" s="15"/>
      <c r="M1221" s="34">
        <f t="shared" si="78"/>
        <v>0</v>
      </c>
    </row>
    <row r="1222" spans="1:13" x14ac:dyDescent="0.25">
      <c r="A1222" s="31"/>
      <c r="B1222" s="16" t="str">
        <f>IFERROR(VLOOKUP(A1222,Consolidado!$B$1:$L$1500,2,FALSE),"")</f>
        <v/>
      </c>
      <c r="C1222" s="16">
        <f>IFERROR(SUMIF(Consolidado!$B$1:$B$1500,VLOOKUP(RegistroPago!A1222,Consolidado!$B$1:$L$1500,1,FALSE),Consolidado!$G$1:$G$1500),"")</f>
        <v>0</v>
      </c>
      <c r="D1222" s="3"/>
      <c r="E1222" s="3"/>
      <c r="F1222" s="5" t="str">
        <f t="shared" si="79"/>
        <v/>
      </c>
      <c r="G1222" s="16" t="str">
        <f>IF(D1222&lt;&gt;"",D1222-VLOOKUP(A1222,Consolidado!$B$1:$L$1500,8,FALSE),"")</f>
        <v/>
      </c>
      <c r="H1222" s="31"/>
      <c r="I1222" s="32">
        <f t="shared" si="76"/>
        <v>0</v>
      </c>
      <c r="J1222" s="33" t="str">
        <f t="shared" si="77"/>
        <v/>
      </c>
      <c r="K1222" s="2"/>
      <c r="L1222" s="15"/>
      <c r="M1222" s="34">
        <f t="shared" si="78"/>
        <v>0</v>
      </c>
    </row>
    <row r="1223" spans="1:13" x14ac:dyDescent="0.25">
      <c r="A1223" s="31"/>
      <c r="B1223" s="16" t="str">
        <f>IFERROR(VLOOKUP(A1223,Consolidado!$B$1:$L$1500,2,FALSE),"")</f>
        <v/>
      </c>
      <c r="C1223" s="16">
        <f>IFERROR(SUMIF(Consolidado!$B$1:$B$1500,VLOOKUP(RegistroPago!A1223,Consolidado!$B$1:$L$1500,1,FALSE),Consolidado!$G$1:$G$1500),"")</f>
        <v>0</v>
      </c>
      <c r="D1223" s="3"/>
      <c r="E1223" s="3"/>
      <c r="F1223" s="5" t="str">
        <f t="shared" si="79"/>
        <v/>
      </c>
      <c r="G1223" s="16" t="str">
        <f>IF(D1223&lt;&gt;"",D1223-VLOOKUP(A1223,Consolidado!$B$1:$L$1500,8,FALSE),"")</f>
        <v/>
      </c>
      <c r="H1223" s="31"/>
      <c r="I1223" s="32">
        <f t="shared" si="76"/>
        <v>0</v>
      </c>
      <c r="J1223" s="33" t="str">
        <f t="shared" si="77"/>
        <v/>
      </c>
      <c r="K1223" s="2"/>
      <c r="L1223" s="15"/>
      <c r="M1223" s="34">
        <f t="shared" si="78"/>
        <v>0</v>
      </c>
    </row>
    <row r="1224" spans="1:13" x14ac:dyDescent="0.25">
      <c r="A1224" s="31"/>
      <c r="B1224" s="16" t="str">
        <f>IFERROR(VLOOKUP(A1224,Consolidado!$B$1:$L$1500,2,FALSE),"")</f>
        <v/>
      </c>
      <c r="C1224" s="16">
        <f>IFERROR(SUMIF(Consolidado!$B$1:$B$1500,VLOOKUP(RegistroPago!A1224,Consolidado!$B$1:$L$1500,1,FALSE),Consolidado!$G$1:$G$1500),"")</f>
        <v>0</v>
      </c>
      <c r="D1224" s="3"/>
      <c r="E1224" s="3"/>
      <c r="F1224" s="5" t="str">
        <f t="shared" si="79"/>
        <v/>
      </c>
      <c r="G1224" s="16" t="str">
        <f>IF(D1224&lt;&gt;"",D1224-VLOOKUP(A1224,Consolidado!$B$1:$L$1500,8,FALSE),"")</f>
        <v/>
      </c>
      <c r="H1224" s="31"/>
      <c r="I1224" s="32">
        <f t="shared" si="76"/>
        <v>0</v>
      </c>
      <c r="J1224" s="33" t="str">
        <f t="shared" si="77"/>
        <v/>
      </c>
      <c r="K1224" s="2"/>
      <c r="L1224" s="15"/>
      <c r="M1224" s="34">
        <f t="shared" si="78"/>
        <v>0</v>
      </c>
    </row>
    <row r="1225" spans="1:13" x14ac:dyDescent="0.25">
      <c r="A1225" s="31"/>
      <c r="B1225" s="16" t="str">
        <f>IFERROR(VLOOKUP(A1225,Consolidado!$B$1:$L$1500,2,FALSE),"")</f>
        <v/>
      </c>
      <c r="C1225" s="16">
        <f>IFERROR(SUMIF(Consolidado!$B$1:$B$1500,VLOOKUP(RegistroPago!A1225,Consolidado!$B$1:$L$1500,1,FALSE),Consolidado!$G$1:$G$1500),"")</f>
        <v>0</v>
      </c>
      <c r="D1225" s="3"/>
      <c r="E1225" s="3"/>
      <c r="F1225" s="5" t="str">
        <f t="shared" si="79"/>
        <v/>
      </c>
      <c r="G1225" s="16" t="str">
        <f>IF(D1225&lt;&gt;"",D1225-VLOOKUP(A1225,Consolidado!$B$1:$L$1500,8,FALSE),"")</f>
        <v/>
      </c>
      <c r="H1225" s="31"/>
      <c r="I1225" s="32">
        <f t="shared" si="76"/>
        <v>0</v>
      </c>
      <c r="J1225" s="33" t="str">
        <f t="shared" si="77"/>
        <v/>
      </c>
      <c r="K1225" s="2"/>
      <c r="L1225" s="15"/>
      <c r="M1225" s="34">
        <f t="shared" si="78"/>
        <v>0</v>
      </c>
    </row>
    <row r="1226" spans="1:13" x14ac:dyDescent="0.25">
      <c r="A1226" s="31"/>
      <c r="B1226" s="16" t="str">
        <f>IFERROR(VLOOKUP(A1226,Consolidado!$B$1:$L$1500,2,FALSE),"")</f>
        <v/>
      </c>
      <c r="C1226" s="16">
        <f>IFERROR(SUMIF(Consolidado!$B$1:$B$1500,VLOOKUP(RegistroPago!A1226,Consolidado!$B$1:$L$1500,1,FALSE),Consolidado!$G$1:$G$1500),"")</f>
        <v>0</v>
      </c>
      <c r="D1226" s="3"/>
      <c r="E1226" s="3"/>
      <c r="F1226" s="5" t="str">
        <f t="shared" si="79"/>
        <v/>
      </c>
      <c r="G1226" s="16" t="str">
        <f>IF(D1226&lt;&gt;"",D1226-VLOOKUP(A1226,Consolidado!$B$1:$L$1500,8,FALSE),"")</f>
        <v/>
      </c>
      <c r="H1226" s="31"/>
      <c r="I1226" s="32">
        <f t="shared" si="76"/>
        <v>0</v>
      </c>
      <c r="J1226" s="33" t="str">
        <f t="shared" si="77"/>
        <v/>
      </c>
      <c r="K1226" s="2"/>
      <c r="L1226" s="15"/>
      <c r="M1226" s="34">
        <f t="shared" si="78"/>
        <v>0</v>
      </c>
    </row>
    <row r="1227" spans="1:13" x14ac:dyDescent="0.25">
      <c r="A1227" s="31"/>
      <c r="B1227" s="16" t="str">
        <f>IFERROR(VLOOKUP(A1227,Consolidado!$B$1:$L$1500,2,FALSE),"")</f>
        <v/>
      </c>
      <c r="C1227" s="16">
        <f>IFERROR(SUMIF(Consolidado!$B$1:$B$1500,VLOOKUP(RegistroPago!A1227,Consolidado!$B$1:$L$1500,1,FALSE),Consolidado!$G$1:$G$1500),"")</f>
        <v>0</v>
      </c>
      <c r="D1227" s="3"/>
      <c r="E1227" s="3"/>
      <c r="F1227" s="5" t="str">
        <f t="shared" si="79"/>
        <v/>
      </c>
      <c r="G1227" s="16" t="str">
        <f>IF(D1227&lt;&gt;"",D1227-VLOOKUP(A1227,Consolidado!$B$1:$L$1500,8,FALSE),"")</f>
        <v/>
      </c>
      <c r="H1227" s="31"/>
      <c r="I1227" s="32">
        <f t="shared" si="76"/>
        <v>0</v>
      </c>
      <c r="J1227" s="33" t="str">
        <f t="shared" si="77"/>
        <v/>
      </c>
      <c r="K1227" s="2"/>
      <c r="L1227" s="15"/>
      <c r="M1227" s="34">
        <f t="shared" si="78"/>
        <v>0</v>
      </c>
    </row>
    <row r="1228" spans="1:13" x14ac:dyDescent="0.25">
      <c r="A1228" s="31"/>
      <c r="B1228" s="16" t="str">
        <f>IFERROR(VLOOKUP(A1228,Consolidado!$B$1:$L$1500,2,FALSE),"")</f>
        <v/>
      </c>
      <c r="C1228" s="16">
        <f>IFERROR(SUMIF(Consolidado!$B$1:$B$1500,VLOOKUP(RegistroPago!A1228,Consolidado!$B$1:$L$1500,1,FALSE),Consolidado!$G$1:$G$1500),"")</f>
        <v>0</v>
      </c>
      <c r="D1228" s="3"/>
      <c r="E1228" s="3"/>
      <c r="F1228" s="5" t="str">
        <f t="shared" si="79"/>
        <v/>
      </c>
      <c r="G1228" s="16" t="str">
        <f>IF(D1228&lt;&gt;"",D1228-VLOOKUP(A1228,Consolidado!$B$1:$L$1500,8,FALSE),"")</f>
        <v/>
      </c>
      <c r="H1228" s="31"/>
      <c r="I1228" s="32">
        <f t="shared" si="76"/>
        <v>0</v>
      </c>
      <c r="J1228" s="33" t="str">
        <f t="shared" si="77"/>
        <v/>
      </c>
      <c r="K1228" s="2"/>
      <c r="L1228" s="15"/>
      <c r="M1228" s="34">
        <f t="shared" si="78"/>
        <v>0</v>
      </c>
    </row>
    <row r="1229" spans="1:13" x14ac:dyDescent="0.25">
      <c r="A1229" s="31"/>
      <c r="B1229" s="16" t="str">
        <f>IFERROR(VLOOKUP(A1229,Consolidado!$B$1:$L$1500,2,FALSE),"")</f>
        <v/>
      </c>
      <c r="C1229" s="16">
        <f>IFERROR(SUMIF(Consolidado!$B$1:$B$1500,VLOOKUP(RegistroPago!A1229,Consolidado!$B$1:$L$1500,1,FALSE),Consolidado!$G$1:$G$1500),"")</f>
        <v>0</v>
      </c>
      <c r="D1229" s="3"/>
      <c r="E1229" s="3"/>
      <c r="F1229" s="5" t="str">
        <f t="shared" si="79"/>
        <v/>
      </c>
      <c r="G1229" s="16" t="str">
        <f>IF(D1229&lt;&gt;"",D1229-VLOOKUP(A1229,Consolidado!$B$1:$L$1500,8,FALSE),"")</f>
        <v/>
      </c>
      <c r="H1229" s="31"/>
      <c r="I1229" s="32">
        <f t="shared" si="76"/>
        <v>0</v>
      </c>
      <c r="J1229" s="33" t="str">
        <f t="shared" si="77"/>
        <v/>
      </c>
      <c r="K1229" s="2"/>
      <c r="L1229" s="15"/>
      <c r="M1229" s="34">
        <f t="shared" si="78"/>
        <v>0</v>
      </c>
    </row>
    <row r="1230" spans="1:13" x14ac:dyDescent="0.25">
      <c r="A1230" s="31"/>
      <c r="B1230" s="16" t="str">
        <f>IFERROR(VLOOKUP(A1230,Consolidado!$B$1:$L$1500,2,FALSE),"")</f>
        <v/>
      </c>
      <c r="C1230" s="16">
        <f>IFERROR(SUMIF(Consolidado!$B$1:$B$1500,VLOOKUP(RegistroPago!A1230,Consolidado!$B$1:$L$1500,1,FALSE),Consolidado!$G$1:$G$1500),"")</f>
        <v>0</v>
      </c>
      <c r="D1230" s="3"/>
      <c r="E1230" s="3"/>
      <c r="F1230" s="5" t="str">
        <f t="shared" si="79"/>
        <v/>
      </c>
      <c r="G1230" s="16" t="str">
        <f>IF(D1230&lt;&gt;"",D1230-VLOOKUP(A1230,Consolidado!$B$1:$L$1500,8,FALSE),"")</f>
        <v/>
      </c>
      <c r="H1230" s="31"/>
      <c r="I1230" s="32">
        <f t="shared" si="76"/>
        <v>0</v>
      </c>
      <c r="J1230" s="33" t="str">
        <f t="shared" si="77"/>
        <v/>
      </c>
      <c r="K1230" s="2"/>
      <c r="L1230" s="15"/>
      <c r="M1230" s="34">
        <f t="shared" si="78"/>
        <v>0</v>
      </c>
    </row>
    <row r="1231" spans="1:13" x14ac:dyDescent="0.25">
      <c r="A1231" s="31"/>
      <c r="B1231" s="16" t="str">
        <f>IFERROR(VLOOKUP(A1231,Consolidado!$B$1:$L$1500,2,FALSE),"")</f>
        <v/>
      </c>
      <c r="C1231" s="16">
        <f>IFERROR(SUMIF(Consolidado!$B$1:$B$1500,VLOOKUP(RegistroPago!A1231,Consolidado!$B$1:$L$1500,1,FALSE),Consolidado!$G$1:$G$1500),"")</f>
        <v>0</v>
      </c>
      <c r="D1231" s="3"/>
      <c r="E1231" s="3"/>
      <c r="F1231" s="5" t="str">
        <f t="shared" si="79"/>
        <v/>
      </c>
      <c r="G1231" s="16" t="str">
        <f>IF(D1231&lt;&gt;"",D1231-VLOOKUP(A1231,Consolidado!$B$1:$L$1500,8,FALSE),"")</f>
        <v/>
      </c>
      <c r="H1231" s="31"/>
      <c r="I1231" s="32">
        <f t="shared" si="76"/>
        <v>0</v>
      </c>
      <c r="J1231" s="33" t="str">
        <f t="shared" si="77"/>
        <v/>
      </c>
      <c r="K1231" s="2"/>
      <c r="L1231" s="15"/>
      <c r="M1231" s="34">
        <f t="shared" si="78"/>
        <v>0</v>
      </c>
    </row>
    <row r="1232" spans="1:13" x14ac:dyDescent="0.25">
      <c r="A1232" s="31"/>
      <c r="B1232" s="16" t="str">
        <f>IFERROR(VLOOKUP(A1232,Consolidado!$B$1:$L$1500,2,FALSE),"")</f>
        <v/>
      </c>
      <c r="C1232" s="16">
        <f>IFERROR(SUMIF(Consolidado!$B$1:$B$1500,VLOOKUP(RegistroPago!A1232,Consolidado!$B$1:$L$1500,1,FALSE),Consolidado!$G$1:$G$1500),"")</f>
        <v>0</v>
      </c>
      <c r="D1232" s="3"/>
      <c r="E1232" s="3"/>
      <c r="F1232" s="5" t="str">
        <f t="shared" si="79"/>
        <v/>
      </c>
      <c r="G1232" s="16" t="str">
        <f>IF(D1232&lt;&gt;"",D1232-VLOOKUP(A1232,Consolidado!$B$1:$L$1500,8,FALSE),"")</f>
        <v/>
      </c>
      <c r="H1232" s="31"/>
      <c r="I1232" s="32">
        <f t="shared" si="76"/>
        <v>0</v>
      </c>
      <c r="J1232" s="33" t="str">
        <f t="shared" si="77"/>
        <v/>
      </c>
      <c r="K1232" s="2"/>
      <c r="L1232" s="15"/>
      <c r="M1232" s="34">
        <f t="shared" si="78"/>
        <v>0</v>
      </c>
    </row>
    <row r="1233" spans="1:13" x14ac:dyDescent="0.25">
      <c r="A1233" s="31"/>
      <c r="B1233" s="16" t="str">
        <f>IFERROR(VLOOKUP(A1233,Consolidado!$B$1:$L$1500,2,FALSE),"")</f>
        <v/>
      </c>
      <c r="C1233" s="16">
        <f>IFERROR(SUMIF(Consolidado!$B$1:$B$1500,VLOOKUP(RegistroPago!A1233,Consolidado!$B$1:$L$1500,1,FALSE),Consolidado!$G$1:$G$1500),"")</f>
        <v>0</v>
      </c>
      <c r="D1233" s="3"/>
      <c r="E1233" s="3"/>
      <c r="F1233" s="5" t="str">
        <f t="shared" si="79"/>
        <v/>
      </c>
      <c r="G1233" s="16" t="str">
        <f>IF(D1233&lt;&gt;"",D1233-VLOOKUP(A1233,Consolidado!$B$1:$L$1500,8,FALSE),"")</f>
        <v/>
      </c>
      <c r="H1233" s="31"/>
      <c r="I1233" s="32">
        <f t="shared" si="76"/>
        <v>0</v>
      </c>
      <c r="J1233" s="33" t="str">
        <f t="shared" si="77"/>
        <v/>
      </c>
      <c r="K1233" s="2"/>
      <c r="L1233" s="15"/>
      <c r="M1233" s="34">
        <f t="shared" si="78"/>
        <v>0</v>
      </c>
    </row>
    <row r="1234" spans="1:13" x14ac:dyDescent="0.25">
      <c r="A1234" s="31"/>
      <c r="B1234" s="16" t="str">
        <f>IFERROR(VLOOKUP(A1234,Consolidado!$B$1:$L$1500,2,FALSE),"")</f>
        <v/>
      </c>
      <c r="C1234" s="16">
        <f>IFERROR(SUMIF(Consolidado!$B$1:$B$1500,VLOOKUP(RegistroPago!A1234,Consolidado!$B$1:$L$1500,1,FALSE),Consolidado!$G$1:$G$1500),"")</f>
        <v>0</v>
      </c>
      <c r="D1234" s="3"/>
      <c r="E1234" s="3"/>
      <c r="F1234" s="5" t="str">
        <f t="shared" si="79"/>
        <v/>
      </c>
      <c r="G1234" s="16" t="str">
        <f>IF(D1234&lt;&gt;"",D1234-VLOOKUP(A1234,Consolidado!$B$1:$L$1500,8,FALSE),"")</f>
        <v/>
      </c>
      <c r="H1234" s="31"/>
      <c r="I1234" s="32">
        <f t="shared" si="76"/>
        <v>0</v>
      </c>
      <c r="J1234" s="33" t="str">
        <f t="shared" si="77"/>
        <v/>
      </c>
      <c r="K1234" s="2"/>
      <c r="L1234" s="15"/>
      <c r="M1234" s="34">
        <f t="shared" si="78"/>
        <v>0</v>
      </c>
    </row>
    <row r="1235" spans="1:13" x14ac:dyDescent="0.25">
      <c r="A1235" s="31"/>
      <c r="B1235" s="16" t="str">
        <f>IFERROR(VLOOKUP(A1235,Consolidado!$B$1:$L$1500,2,FALSE),"")</f>
        <v/>
      </c>
      <c r="C1235" s="16">
        <f>IFERROR(SUMIF(Consolidado!$B$1:$B$1500,VLOOKUP(RegistroPago!A1235,Consolidado!$B$1:$L$1500,1,FALSE),Consolidado!$G$1:$G$1500),"")</f>
        <v>0</v>
      </c>
      <c r="D1235" s="3"/>
      <c r="E1235" s="3"/>
      <c r="F1235" s="5" t="str">
        <f t="shared" si="79"/>
        <v/>
      </c>
      <c r="G1235" s="16" t="str">
        <f>IF(D1235&lt;&gt;"",D1235-VLOOKUP(A1235,Consolidado!$B$1:$L$1500,8,FALSE),"")</f>
        <v/>
      </c>
      <c r="H1235" s="31"/>
      <c r="I1235" s="32">
        <f t="shared" si="76"/>
        <v>0</v>
      </c>
      <c r="J1235" s="33" t="str">
        <f t="shared" si="77"/>
        <v/>
      </c>
      <c r="K1235" s="2"/>
      <c r="L1235" s="15"/>
      <c r="M1235" s="34">
        <f t="shared" si="78"/>
        <v>0</v>
      </c>
    </row>
    <row r="1236" spans="1:13" x14ac:dyDescent="0.25">
      <c r="A1236" s="31"/>
      <c r="B1236" s="16" t="str">
        <f>IFERROR(VLOOKUP(A1236,Consolidado!$B$1:$L$1500,2,FALSE),"")</f>
        <v/>
      </c>
      <c r="C1236" s="16">
        <f>IFERROR(SUMIF(Consolidado!$B$1:$B$1500,VLOOKUP(RegistroPago!A1236,Consolidado!$B$1:$L$1500,1,FALSE),Consolidado!$G$1:$G$1500),"")</f>
        <v>0</v>
      </c>
      <c r="D1236" s="3"/>
      <c r="E1236" s="3"/>
      <c r="F1236" s="5" t="str">
        <f t="shared" si="79"/>
        <v/>
      </c>
      <c r="G1236" s="16" t="str">
        <f>IF(D1236&lt;&gt;"",D1236-VLOOKUP(A1236,Consolidado!$B$1:$L$1500,8,FALSE),"")</f>
        <v/>
      </c>
      <c r="H1236" s="31"/>
      <c r="I1236" s="32">
        <f t="shared" si="76"/>
        <v>0</v>
      </c>
      <c r="J1236" s="33" t="str">
        <f t="shared" si="77"/>
        <v/>
      </c>
      <c r="K1236" s="2"/>
      <c r="L1236" s="15"/>
      <c r="M1236" s="34">
        <f t="shared" si="78"/>
        <v>0</v>
      </c>
    </row>
    <row r="1237" spans="1:13" x14ac:dyDescent="0.25">
      <c r="A1237" s="31"/>
      <c r="B1237" s="16" t="str">
        <f>IFERROR(VLOOKUP(A1237,Consolidado!$B$1:$L$1500,2,FALSE),"")</f>
        <v/>
      </c>
      <c r="C1237" s="16">
        <f>IFERROR(SUMIF(Consolidado!$B$1:$B$1500,VLOOKUP(RegistroPago!A1237,Consolidado!$B$1:$L$1500,1,FALSE),Consolidado!$G$1:$G$1500),"")</f>
        <v>0</v>
      </c>
      <c r="D1237" s="3"/>
      <c r="E1237" s="3"/>
      <c r="F1237" s="5" t="str">
        <f t="shared" si="79"/>
        <v/>
      </c>
      <c r="G1237" s="16" t="str">
        <f>IF(D1237&lt;&gt;"",D1237-VLOOKUP(A1237,Consolidado!$B$1:$L$1500,8,FALSE),"")</f>
        <v/>
      </c>
      <c r="H1237" s="31"/>
      <c r="I1237" s="32">
        <f t="shared" si="76"/>
        <v>0</v>
      </c>
      <c r="J1237" s="33" t="str">
        <f t="shared" si="77"/>
        <v/>
      </c>
      <c r="K1237" s="2"/>
      <c r="L1237" s="15"/>
      <c r="M1237" s="34">
        <f t="shared" si="78"/>
        <v>0</v>
      </c>
    </row>
    <row r="1238" spans="1:13" x14ac:dyDescent="0.25">
      <c r="A1238" s="31"/>
      <c r="B1238" s="16" t="str">
        <f>IFERROR(VLOOKUP(A1238,Consolidado!$B$1:$L$1500,2,FALSE),"")</f>
        <v/>
      </c>
      <c r="C1238" s="16">
        <f>IFERROR(SUMIF(Consolidado!$B$1:$B$1500,VLOOKUP(RegistroPago!A1238,Consolidado!$B$1:$L$1500,1,FALSE),Consolidado!$G$1:$G$1500),"")</f>
        <v>0</v>
      </c>
      <c r="D1238" s="3"/>
      <c r="E1238" s="3"/>
      <c r="F1238" s="5" t="str">
        <f t="shared" si="79"/>
        <v/>
      </c>
      <c r="G1238" s="16" t="str">
        <f>IF(D1238&lt;&gt;"",D1238-VLOOKUP(A1238,Consolidado!$B$1:$L$1500,8,FALSE),"")</f>
        <v/>
      </c>
      <c r="H1238" s="31"/>
      <c r="I1238" s="32">
        <f t="shared" si="76"/>
        <v>0</v>
      </c>
      <c r="J1238" s="33" t="str">
        <f t="shared" si="77"/>
        <v/>
      </c>
      <c r="K1238" s="2"/>
      <c r="L1238" s="15"/>
      <c r="M1238" s="34">
        <f t="shared" si="78"/>
        <v>0</v>
      </c>
    </row>
    <row r="1239" spans="1:13" x14ac:dyDescent="0.25">
      <c r="A1239" s="31"/>
      <c r="B1239" s="16" t="str">
        <f>IFERROR(VLOOKUP(A1239,Consolidado!$B$1:$L$1500,2,FALSE),"")</f>
        <v/>
      </c>
      <c r="C1239" s="16">
        <f>IFERROR(SUMIF(Consolidado!$B$1:$B$1500,VLOOKUP(RegistroPago!A1239,Consolidado!$B$1:$L$1500,1,FALSE),Consolidado!$G$1:$G$1500),"")</f>
        <v>0</v>
      </c>
      <c r="D1239" s="3"/>
      <c r="E1239" s="3"/>
      <c r="F1239" s="5" t="str">
        <f t="shared" si="79"/>
        <v/>
      </c>
      <c r="G1239" s="16" t="str">
        <f>IF(D1239&lt;&gt;"",D1239-VLOOKUP(A1239,Consolidado!$B$1:$L$1500,8,FALSE),"")</f>
        <v/>
      </c>
      <c r="H1239" s="31"/>
      <c r="I1239" s="32">
        <f t="shared" si="76"/>
        <v>0</v>
      </c>
      <c r="J1239" s="33" t="str">
        <f t="shared" si="77"/>
        <v/>
      </c>
      <c r="K1239" s="2"/>
      <c r="L1239" s="15"/>
      <c r="M1239" s="34">
        <f t="shared" si="78"/>
        <v>0</v>
      </c>
    </row>
    <row r="1240" spans="1:13" x14ac:dyDescent="0.25">
      <c r="A1240" s="31"/>
      <c r="B1240" s="16" t="str">
        <f>IFERROR(VLOOKUP(A1240,Consolidado!$B$1:$L$1500,2,FALSE),"")</f>
        <v/>
      </c>
      <c r="C1240" s="16">
        <f>IFERROR(SUMIF(Consolidado!$B$1:$B$1500,VLOOKUP(RegistroPago!A1240,Consolidado!$B$1:$L$1500,1,FALSE),Consolidado!$G$1:$G$1500),"")</f>
        <v>0</v>
      </c>
      <c r="D1240" s="3"/>
      <c r="E1240" s="3"/>
      <c r="F1240" s="5" t="str">
        <f t="shared" si="79"/>
        <v/>
      </c>
      <c r="G1240" s="16" t="str">
        <f>IF(D1240&lt;&gt;"",D1240-VLOOKUP(A1240,Consolidado!$B$1:$L$1500,8,FALSE),"")</f>
        <v/>
      </c>
      <c r="H1240" s="31"/>
      <c r="I1240" s="32">
        <f t="shared" si="76"/>
        <v>0</v>
      </c>
      <c r="J1240" s="33" t="str">
        <f t="shared" si="77"/>
        <v/>
      </c>
      <c r="K1240" s="2"/>
      <c r="L1240" s="15"/>
      <c r="M1240" s="34">
        <f t="shared" si="78"/>
        <v>0</v>
      </c>
    </row>
    <row r="1241" spans="1:13" x14ac:dyDescent="0.25">
      <c r="A1241" s="31"/>
      <c r="B1241" s="16" t="str">
        <f>IFERROR(VLOOKUP(A1241,Consolidado!$B$1:$L$1500,2,FALSE),"")</f>
        <v/>
      </c>
      <c r="C1241" s="16">
        <f>IFERROR(SUMIF(Consolidado!$B$1:$B$1500,VLOOKUP(RegistroPago!A1241,Consolidado!$B$1:$L$1500,1,FALSE),Consolidado!$G$1:$G$1500),"")</f>
        <v>0</v>
      </c>
      <c r="D1241" s="3"/>
      <c r="E1241" s="3"/>
      <c r="F1241" s="5" t="str">
        <f t="shared" si="79"/>
        <v/>
      </c>
      <c r="G1241" s="16" t="str">
        <f>IF(D1241&lt;&gt;"",D1241-VLOOKUP(A1241,Consolidado!$B$1:$L$1500,8,FALSE),"")</f>
        <v/>
      </c>
      <c r="H1241" s="31"/>
      <c r="I1241" s="32">
        <f t="shared" si="76"/>
        <v>0</v>
      </c>
      <c r="J1241" s="33" t="str">
        <f t="shared" si="77"/>
        <v/>
      </c>
      <c r="K1241" s="2"/>
      <c r="L1241" s="15"/>
      <c r="M1241" s="34">
        <f t="shared" si="78"/>
        <v>0</v>
      </c>
    </row>
    <row r="1242" spans="1:13" x14ac:dyDescent="0.25">
      <c r="A1242" s="31"/>
      <c r="B1242" s="16" t="str">
        <f>IFERROR(VLOOKUP(A1242,Consolidado!$B$1:$L$1500,2,FALSE),"")</f>
        <v/>
      </c>
      <c r="C1242" s="16">
        <f>IFERROR(SUMIF(Consolidado!$B$1:$B$1500,VLOOKUP(RegistroPago!A1242,Consolidado!$B$1:$L$1500,1,FALSE),Consolidado!$G$1:$G$1500),"")</f>
        <v>0</v>
      </c>
      <c r="D1242" s="3"/>
      <c r="E1242" s="3"/>
      <c r="F1242" s="5" t="str">
        <f t="shared" si="79"/>
        <v/>
      </c>
      <c r="G1242" s="16" t="str">
        <f>IF(D1242&lt;&gt;"",D1242-VLOOKUP(A1242,Consolidado!$B$1:$L$1500,8,FALSE),"")</f>
        <v/>
      </c>
      <c r="H1242" s="31"/>
      <c r="I1242" s="32">
        <f t="shared" si="76"/>
        <v>0</v>
      </c>
      <c r="J1242" s="33" t="str">
        <f t="shared" si="77"/>
        <v/>
      </c>
      <c r="K1242" s="2"/>
      <c r="L1242" s="15"/>
      <c r="M1242" s="34">
        <f t="shared" si="78"/>
        <v>0</v>
      </c>
    </row>
    <row r="1243" spans="1:13" x14ac:dyDescent="0.25">
      <c r="A1243" s="31"/>
      <c r="B1243" s="16" t="str">
        <f>IFERROR(VLOOKUP(A1243,Consolidado!$B$1:$L$1500,2,FALSE),"")</f>
        <v/>
      </c>
      <c r="C1243" s="16">
        <f>IFERROR(SUMIF(Consolidado!$B$1:$B$1500,VLOOKUP(RegistroPago!A1243,Consolidado!$B$1:$L$1500,1,FALSE),Consolidado!$G$1:$G$1500),"")</f>
        <v>0</v>
      </c>
      <c r="D1243" s="3"/>
      <c r="E1243" s="3"/>
      <c r="F1243" s="5" t="str">
        <f t="shared" si="79"/>
        <v/>
      </c>
      <c r="G1243" s="16" t="str">
        <f>IF(D1243&lt;&gt;"",D1243-VLOOKUP(A1243,Consolidado!$B$1:$L$1500,8,FALSE),"")</f>
        <v/>
      </c>
      <c r="H1243" s="31"/>
      <c r="I1243" s="32">
        <f t="shared" si="76"/>
        <v>0</v>
      </c>
      <c r="J1243" s="33" t="str">
        <f t="shared" si="77"/>
        <v/>
      </c>
      <c r="K1243" s="2"/>
      <c r="L1243" s="15"/>
      <c r="M1243" s="34">
        <f t="shared" si="78"/>
        <v>0</v>
      </c>
    </row>
    <row r="1244" spans="1:13" x14ac:dyDescent="0.25">
      <c r="A1244" s="31"/>
      <c r="B1244" s="16" t="str">
        <f>IFERROR(VLOOKUP(A1244,Consolidado!$B$1:$L$1500,2,FALSE),"")</f>
        <v/>
      </c>
      <c r="C1244" s="16">
        <f>IFERROR(SUMIF(Consolidado!$B$1:$B$1500,VLOOKUP(RegistroPago!A1244,Consolidado!$B$1:$L$1500,1,FALSE),Consolidado!$G$1:$G$1500),"")</f>
        <v>0</v>
      </c>
      <c r="D1244" s="3"/>
      <c r="E1244" s="3"/>
      <c r="F1244" s="5" t="str">
        <f t="shared" si="79"/>
        <v/>
      </c>
      <c r="G1244" s="16" t="str">
        <f>IF(D1244&lt;&gt;"",D1244-VLOOKUP(A1244,Consolidado!$B$1:$L$1500,8,FALSE),"")</f>
        <v/>
      </c>
      <c r="H1244" s="31"/>
      <c r="I1244" s="32">
        <f t="shared" si="76"/>
        <v>0</v>
      </c>
      <c r="J1244" s="33" t="str">
        <f t="shared" si="77"/>
        <v/>
      </c>
      <c r="K1244" s="2"/>
      <c r="L1244" s="15"/>
      <c r="M1244" s="34">
        <f t="shared" si="78"/>
        <v>0</v>
      </c>
    </row>
    <row r="1245" spans="1:13" x14ac:dyDescent="0.25">
      <c r="A1245" s="31"/>
      <c r="B1245" s="16" t="str">
        <f>IFERROR(VLOOKUP(A1245,Consolidado!$B$1:$L$1500,2,FALSE),"")</f>
        <v/>
      </c>
      <c r="C1245" s="16">
        <f>IFERROR(SUMIF(Consolidado!$B$1:$B$1500,VLOOKUP(RegistroPago!A1245,Consolidado!$B$1:$L$1500,1,FALSE),Consolidado!$G$1:$G$1500),"")</f>
        <v>0</v>
      </c>
      <c r="D1245" s="3"/>
      <c r="E1245" s="3"/>
      <c r="F1245" s="5" t="str">
        <f t="shared" si="79"/>
        <v/>
      </c>
      <c r="G1245" s="16" t="str">
        <f>IF(D1245&lt;&gt;"",D1245-VLOOKUP(A1245,Consolidado!$B$1:$L$1500,8,FALSE),"")</f>
        <v/>
      </c>
      <c r="H1245" s="31"/>
      <c r="I1245" s="32">
        <f t="shared" si="76"/>
        <v>0</v>
      </c>
      <c r="J1245" s="33" t="str">
        <f t="shared" si="77"/>
        <v/>
      </c>
      <c r="K1245" s="2"/>
      <c r="L1245" s="15"/>
      <c r="M1245" s="34">
        <f t="shared" si="78"/>
        <v>0</v>
      </c>
    </row>
    <row r="1246" spans="1:13" x14ac:dyDescent="0.25">
      <c r="A1246" s="31"/>
      <c r="B1246" s="16" t="str">
        <f>IFERROR(VLOOKUP(A1246,Consolidado!$B$1:$L$1500,2,FALSE),"")</f>
        <v/>
      </c>
      <c r="C1246" s="16">
        <f>IFERROR(SUMIF(Consolidado!$B$1:$B$1500,VLOOKUP(RegistroPago!A1246,Consolidado!$B$1:$L$1500,1,FALSE),Consolidado!$G$1:$G$1500),"")</f>
        <v>0</v>
      </c>
      <c r="D1246" s="3"/>
      <c r="E1246" s="3"/>
      <c r="F1246" s="5" t="str">
        <f t="shared" si="79"/>
        <v/>
      </c>
      <c r="G1246" s="16" t="str">
        <f>IF(D1246&lt;&gt;"",D1246-VLOOKUP(A1246,Consolidado!$B$1:$L$1500,8,FALSE),"")</f>
        <v/>
      </c>
      <c r="H1246" s="31"/>
      <c r="I1246" s="32">
        <f t="shared" si="76"/>
        <v>0</v>
      </c>
      <c r="J1246" s="33" t="str">
        <f t="shared" si="77"/>
        <v/>
      </c>
      <c r="K1246" s="2"/>
      <c r="L1246" s="15"/>
      <c r="M1246" s="34">
        <f t="shared" si="78"/>
        <v>0</v>
      </c>
    </row>
    <row r="1247" spans="1:13" x14ac:dyDescent="0.25">
      <c r="A1247" s="31"/>
      <c r="B1247" s="16" t="str">
        <f>IFERROR(VLOOKUP(A1247,Consolidado!$B$1:$L$1500,2,FALSE),"")</f>
        <v/>
      </c>
      <c r="C1247" s="16">
        <f>IFERROR(SUMIF(Consolidado!$B$1:$B$1500,VLOOKUP(RegistroPago!A1247,Consolidado!$B$1:$L$1500,1,FALSE),Consolidado!$G$1:$G$1500),"")</f>
        <v>0</v>
      </c>
      <c r="D1247" s="3"/>
      <c r="E1247" s="3"/>
      <c r="F1247" s="5" t="str">
        <f t="shared" si="79"/>
        <v/>
      </c>
      <c r="G1247" s="16" t="str">
        <f>IF(D1247&lt;&gt;"",D1247-VLOOKUP(A1247,Consolidado!$B$1:$L$1500,8,FALSE),"")</f>
        <v/>
      </c>
      <c r="H1247" s="31"/>
      <c r="I1247" s="32">
        <f t="shared" si="76"/>
        <v>0</v>
      </c>
      <c r="J1247" s="33" t="str">
        <f t="shared" si="77"/>
        <v/>
      </c>
      <c r="K1247" s="2"/>
      <c r="L1247" s="15"/>
      <c r="M1247" s="34">
        <f t="shared" si="78"/>
        <v>0</v>
      </c>
    </row>
    <row r="1248" spans="1:13" x14ac:dyDescent="0.25">
      <c r="A1248" s="31"/>
      <c r="B1248" s="16" t="str">
        <f>IFERROR(VLOOKUP(A1248,Consolidado!$B$1:$L$1500,2,FALSE),"")</f>
        <v/>
      </c>
      <c r="C1248" s="16">
        <f>IFERROR(SUMIF(Consolidado!$B$1:$B$1500,VLOOKUP(RegistroPago!A1248,Consolidado!$B$1:$L$1500,1,FALSE),Consolidado!$G$1:$G$1500),"")</f>
        <v>0</v>
      </c>
      <c r="D1248" s="3"/>
      <c r="E1248" s="3"/>
      <c r="F1248" s="5" t="str">
        <f t="shared" si="79"/>
        <v/>
      </c>
      <c r="G1248" s="16" t="str">
        <f>IF(D1248&lt;&gt;"",D1248-VLOOKUP(A1248,Consolidado!$B$1:$L$1500,8,FALSE),"")</f>
        <v/>
      </c>
      <c r="H1248" s="31"/>
      <c r="I1248" s="32">
        <f t="shared" si="76"/>
        <v>0</v>
      </c>
      <c r="J1248" s="33" t="str">
        <f t="shared" si="77"/>
        <v/>
      </c>
      <c r="K1248" s="2"/>
      <c r="L1248" s="15"/>
      <c r="M1248" s="34">
        <f t="shared" si="78"/>
        <v>0</v>
      </c>
    </row>
    <row r="1249" spans="1:13" x14ac:dyDescent="0.25">
      <c r="A1249" s="31"/>
      <c r="B1249" s="16" t="str">
        <f>IFERROR(VLOOKUP(A1249,Consolidado!$B$1:$L$1500,2,FALSE),"")</f>
        <v/>
      </c>
      <c r="C1249" s="16">
        <f>IFERROR(SUMIF(Consolidado!$B$1:$B$1500,VLOOKUP(RegistroPago!A1249,Consolidado!$B$1:$L$1500,1,FALSE),Consolidado!$G$1:$G$1500),"")</f>
        <v>0</v>
      </c>
      <c r="D1249" s="3"/>
      <c r="E1249" s="3"/>
      <c r="F1249" s="5" t="str">
        <f t="shared" si="79"/>
        <v/>
      </c>
      <c r="G1249" s="16" t="str">
        <f>IF(D1249&lt;&gt;"",D1249-VLOOKUP(A1249,Consolidado!$B$1:$L$1500,8,FALSE),"")</f>
        <v/>
      </c>
      <c r="H1249" s="31"/>
      <c r="I1249" s="32">
        <f t="shared" si="76"/>
        <v>0</v>
      </c>
      <c r="J1249" s="33" t="str">
        <f t="shared" si="77"/>
        <v/>
      </c>
      <c r="K1249" s="2"/>
      <c r="L1249" s="15"/>
      <c r="M1249" s="34">
        <f t="shared" si="78"/>
        <v>0</v>
      </c>
    </row>
    <row r="1250" spans="1:13" x14ac:dyDescent="0.25">
      <c r="A1250" s="31"/>
      <c r="B1250" s="16" t="str">
        <f>IFERROR(VLOOKUP(A1250,Consolidado!$B$1:$L$1500,2,FALSE),"")</f>
        <v/>
      </c>
      <c r="C1250" s="16">
        <f>IFERROR(SUMIF(Consolidado!$B$1:$B$1500,VLOOKUP(RegistroPago!A1250,Consolidado!$B$1:$L$1500,1,FALSE),Consolidado!$G$1:$G$1500),"")</f>
        <v>0</v>
      </c>
      <c r="D1250" s="3"/>
      <c r="E1250" s="3"/>
      <c r="F1250" s="5" t="str">
        <f t="shared" si="79"/>
        <v/>
      </c>
      <c r="G1250" s="16" t="str">
        <f>IF(D1250&lt;&gt;"",D1250-VLOOKUP(A1250,Consolidado!$B$1:$L$1500,8,FALSE),"")</f>
        <v/>
      </c>
      <c r="H1250" s="31"/>
      <c r="I1250" s="32">
        <f t="shared" si="76"/>
        <v>0</v>
      </c>
      <c r="J1250" s="33" t="str">
        <f t="shared" si="77"/>
        <v/>
      </c>
      <c r="K1250" s="2"/>
      <c r="L1250" s="15"/>
      <c r="M1250" s="34">
        <f t="shared" si="78"/>
        <v>0</v>
      </c>
    </row>
    <row r="1251" spans="1:13" x14ac:dyDescent="0.25">
      <c r="A1251" s="31"/>
      <c r="B1251" s="16" t="str">
        <f>IFERROR(VLOOKUP(A1251,Consolidado!$B$1:$L$1500,2,FALSE),"")</f>
        <v/>
      </c>
      <c r="C1251" s="16">
        <f>IFERROR(SUMIF(Consolidado!$B$1:$B$1500,VLOOKUP(RegistroPago!A1251,Consolidado!$B$1:$L$1500,1,FALSE),Consolidado!$G$1:$G$1500),"")</f>
        <v>0</v>
      </c>
      <c r="D1251" s="3"/>
      <c r="E1251" s="3"/>
      <c r="F1251" s="5" t="str">
        <f t="shared" si="79"/>
        <v/>
      </c>
      <c r="G1251" s="16" t="str">
        <f>IF(D1251&lt;&gt;"",D1251-VLOOKUP(A1251,Consolidado!$B$1:$L$1500,8,FALSE),"")</f>
        <v/>
      </c>
      <c r="H1251" s="31"/>
      <c r="I1251" s="32">
        <f t="shared" si="76"/>
        <v>0</v>
      </c>
      <c r="J1251" s="33" t="str">
        <f t="shared" si="77"/>
        <v/>
      </c>
      <c r="K1251" s="2"/>
      <c r="L1251" s="15"/>
      <c r="M1251" s="34">
        <f t="shared" si="78"/>
        <v>0</v>
      </c>
    </row>
    <row r="1252" spans="1:13" x14ac:dyDescent="0.25">
      <c r="A1252" s="31"/>
      <c r="B1252" s="16" t="str">
        <f>IFERROR(VLOOKUP(A1252,Consolidado!$B$1:$L$1500,2,FALSE),"")</f>
        <v/>
      </c>
      <c r="C1252" s="16">
        <f>IFERROR(SUMIF(Consolidado!$B$1:$B$1500,VLOOKUP(RegistroPago!A1252,Consolidado!$B$1:$L$1500,1,FALSE),Consolidado!$G$1:$G$1500),"")</f>
        <v>0</v>
      </c>
      <c r="D1252" s="3"/>
      <c r="E1252" s="3"/>
      <c r="F1252" s="5" t="str">
        <f t="shared" si="79"/>
        <v/>
      </c>
      <c r="G1252" s="16" t="str">
        <f>IF(D1252&lt;&gt;"",D1252-VLOOKUP(A1252,Consolidado!$B$1:$L$1500,8,FALSE),"")</f>
        <v/>
      </c>
      <c r="H1252" s="31"/>
      <c r="I1252" s="32">
        <f t="shared" si="76"/>
        <v>0</v>
      </c>
      <c r="J1252" s="33" t="str">
        <f t="shared" si="77"/>
        <v/>
      </c>
      <c r="K1252" s="2"/>
      <c r="L1252" s="15"/>
      <c r="M1252" s="34">
        <f t="shared" si="78"/>
        <v>0</v>
      </c>
    </row>
    <row r="1253" spans="1:13" x14ac:dyDescent="0.25">
      <c r="A1253" s="31"/>
      <c r="B1253" s="16" t="str">
        <f>IFERROR(VLOOKUP(A1253,Consolidado!$B$1:$L$1500,2,FALSE),"")</f>
        <v/>
      </c>
      <c r="C1253" s="16">
        <f>IFERROR(SUMIF(Consolidado!$B$1:$B$1500,VLOOKUP(RegistroPago!A1253,Consolidado!$B$1:$L$1500,1,FALSE),Consolidado!$G$1:$G$1500),"")</f>
        <v>0</v>
      </c>
      <c r="D1253" s="3"/>
      <c r="E1253" s="3"/>
      <c r="F1253" s="5" t="str">
        <f t="shared" si="79"/>
        <v/>
      </c>
      <c r="G1253" s="16" t="str">
        <f>IF(D1253&lt;&gt;"",D1253-VLOOKUP(A1253,Consolidado!$B$1:$L$1500,8,FALSE),"")</f>
        <v/>
      </c>
      <c r="H1253" s="31"/>
      <c r="I1253" s="32">
        <f t="shared" si="76"/>
        <v>0</v>
      </c>
      <c r="J1253" s="33" t="str">
        <f t="shared" si="77"/>
        <v/>
      </c>
      <c r="K1253" s="2"/>
      <c r="L1253" s="15"/>
      <c r="M1253" s="34">
        <f t="shared" si="78"/>
        <v>0</v>
      </c>
    </row>
    <row r="1254" spans="1:13" x14ac:dyDescent="0.25">
      <c r="A1254" s="31"/>
      <c r="B1254" s="16" t="str">
        <f>IFERROR(VLOOKUP(A1254,Consolidado!$B$1:$L$1500,2,FALSE),"")</f>
        <v/>
      </c>
      <c r="C1254" s="16">
        <f>IFERROR(SUMIF(Consolidado!$B$1:$B$1500,VLOOKUP(RegistroPago!A1254,Consolidado!$B$1:$L$1500,1,FALSE),Consolidado!$G$1:$G$1500),"")</f>
        <v>0</v>
      </c>
      <c r="D1254" s="3"/>
      <c r="E1254" s="3"/>
      <c r="F1254" s="5" t="str">
        <f t="shared" si="79"/>
        <v/>
      </c>
      <c r="G1254" s="16" t="str">
        <f>IF(D1254&lt;&gt;"",D1254-VLOOKUP(A1254,Consolidado!$B$1:$L$1500,8,FALSE),"")</f>
        <v/>
      </c>
      <c r="H1254" s="31"/>
      <c r="I1254" s="32">
        <f t="shared" si="76"/>
        <v>0</v>
      </c>
      <c r="J1254" s="33" t="str">
        <f t="shared" si="77"/>
        <v/>
      </c>
      <c r="K1254" s="2"/>
      <c r="L1254" s="15"/>
      <c r="M1254" s="34">
        <f t="shared" si="78"/>
        <v>0</v>
      </c>
    </row>
    <row r="1255" spans="1:13" x14ac:dyDescent="0.25">
      <c r="A1255" s="31"/>
      <c r="B1255" s="16" t="str">
        <f>IFERROR(VLOOKUP(A1255,Consolidado!$B$1:$L$1500,2,FALSE),"")</f>
        <v/>
      </c>
      <c r="C1255" s="16">
        <f>IFERROR(SUMIF(Consolidado!$B$1:$B$1500,VLOOKUP(RegistroPago!A1255,Consolidado!$B$1:$L$1500,1,FALSE),Consolidado!$G$1:$G$1500),"")</f>
        <v>0</v>
      </c>
      <c r="D1255" s="3"/>
      <c r="E1255" s="3"/>
      <c r="F1255" s="5" t="str">
        <f t="shared" si="79"/>
        <v/>
      </c>
      <c r="G1255" s="16" t="str">
        <f>IF(D1255&lt;&gt;"",D1255-VLOOKUP(A1255,Consolidado!$B$1:$L$1500,8,FALSE),"")</f>
        <v/>
      </c>
      <c r="H1255" s="31"/>
      <c r="I1255" s="32">
        <f t="shared" si="76"/>
        <v>0</v>
      </c>
      <c r="J1255" s="33" t="str">
        <f t="shared" si="77"/>
        <v/>
      </c>
      <c r="K1255" s="2"/>
      <c r="L1255" s="15"/>
      <c r="M1255" s="34">
        <f t="shared" si="78"/>
        <v>0</v>
      </c>
    </row>
    <row r="1256" spans="1:13" x14ac:dyDescent="0.25">
      <c r="A1256" s="31"/>
      <c r="B1256" s="16" t="str">
        <f>IFERROR(VLOOKUP(A1256,Consolidado!$B$1:$L$1500,2,FALSE),"")</f>
        <v/>
      </c>
      <c r="C1256" s="16">
        <f>IFERROR(SUMIF(Consolidado!$B$1:$B$1500,VLOOKUP(RegistroPago!A1256,Consolidado!$B$1:$L$1500,1,FALSE),Consolidado!$G$1:$G$1500),"")</f>
        <v>0</v>
      </c>
      <c r="D1256" s="3"/>
      <c r="E1256" s="3"/>
      <c r="F1256" s="5" t="str">
        <f t="shared" si="79"/>
        <v/>
      </c>
      <c r="G1256" s="16" t="str">
        <f>IF(D1256&lt;&gt;"",D1256-VLOOKUP(A1256,Consolidado!$B$1:$L$1500,8,FALSE),"")</f>
        <v/>
      </c>
      <c r="H1256" s="31"/>
      <c r="I1256" s="32">
        <f t="shared" si="76"/>
        <v>0</v>
      </c>
      <c r="J1256" s="33" t="str">
        <f t="shared" si="77"/>
        <v/>
      </c>
      <c r="K1256" s="2"/>
      <c r="L1256" s="15"/>
      <c r="M1256" s="34">
        <f t="shared" si="78"/>
        <v>0</v>
      </c>
    </row>
    <row r="1257" spans="1:13" x14ac:dyDescent="0.25">
      <c r="A1257" s="31"/>
      <c r="B1257" s="16" t="str">
        <f>IFERROR(VLOOKUP(A1257,Consolidado!$B$1:$L$1500,2,FALSE),"")</f>
        <v/>
      </c>
      <c r="C1257" s="16">
        <f>IFERROR(SUMIF(Consolidado!$B$1:$B$1500,VLOOKUP(RegistroPago!A1257,Consolidado!$B$1:$L$1500,1,FALSE),Consolidado!$G$1:$G$1500),"")</f>
        <v>0</v>
      </c>
      <c r="D1257" s="3"/>
      <c r="E1257" s="3"/>
      <c r="F1257" s="5" t="str">
        <f t="shared" si="79"/>
        <v/>
      </c>
      <c r="G1257" s="16" t="str">
        <f>IF(D1257&lt;&gt;"",D1257-VLOOKUP(A1257,Consolidado!$B$1:$L$1500,8,FALSE),"")</f>
        <v/>
      </c>
      <c r="H1257" s="31"/>
      <c r="I1257" s="32">
        <f t="shared" ref="I1257:I1320" si="80">IFERROR(SUMIF($E$1:$E$2000,H1257,$C$1:$C$2000)-SUMIF($E$1:$E$2000,H1257,$F$1:$F$2000),"")</f>
        <v>0</v>
      </c>
      <c r="J1257" s="33" t="str">
        <f t="shared" ref="J1257:J1320" si="81">IFERROR(I1257/SUMIF($E$1:$E$2000,H1257,$C$1:$C$2000),"")</f>
        <v/>
      </c>
      <c r="K1257" s="2"/>
      <c r="L1257" s="15"/>
      <c r="M1257" s="34">
        <f t="shared" ref="M1257:M1320" si="82">IFERROR(L1257*SUMIF($E$1:$E$2000,H1257,$F$1:$F$2000),"")</f>
        <v>0</v>
      </c>
    </row>
    <row r="1258" spans="1:13" x14ac:dyDescent="0.25">
      <c r="A1258" s="31"/>
      <c r="B1258" s="16" t="str">
        <f>IFERROR(VLOOKUP(A1258,Consolidado!$B$1:$L$1500,2,FALSE),"")</f>
        <v/>
      </c>
      <c r="C1258" s="16">
        <f>IFERROR(SUMIF(Consolidado!$B$1:$B$1500,VLOOKUP(RegistroPago!A1258,Consolidado!$B$1:$L$1500,1,FALSE),Consolidado!$G$1:$G$1500),"")</f>
        <v>0</v>
      </c>
      <c r="D1258" s="3"/>
      <c r="E1258" s="3"/>
      <c r="F1258" s="5" t="str">
        <f t="shared" si="79"/>
        <v/>
      </c>
      <c r="G1258" s="16" t="str">
        <f>IF(D1258&lt;&gt;"",D1258-VLOOKUP(A1258,Consolidado!$B$1:$L$1500,8,FALSE),"")</f>
        <v/>
      </c>
      <c r="H1258" s="31"/>
      <c r="I1258" s="32">
        <f t="shared" si="80"/>
        <v>0</v>
      </c>
      <c r="J1258" s="33" t="str">
        <f t="shared" si="81"/>
        <v/>
      </c>
      <c r="K1258" s="2"/>
      <c r="L1258" s="15"/>
      <c r="M1258" s="34">
        <f t="shared" si="82"/>
        <v>0</v>
      </c>
    </row>
    <row r="1259" spans="1:13" x14ac:dyDescent="0.25">
      <c r="A1259" s="31"/>
      <c r="B1259" s="16" t="str">
        <f>IFERROR(VLOOKUP(A1259,Consolidado!$B$1:$L$1500,2,FALSE),"")</f>
        <v/>
      </c>
      <c r="C1259" s="16">
        <f>IFERROR(SUMIF(Consolidado!$B$1:$B$1500,VLOOKUP(RegistroPago!A1259,Consolidado!$B$1:$L$1500,1,FALSE),Consolidado!$G$1:$G$1500),"")</f>
        <v>0</v>
      </c>
      <c r="D1259" s="3"/>
      <c r="E1259" s="3"/>
      <c r="F1259" s="5" t="str">
        <f t="shared" si="79"/>
        <v/>
      </c>
      <c r="G1259" s="16" t="str">
        <f>IF(D1259&lt;&gt;"",D1259-VLOOKUP(A1259,Consolidado!$B$1:$L$1500,8,FALSE),"")</f>
        <v/>
      </c>
      <c r="H1259" s="31"/>
      <c r="I1259" s="32">
        <f t="shared" si="80"/>
        <v>0</v>
      </c>
      <c r="J1259" s="33" t="str">
        <f t="shared" si="81"/>
        <v/>
      </c>
      <c r="K1259" s="2"/>
      <c r="L1259" s="15"/>
      <c r="M1259" s="34">
        <f t="shared" si="82"/>
        <v>0</v>
      </c>
    </row>
    <row r="1260" spans="1:13" x14ac:dyDescent="0.25">
      <c r="A1260" s="31"/>
      <c r="B1260" s="16" t="str">
        <f>IFERROR(VLOOKUP(A1260,Consolidado!$B$1:$L$1500,2,FALSE),"")</f>
        <v/>
      </c>
      <c r="C1260" s="16">
        <f>IFERROR(SUMIF(Consolidado!$B$1:$B$1500,VLOOKUP(RegistroPago!A1260,Consolidado!$B$1:$L$1500,1,FALSE),Consolidado!$G$1:$G$1500),"")</f>
        <v>0</v>
      </c>
      <c r="D1260" s="3"/>
      <c r="E1260" s="3"/>
      <c r="F1260" s="5" t="str">
        <f t="shared" si="79"/>
        <v/>
      </c>
      <c r="G1260" s="16" t="str">
        <f>IF(D1260&lt;&gt;"",D1260-VLOOKUP(A1260,Consolidado!$B$1:$L$1500,8,FALSE),"")</f>
        <v/>
      </c>
      <c r="H1260" s="31"/>
      <c r="I1260" s="32">
        <f t="shared" si="80"/>
        <v>0</v>
      </c>
      <c r="J1260" s="33" t="str">
        <f t="shared" si="81"/>
        <v/>
      </c>
      <c r="K1260" s="2"/>
      <c r="L1260" s="15"/>
      <c r="M1260" s="34">
        <f t="shared" si="82"/>
        <v>0</v>
      </c>
    </row>
    <row r="1261" spans="1:13" x14ac:dyDescent="0.25">
      <c r="A1261" s="31"/>
      <c r="B1261" s="16" t="str">
        <f>IFERROR(VLOOKUP(A1261,Consolidado!$B$1:$L$1500,2,FALSE),"")</f>
        <v/>
      </c>
      <c r="C1261" s="16">
        <f>IFERROR(SUMIF(Consolidado!$B$1:$B$1500,VLOOKUP(RegistroPago!A1261,Consolidado!$B$1:$L$1500,1,FALSE),Consolidado!$G$1:$G$1500),"")</f>
        <v>0</v>
      </c>
      <c r="D1261" s="3"/>
      <c r="E1261" s="3"/>
      <c r="F1261" s="5" t="str">
        <f t="shared" si="79"/>
        <v/>
      </c>
      <c r="G1261" s="16" t="str">
        <f>IF(D1261&lt;&gt;"",D1261-VLOOKUP(A1261,Consolidado!$B$1:$L$1500,8,FALSE),"")</f>
        <v/>
      </c>
      <c r="H1261" s="31"/>
      <c r="I1261" s="32">
        <f t="shared" si="80"/>
        <v>0</v>
      </c>
      <c r="J1261" s="33" t="str">
        <f t="shared" si="81"/>
        <v/>
      </c>
      <c r="K1261" s="2"/>
      <c r="L1261" s="15"/>
      <c r="M1261" s="34">
        <f t="shared" si="82"/>
        <v>0</v>
      </c>
    </row>
    <row r="1262" spans="1:13" x14ac:dyDescent="0.25">
      <c r="A1262" s="31"/>
      <c r="B1262" s="16" t="str">
        <f>IFERROR(VLOOKUP(A1262,Consolidado!$B$1:$L$1500,2,FALSE),"")</f>
        <v/>
      </c>
      <c r="C1262" s="16">
        <f>IFERROR(SUMIF(Consolidado!$B$1:$B$1500,VLOOKUP(RegistroPago!A1262,Consolidado!$B$1:$L$1500,1,FALSE),Consolidado!$G$1:$G$1500),"")</f>
        <v>0</v>
      </c>
      <c r="D1262" s="3"/>
      <c r="E1262" s="3"/>
      <c r="F1262" s="5" t="str">
        <f t="shared" si="79"/>
        <v/>
      </c>
      <c r="G1262" s="16" t="str">
        <f>IF(D1262&lt;&gt;"",D1262-VLOOKUP(A1262,Consolidado!$B$1:$L$1500,8,FALSE),"")</f>
        <v/>
      </c>
      <c r="H1262" s="31"/>
      <c r="I1262" s="32">
        <f t="shared" si="80"/>
        <v>0</v>
      </c>
      <c r="J1262" s="33" t="str">
        <f t="shared" si="81"/>
        <v/>
      </c>
      <c r="K1262" s="2"/>
      <c r="L1262" s="15"/>
      <c r="M1262" s="34">
        <f t="shared" si="82"/>
        <v>0</v>
      </c>
    </row>
    <row r="1263" spans="1:13" x14ac:dyDescent="0.25">
      <c r="A1263" s="31"/>
      <c r="B1263" s="16" t="str">
        <f>IFERROR(VLOOKUP(A1263,Consolidado!$B$1:$L$1500,2,FALSE),"")</f>
        <v/>
      </c>
      <c r="C1263" s="16">
        <f>IFERROR(SUMIF(Consolidado!$B$1:$B$1500,VLOOKUP(RegistroPago!A1263,Consolidado!$B$1:$L$1500,1,FALSE),Consolidado!$G$1:$G$1500),"")</f>
        <v>0</v>
      </c>
      <c r="D1263" s="3"/>
      <c r="E1263" s="3"/>
      <c r="F1263" s="5" t="str">
        <f t="shared" si="79"/>
        <v/>
      </c>
      <c r="G1263" s="16" t="str">
        <f>IF(D1263&lt;&gt;"",D1263-VLOOKUP(A1263,Consolidado!$B$1:$L$1500,8,FALSE),"")</f>
        <v/>
      </c>
      <c r="H1263" s="31"/>
      <c r="I1263" s="32">
        <f t="shared" si="80"/>
        <v>0</v>
      </c>
      <c r="J1263" s="33" t="str">
        <f t="shared" si="81"/>
        <v/>
      </c>
      <c r="K1263" s="2"/>
      <c r="L1263" s="15"/>
      <c r="M1263" s="34">
        <f t="shared" si="82"/>
        <v>0</v>
      </c>
    </row>
    <row r="1264" spans="1:13" x14ac:dyDescent="0.25">
      <c r="A1264" s="31"/>
      <c r="B1264" s="16" t="str">
        <f>IFERROR(VLOOKUP(A1264,Consolidado!$B$1:$L$1500,2,FALSE),"")</f>
        <v/>
      </c>
      <c r="C1264" s="16">
        <f>IFERROR(SUMIF(Consolidado!$B$1:$B$1500,VLOOKUP(RegistroPago!A1264,Consolidado!$B$1:$L$1500,1,FALSE),Consolidado!$G$1:$G$1500),"")</f>
        <v>0</v>
      </c>
      <c r="D1264" s="3"/>
      <c r="E1264" s="3"/>
      <c r="F1264" s="5" t="str">
        <f t="shared" si="79"/>
        <v/>
      </c>
      <c r="G1264" s="16" t="str">
        <f>IF(D1264&lt;&gt;"",D1264-VLOOKUP(A1264,Consolidado!$B$1:$L$1500,8,FALSE),"")</f>
        <v/>
      </c>
      <c r="H1264" s="31"/>
      <c r="I1264" s="32">
        <f t="shared" si="80"/>
        <v>0</v>
      </c>
      <c r="J1264" s="33" t="str">
        <f t="shared" si="81"/>
        <v/>
      </c>
      <c r="K1264" s="2"/>
      <c r="L1264" s="15"/>
      <c r="M1264" s="34">
        <f t="shared" si="82"/>
        <v>0</v>
      </c>
    </row>
    <row r="1265" spans="1:13" x14ac:dyDescent="0.25">
      <c r="A1265" s="31"/>
      <c r="B1265" s="16" t="str">
        <f>IFERROR(VLOOKUP(A1265,Consolidado!$B$1:$L$1500,2,FALSE),"")</f>
        <v/>
      </c>
      <c r="C1265" s="16">
        <f>IFERROR(SUMIF(Consolidado!$B$1:$B$1500,VLOOKUP(RegistroPago!A1265,Consolidado!$B$1:$L$1500,1,FALSE),Consolidado!$G$1:$G$1500),"")</f>
        <v>0</v>
      </c>
      <c r="D1265" s="3"/>
      <c r="E1265" s="3"/>
      <c r="F1265" s="5" t="str">
        <f t="shared" si="79"/>
        <v/>
      </c>
      <c r="G1265" s="16" t="str">
        <f>IF(D1265&lt;&gt;"",D1265-VLOOKUP(A1265,Consolidado!$B$1:$L$1500,8,FALSE),"")</f>
        <v/>
      </c>
      <c r="H1265" s="31"/>
      <c r="I1265" s="32">
        <f t="shared" si="80"/>
        <v>0</v>
      </c>
      <c r="J1265" s="33" t="str">
        <f t="shared" si="81"/>
        <v/>
      </c>
      <c r="K1265" s="2"/>
      <c r="L1265" s="15"/>
      <c r="M1265" s="34">
        <f t="shared" si="82"/>
        <v>0</v>
      </c>
    </row>
    <row r="1266" spans="1:13" x14ac:dyDescent="0.25">
      <c r="A1266" s="31"/>
      <c r="B1266" s="16" t="str">
        <f>IFERROR(VLOOKUP(A1266,Consolidado!$B$1:$L$1500,2,FALSE),"")</f>
        <v/>
      </c>
      <c r="C1266" s="16">
        <f>IFERROR(SUMIF(Consolidado!$B$1:$B$1500,VLOOKUP(RegistroPago!A1266,Consolidado!$B$1:$L$1500,1,FALSE),Consolidado!$G$1:$G$1500),"")</f>
        <v>0</v>
      </c>
      <c r="D1266" s="3"/>
      <c r="E1266" s="3"/>
      <c r="F1266" s="5" t="str">
        <f t="shared" si="79"/>
        <v/>
      </c>
      <c r="G1266" s="16" t="str">
        <f>IF(D1266&lt;&gt;"",D1266-VLOOKUP(A1266,Consolidado!$B$1:$L$1500,8,FALSE),"")</f>
        <v/>
      </c>
      <c r="H1266" s="31"/>
      <c r="I1266" s="32">
        <f t="shared" si="80"/>
        <v>0</v>
      </c>
      <c r="J1266" s="33" t="str">
        <f t="shared" si="81"/>
        <v/>
      </c>
      <c r="K1266" s="2"/>
      <c r="L1266" s="15"/>
      <c r="M1266" s="34">
        <f t="shared" si="82"/>
        <v>0</v>
      </c>
    </row>
    <row r="1267" spans="1:13" x14ac:dyDescent="0.25">
      <c r="A1267" s="31"/>
      <c r="B1267" s="16" t="str">
        <f>IFERROR(VLOOKUP(A1267,Consolidado!$B$1:$L$1500,2,FALSE),"")</f>
        <v/>
      </c>
      <c r="C1267" s="16">
        <f>IFERROR(SUMIF(Consolidado!$B$1:$B$1500,VLOOKUP(RegistroPago!A1267,Consolidado!$B$1:$L$1500,1,FALSE),Consolidado!$G$1:$G$1500),"")</f>
        <v>0</v>
      </c>
      <c r="D1267" s="3"/>
      <c r="E1267" s="3"/>
      <c r="F1267" s="5" t="str">
        <f t="shared" si="79"/>
        <v/>
      </c>
      <c r="G1267" s="16" t="str">
        <f>IF(D1267&lt;&gt;"",D1267-VLOOKUP(A1267,Consolidado!$B$1:$L$1500,8,FALSE),"")</f>
        <v/>
      </c>
      <c r="H1267" s="31"/>
      <c r="I1267" s="32">
        <f t="shared" si="80"/>
        <v>0</v>
      </c>
      <c r="J1267" s="33" t="str">
        <f t="shared" si="81"/>
        <v/>
      </c>
      <c r="K1267" s="2"/>
      <c r="L1267" s="15"/>
      <c r="M1267" s="34">
        <f t="shared" si="82"/>
        <v>0</v>
      </c>
    </row>
    <row r="1268" spans="1:13" x14ac:dyDescent="0.25">
      <c r="A1268" s="31"/>
      <c r="B1268" s="16" t="str">
        <f>IFERROR(VLOOKUP(A1268,Consolidado!$B$1:$L$1500,2,FALSE),"")</f>
        <v/>
      </c>
      <c r="C1268" s="16">
        <f>IFERROR(SUMIF(Consolidado!$B$1:$B$1500,VLOOKUP(RegistroPago!A1268,Consolidado!$B$1:$L$1500,1,FALSE),Consolidado!$G$1:$G$1500),"")</f>
        <v>0</v>
      </c>
      <c r="D1268" s="3"/>
      <c r="E1268" s="3"/>
      <c r="F1268" s="5" t="str">
        <f t="shared" si="79"/>
        <v/>
      </c>
      <c r="G1268" s="16" t="str">
        <f>IF(D1268&lt;&gt;"",D1268-VLOOKUP(A1268,Consolidado!$B$1:$L$1500,8,FALSE),"")</f>
        <v/>
      </c>
      <c r="H1268" s="31"/>
      <c r="I1268" s="32">
        <f t="shared" si="80"/>
        <v>0</v>
      </c>
      <c r="J1268" s="33" t="str">
        <f t="shared" si="81"/>
        <v/>
      </c>
      <c r="K1268" s="2"/>
      <c r="L1268" s="15"/>
      <c r="M1268" s="34">
        <f t="shared" si="82"/>
        <v>0</v>
      </c>
    </row>
    <row r="1269" spans="1:13" x14ac:dyDescent="0.25">
      <c r="A1269" s="31"/>
      <c r="B1269" s="16" t="str">
        <f>IFERROR(VLOOKUP(A1269,Consolidado!$B$1:$L$1500,2,FALSE),"")</f>
        <v/>
      </c>
      <c r="C1269" s="16">
        <f>IFERROR(SUMIF(Consolidado!$B$1:$B$1500,VLOOKUP(RegistroPago!A1269,Consolidado!$B$1:$L$1500,1,FALSE),Consolidado!$G$1:$G$1500),"")</f>
        <v>0</v>
      </c>
      <c r="D1269" s="3"/>
      <c r="E1269" s="3"/>
      <c r="F1269" s="5" t="str">
        <f t="shared" si="79"/>
        <v/>
      </c>
      <c r="G1269" s="16" t="str">
        <f>IF(D1269&lt;&gt;"",D1269-VLOOKUP(A1269,Consolidado!$B$1:$L$1500,8,FALSE),"")</f>
        <v/>
      </c>
      <c r="H1269" s="31"/>
      <c r="I1269" s="32">
        <f t="shared" si="80"/>
        <v>0</v>
      </c>
      <c r="J1269" s="33" t="str">
        <f t="shared" si="81"/>
        <v/>
      </c>
      <c r="K1269" s="2"/>
      <c r="L1269" s="15"/>
      <c r="M1269" s="34">
        <f t="shared" si="82"/>
        <v>0</v>
      </c>
    </row>
    <row r="1270" spans="1:13" x14ac:dyDescent="0.25">
      <c r="A1270" s="31"/>
      <c r="B1270" s="16" t="str">
        <f>IFERROR(VLOOKUP(A1270,Consolidado!$B$1:$L$1500,2,FALSE),"")</f>
        <v/>
      </c>
      <c r="C1270" s="16">
        <f>IFERROR(SUMIF(Consolidado!$B$1:$B$1500,VLOOKUP(RegistroPago!A1270,Consolidado!$B$1:$L$1500,1,FALSE),Consolidado!$G$1:$G$1500),"")</f>
        <v>0</v>
      </c>
      <c r="D1270" s="3"/>
      <c r="E1270" s="3"/>
      <c r="F1270" s="5" t="str">
        <f t="shared" si="79"/>
        <v/>
      </c>
      <c r="G1270" s="16" t="str">
        <f>IF(D1270&lt;&gt;"",D1270-VLOOKUP(A1270,Consolidado!$B$1:$L$1500,8,FALSE),"")</f>
        <v/>
      </c>
      <c r="H1270" s="31"/>
      <c r="I1270" s="32">
        <f t="shared" si="80"/>
        <v>0</v>
      </c>
      <c r="J1270" s="33" t="str">
        <f t="shared" si="81"/>
        <v/>
      </c>
      <c r="K1270" s="2"/>
      <c r="L1270" s="15"/>
      <c r="M1270" s="34">
        <f t="shared" si="82"/>
        <v>0</v>
      </c>
    </row>
    <row r="1271" spans="1:13" x14ac:dyDescent="0.25">
      <c r="A1271" s="31"/>
      <c r="B1271" s="16" t="str">
        <f>IFERROR(VLOOKUP(A1271,Consolidado!$B$1:$L$1500,2,FALSE),"")</f>
        <v/>
      </c>
      <c r="C1271" s="16">
        <f>IFERROR(SUMIF(Consolidado!$B$1:$B$1500,VLOOKUP(RegistroPago!A1271,Consolidado!$B$1:$L$1500,1,FALSE),Consolidado!$G$1:$G$1500),"")</f>
        <v>0</v>
      </c>
      <c r="D1271" s="3"/>
      <c r="E1271" s="3"/>
      <c r="F1271" s="5" t="str">
        <f t="shared" si="79"/>
        <v/>
      </c>
      <c r="G1271" s="16" t="str">
        <f>IF(D1271&lt;&gt;"",D1271-VLOOKUP(A1271,Consolidado!$B$1:$L$1500,8,FALSE),"")</f>
        <v/>
      </c>
      <c r="H1271" s="31"/>
      <c r="I1271" s="32">
        <f t="shared" si="80"/>
        <v>0</v>
      </c>
      <c r="J1271" s="33" t="str">
        <f t="shared" si="81"/>
        <v/>
      </c>
      <c r="K1271" s="2"/>
      <c r="L1271" s="15"/>
      <c r="M1271" s="34">
        <f t="shared" si="82"/>
        <v>0</v>
      </c>
    </row>
    <row r="1272" spans="1:13" x14ac:dyDescent="0.25">
      <c r="A1272" s="31"/>
      <c r="B1272" s="16" t="str">
        <f>IFERROR(VLOOKUP(A1272,Consolidado!$B$1:$L$1500,2,FALSE),"")</f>
        <v/>
      </c>
      <c r="C1272" s="16">
        <f>IFERROR(SUMIF(Consolidado!$B$1:$B$1500,VLOOKUP(RegistroPago!A1272,Consolidado!$B$1:$L$1500,1,FALSE),Consolidado!$G$1:$G$1500),"")</f>
        <v>0</v>
      </c>
      <c r="D1272" s="3"/>
      <c r="E1272" s="3"/>
      <c r="F1272" s="5" t="str">
        <f t="shared" si="79"/>
        <v/>
      </c>
      <c r="G1272" s="16" t="str">
        <f>IF(D1272&lt;&gt;"",D1272-VLOOKUP(A1272,Consolidado!$B$1:$L$1500,8,FALSE),"")</f>
        <v/>
      </c>
      <c r="H1272" s="31"/>
      <c r="I1272" s="32">
        <f t="shared" si="80"/>
        <v>0</v>
      </c>
      <c r="J1272" s="33" t="str">
        <f t="shared" si="81"/>
        <v/>
      </c>
      <c r="K1272" s="2"/>
      <c r="L1272" s="15"/>
      <c r="M1272" s="34">
        <f t="shared" si="82"/>
        <v>0</v>
      </c>
    </row>
    <row r="1273" spans="1:13" x14ac:dyDescent="0.25">
      <c r="A1273" s="31"/>
      <c r="B1273" s="16" t="str">
        <f>IFERROR(VLOOKUP(A1273,Consolidado!$B$1:$L$1500,2,FALSE),"")</f>
        <v/>
      </c>
      <c r="C1273" s="16">
        <f>IFERROR(SUMIF(Consolidado!$B$1:$B$1500,VLOOKUP(RegistroPago!A1273,Consolidado!$B$1:$L$1500,1,FALSE),Consolidado!$G$1:$G$1500),"")</f>
        <v>0</v>
      </c>
      <c r="D1273" s="3"/>
      <c r="E1273" s="3"/>
      <c r="F1273" s="5" t="str">
        <f t="shared" si="79"/>
        <v/>
      </c>
      <c r="G1273" s="16" t="str">
        <f>IF(D1273&lt;&gt;"",D1273-VLOOKUP(A1273,Consolidado!$B$1:$L$1500,8,FALSE),"")</f>
        <v/>
      </c>
      <c r="H1273" s="31"/>
      <c r="I1273" s="32">
        <f t="shared" si="80"/>
        <v>0</v>
      </c>
      <c r="J1273" s="33" t="str">
        <f t="shared" si="81"/>
        <v/>
      </c>
      <c r="K1273" s="2"/>
      <c r="L1273" s="15"/>
      <c r="M1273" s="34">
        <f t="shared" si="82"/>
        <v>0</v>
      </c>
    </row>
    <row r="1274" spans="1:13" x14ac:dyDescent="0.25">
      <c r="A1274" s="31"/>
      <c r="B1274" s="16" t="str">
        <f>IFERROR(VLOOKUP(A1274,Consolidado!$B$1:$L$1500,2,FALSE),"")</f>
        <v/>
      </c>
      <c r="C1274" s="16">
        <f>IFERROR(SUMIF(Consolidado!$B$1:$B$1500,VLOOKUP(RegistroPago!A1274,Consolidado!$B$1:$L$1500,1,FALSE),Consolidado!$G$1:$G$1500),"")</f>
        <v>0</v>
      </c>
      <c r="D1274" s="3"/>
      <c r="E1274" s="3"/>
      <c r="F1274" s="5" t="str">
        <f t="shared" si="79"/>
        <v/>
      </c>
      <c r="G1274" s="16" t="str">
        <f>IF(D1274&lt;&gt;"",D1274-VLOOKUP(A1274,Consolidado!$B$1:$L$1500,8,FALSE),"")</f>
        <v/>
      </c>
      <c r="H1274" s="31"/>
      <c r="I1274" s="32">
        <f t="shared" si="80"/>
        <v>0</v>
      </c>
      <c r="J1274" s="33" t="str">
        <f t="shared" si="81"/>
        <v/>
      </c>
      <c r="K1274" s="2"/>
      <c r="L1274" s="15"/>
      <c r="M1274" s="34">
        <f t="shared" si="82"/>
        <v>0</v>
      </c>
    </row>
    <row r="1275" spans="1:13" x14ac:dyDescent="0.25">
      <c r="A1275" s="31"/>
      <c r="B1275" s="16" t="str">
        <f>IFERROR(VLOOKUP(A1275,Consolidado!$B$1:$L$1500,2,FALSE),"")</f>
        <v/>
      </c>
      <c r="C1275" s="16">
        <f>IFERROR(SUMIF(Consolidado!$B$1:$B$1500,VLOOKUP(RegistroPago!A1275,Consolidado!$B$1:$L$1500,1,FALSE),Consolidado!$G$1:$G$1500),"")</f>
        <v>0</v>
      </c>
      <c r="D1275" s="3"/>
      <c r="E1275" s="3"/>
      <c r="F1275" s="5" t="str">
        <f t="shared" si="79"/>
        <v/>
      </c>
      <c r="G1275" s="16" t="str">
        <f>IF(D1275&lt;&gt;"",D1275-VLOOKUP(A1275,Consolidado!$B$1:$L$1500,8,FALSE),"")</f>
        <v/>
      </c>
      <c r="H1275" s="31"/>
      <c r="I1275" s="32">
        <f t="shared" si="80"/>
        <v>0</v>
      </c>
      <c r="J1275" s="33" t="str">
        <f t="shared" si="81"/>
        <v/>
      </c>
      <c r="K1275" s="2"/>
      <c r="L1275" s="15"/>
      <c r="M1275" s="34">
        <f t="shared" si="82"/>
        <v>0</v>
      </c>
    </row>
    <row r="1276" spans="1:13" x14ac:dyDescent="0.25">
      <c r="A1276" s="31"/>
      <c r="B1276" s="16" t="str">
        <f>IFERROR(VLOOKUP(A1276,Consolidado!$B$1:$L$1500,2,FALSE),"")</f>
        <v/>
      </c>
      <c r="C1276" s="16">
        <f>IFERROR(SUMIF(Consolidado!$B$1:$B$1500,VLOOKUP(RegistroPago!A1276,Consolidado!$B$1:$L$1500,1,FALSE),Consolidado!$G$1:$G$1500),"")</f>
        <v>0</v>
      </c>
      <c r="D1276" s="3"/>
      <c r="E1276" s="3"/>
      <c r="F1276" s="5" t="str">
        <f t="shared" si="79"/>
        <v/>
      </c>
      <c r="G1276" s="16" t="str">
        <f>IF(D1276&lt;&gt;"",D1276-VLOOKUP(A1276,Consolidado!$B$1:$L$1500,8,FALSE),"")</f>
        <v/>
      </c>
      <c r="H1276" s="31"/>
      <c r="I1276" s="32">
        <f t="shared" si="80"/>
        <v>0</v>
      </c>
      <c r="J1276" s="33" t="str">
        <f t="shared" si="81"/>
        <v/>
      </c>
      <c r="K1276" s="2"/>
      <c r="L1276" s="15"/>
      <c r="M1276" s="34">
        <f t="shared" si="82"/>
        <v>0</v>
      </c>
    </row>
    <row r="1277" spans="1:13" x14ac:dyDescent="0.25">
      <c r="A1277" s="31"/>
      <c r="B1277" s="16" t="str">
        <f>IFERROR(VLOOKUP(A1277,Consolidado!$B$1:$L$1500,2,FALSE),"")</f>
        <v/>
      </c>
      <c r="C1277" s="16">
        <f>IFERROR(SUMIF(Consolidado!$B$1:$B$1500,VLOOKUP(RegistroPago!A1277,Consolidado!$B$1:$L$1500,1,FALSE),Consolidado!$G$1:$G$1500),"")</f>
        <v>0</v>
      </c>
      <c r="D1277" s="3"/>
      <c r="E1277" s="3"/>
      <c r="F1277" s="5" t="str">
        <f t="shared" si="79"/>
        <v/>
      </c>
      <c r="G1277" s="16" t="str">
        <f>IF(D1277&lt;&gt;"",D1277-VLOOKUP(A1277,Consolidado!$B$1:$L$1500,8,FALSE),"")</f>
        <v/>
      </c>
      <c r="H1277" s="31"/>
      <c r="I1277" s="32">
        <f t="shared" si="80"/>
        <v>0</v>
      </c>
      <c r="J1277" s="33" t="str">
        <f t="shared" si="81"/>
        <v/>
      </c>
      <c r="K1277" s="2"/>
      <c r="L1277" s="15"/>
      <c r="M1277" s="34">
        <f t="shared" si="82"/>
        <v>0</v>
      </c>
    </row>
    <row r="1278" spans="1:13" x14ac:dyDescent="0.25">
      <c r="A1278" s="31"/>
      <c r="B1278" s="16" t="str">
        <f>IFERROR(VLOOKUP(A1278,Consolidado!$B$1:$L$1500,2,FALSE),"")</f>
        <v/>
      </c>
      <c r="C1278" s="16">
        <f>IFERROR(SUMIF(Consolidado!$B$1:$B$1500,VLOOKUP(RegistroPago!A1278,Consolidado!$B$1:$L$1500,1,FALSE),Consolidado!$G$1:$G$1500),"")</f>
        <v>0</v>
      </c>
      <c r="D1278" s="3"/>
      <c r="E1278" s="3"/>
      <c r="F1278" s="5" t="str">
        <f t="shared" si="79"/>
        <v/>
      </c>
      <c r="G1278" s="16" t="str">
        <f>IF(D1278&lt;&gt;"",D1278-VLOOKUP(A1278,Consolidado!$B$1:$L$1500,8,FALSE),"")</f>
        <v/>
      </c>
      <c r="H1278" s="31"/>
      <c r="I1278" s="32">
        <f t="shared" si="80"/>
        <v>0</v>
      </c>
      <c r="J1278" s="33" t="str">
        <f t="shared" si="81"/>
        <v/>
      </c>
      <c r="K1278" s="2"/>
      <c r="L1278" s="15"/>
      <c r="M1278" s="34">
        <f t="shared" si="82"/>
        <v>0</v>
      </c>
    </row>
    <row r="1279" spans="1:13" x14ac:dyDescent="0.25">
      <c r="A1279" s="31"/>
      <c r="B1279" s="16" t="str">
        <f>IFERROR(VLOOKUP(A1279,Consolidado!$B$1:$L$1500,2,FALSE),"")</f>
        <v/>
      </c>
      <c r="C1279" s="16">
        <f>IFERROR(SUMIF(Consolidado!$B$1:$B$1500,VLOOKUP(RegistroPago!A1279,Consolidado!$B$1:$L$1500,1,FALSE),Consolidado!$G$1:$G$1500),"")</f>
        <v>0</v>
      </c>
      <c r="D1279" s="3"/>
      <c r="E1279" s="3"/>
      <c r="F1279" s="5" t="str">
        <f t="shared" si="79"/>
        <v/>
      </c>
      <c r="G1279" s="16" t="str">
        <f>IF(D1279&lt;&gt;"",D1279-VLOOKUP(A1279,Consolidado!$B$1:$L$1500,8,FALSE),"")</f>
        <v/>
      </c>
      <c r="H1279" s="31"/>
      <c r="I1279" s="32">
        <f t="shared" si="80"/>
        <v>0</v>
      </c>
      <c r="J1279" s="33" t="str">
        <f t="shared" si="81"/>
        <v/>
      </c>
      <c r="K1279" s="2"/>
      <c r="L1279" s="15"/>
      <c r="M1279" s="34">
        <f t="shared" si="82"/>
        <v>0</v>
      </c>
    </row>
    <row r="1280" spans="1:13" x14ac:dyDescent="0.25">
      <c r="A1280" s="31"/>
      <c r="B1280" s="16" t="str">
        <f>IFERROR(VLOOKUP(A1280,Consolidado!$B$1:$L$1500,2,FALSE),"")</f>
        <v/>
      </c>
      <c r="C1280" s="16">
        <f>IFERROR(SUMIF(Consolidado!$B$1:$B$1500,VLOOKUP(RegistroPago!A1280,Consolidado!$B$1:$L$1500,1,FALSE),Consolidado!$G$1:$G$1500),"")</f>
        <v>0</v>
      </c>
      <c r="D1280" s="3"/>
      <c r="E1280" s="3"/>
      <c r="F1280" s="5" t="str">
        <f t="shared" si="79"/>
        <v/>
      </c>
      <c r="G1280" s="16" t="str">
        <f>IF(D1280&lt;&gt;"",D1280-VLOOKUP(A1280,Consolidado!$B$1:$L$1500,8,FALSE),"")</f>
        <v/>
      </c>
      <c r="H1280" s="31"/>
      <c r="I1280" s="32">
        <f t="shared" si="80"/>
        <v>0</v>
      </c>
      <c r="J1280" s="33" t="str">
        <f t="shared" si="81"/>
        <v/>
      </c>
      <c r="K1280" s="2"/>
      <c r="L1280" s="15"/>
      <c r="M1280" s="34">
        <f t="shared" si="82"/>
        <v>0</v>
      </c>
    </row>
    <row r="1281" spans="1:13" x14ac:dyDescent="0.25">
      <c r="A1281" s="31"/>
      <c r="B1281" s="16" t="str">
        <f>IFERROR(VLOOKUP(A1281,Consolidado!$B$1:$L$1500,2,FALSE),"")</f>
        <v/>
      </c>
      <c r="C1281" s="16">
        <f>IFERROR(SUMIF(Consolidado!$B$1:$B$1500,VLOOKUP(RegistroPago!A1281,Consolidado!$B$1:$L$1500,1,FALSE),Consolidado!$G$1:$G$1500),"")</f>
        <v>0</v>
      </c>
      <c r="D1281" s="3"/>
      <c r="E1281" s="3"/>
      <c r="F1281" s="5" t="str">
        <f t="shared" si="79"/>
        <v/>
      </c>
      <c r="G1281" s="16" t="str">
        <f>IF(D1281&lt;&gt;"",D1281-VLOOKUP(A1281,Consolidado!$B$1:$L$1500,8,FALSE),"")</f>
        <v/>
      </c>
      <c r="H1281" s="31"/>
      <c r="I1281" s="32">
        <f t="shared" si="80"/>
        <v>0</v>
      </c>
      <c r="J1281" s="33" t="str">
        <f t="shared" si="81"/>
        <v/>
      </c>
      <c r="K1281" s="2"/>
      <c r="L1281" s="15"/>
      <c r="M1281" s="34">
        <f t="shared" si="82"/>
        <v>0</v>
      </c>
    </row>
    <row r="1282" spans="1:13" x14ac:dyDescent="0.25">
      <c r="A1282" s="31"/>
      <c r="B1282" s="16" t="str">
        <f>IFERROR(VLOOKUP(A1282,Consolidado!$B$1:$L$1500,2,FALSE),"")</f>
        <v/>
      </c>
      <c r="C1282" s="16">
        <f>IFERROR(SUMIF(Consolidado!$B$1:$B$1500,VLOOKUP(RegistroPago!A1282,Consolidado!$B$1:$L$1500,1,FALSE),Consolidado!$G$1:$G$1500),"")</f>
        <v>0</v>
      </c>
      <c r="D1282" s="3"/>
      <c r="E1282" s="3"/>
      <c r="F1282" s="5" t="str">
        <f t="shared" si="79"/>
        <v/>
      </c>
      <c r="G1282" s="16" t="str">
        <f>IF(D1282&lt;&gt;"",D1282-VLOOKUP(A1282,Consolidado!$B$1:$L$1500,8,FALSE),"")</f>
        <v/>
      </c>
      <c r="H1282" s="31"/>
      <c r="I1282" s="32">
        <f t="shared" si="80"/>
        <v>0</v>
      </c>
      <c r="J1282" s="33" t="str">
        <f t="shared" si="81"/>
        <v/>
      </c>
      <c r="K1282" s="2"/>
      <c r="L1282" s="15"/>
      <c r="M1282" s="34">
        <f t="shared" si="82"/>
        <v>0</v>
      </c>
    </row>
    <row r="1283" spans="1:13" x14ac:dyDescent="0.25">
      <c r="A1283" s="31"/>
      <c r="B1283" s="16" t="str">
        <f>IFERROR(VLOOKUP(A1283,Consolidado!$B$1:$L$1500,2,FALSE),"")</f>
        <v/>
      </c>
      <c r="C1283" s="16">
        <f>IFERROR(SUMIF(Consolidado!$B$1:$B$1500,VLOOKUP(RegistroPago!A1283,Consolidado!$B$1:$L$1500,1,FALSE),Consolidado!$G$1:$G$1500),"")</f>
        <v>0</v>
      </c>
      <c r="D1283" s="3"/>
      <c r="E1283" s="3"/>
      <c r="F1283" s="5" t="str">
        <f t="shared" ref="F1283:F1346" si="83">IF(COUNTIF($E$2:$E$2000,E1283)&gt;1,"Ya registrado","")</f>
        <v/>
      </c>
      <c r="G1283" s="16" t="str">
        <f>IF(D1283&lt;&gt;"",D1283-VLOOKUP(A1283,Consolidado!$B$1:$L$1500,8,FALSE),"")</f>
        <v/>
      </c>
      <c r="H1283" s="31"/>
      <c r="I1283" s="32">
        <f t="shared" si="80"/>
        <v>0</v>
      </c>
      <c r="J1283" s="33" t="str">
        <f t="shared" si="81"/>
        <v/>
      </c>
      <c r="K1283" s="2"/>
      <c r="L1283" s="15"/>
      <c r="M1283" s="34">
        <f t="shared" si="82"/>
        <v>0</v>
      </c>
    </row>
    <row r="1284" spans="1:13" x14ac:dyDescent="0.25">
      <c r="A1284" s="31"/>
      <c r="B1284" s="16" t="str">
        <f>IFERROR(VLOOKUP(A1284,Consolidado!$B$1:$L$1500,2,FALSE),"")</f>
        <v/>
      </c>
      <c r="C1284" s="16">
        <f>IFERROR(SUMIF(Consolidado!$B$1:$B$1500,VLOOKUP(RegistroPago!A1284,Consolidado!$B$1:$L$1500,1,FALSE),Consolidado!$G$1:$G$1500),"")</f>
        <v>0</v>
      </c>
      <c r="D1284" s="3"/>
      <c r="E1284" s="3"/>
      <c r="F1284" s="5" t="str">
        <f t="shared" si="83"/>
        <v/>
      </c>
      <c r="G1284" s="16" t="str">
        <f>IF(D1284&lt;&gt;"",D1284-VLOOKUP(A1284,Consolidado!$B$1:$L$1500,8,FALSE),"")</f>
        <v/>
      </c>
      <c r="H1284" s="31"/>
      <c r="I1284" s="32">
        <f t="shared" si="80"/>
        <v>0</v>
      </c>
      <c r="J1284" s="33" t="str">
        <f t="shared" si="81"/>
        <v/>
      </c>
      <c r="K1284" s="2"/>
      <c r="L1284" s="15"/>
      <c r="M1284" s="34">
        <f t="shared" si="82"/>
        <v>0</v>
      </c>
    </row>
    <row r="1285" spans="1:13" x14ac:dyDescent="0.25">
      <c r="A1285" s="31"/>
      <c r="B1285" s="16" t="str">
        <f>IFERROR(VLOOKUP(A1285,Consolidado!$B$1:$L$1500,2,FALSE),"")</f>
        <v/>
      </c>
      <c r="C1285" s="16">
        <f>IFERROR(SUMIF(Consolidado!$B$1:$B$1500,VLOOKUP(RegistroPago!A1285,Consolidado!$B$1:$L$1500,1,FALSE),Consolidado!$G$1:$G$1500),"")</f>
        <v>0</v>
      </c>
      <c r="D1285" s="3"/>
      <c r="E1285" s="3"/>
      <c r="F1285" s="5" t="str">
        <f t="shared" si="83"/>
        <v/>
      </c>
      <c r="G1285" s="16" t="str">
        <f>IF(D1285&lt;&gt;"",D1285-VLOOKUP(A1285,Consolidado!$B$1:$L$1500,8,FALSE),"")</f>
        <v/>
      </c>
      <c r="H1285" s="31"/>
      <c r="I1285" s="32">
        <f t="shared" si="80"/>
        <v>0</v>
      </c>
      <c r="J1285" s="33" t="str">
        <f t="shared" si="81"/>
        <v/>
      </c>
      <c r="K1285" s="2"/>
      <c r="L1285" s="15"/>
      <c r="M1285" s="34">
        <f t="shared" si="82"/>
        <v>0</v>
      </c>
    </row>
    <row r="1286" spans="1:13" x14ac:dyDescent="0.25">
      <c r="A1286" s="31"/>
      <c r="B1286" s="16" t="str">
        <f>IFERROR(VLOOKUP(A1286,Consolidado!$B$1:$L$1500,2,FALSE),"")</f>
        <v/>
      </c>
      <c r="C1286" s="16">
        <f>IFERROR(SUMIF(Consolidado!$B$1:$B$1500,VLOOKUP(RegistroPago!A1286,Consolidado!$B$1:$L$1500,1,FALSE),Consolidado!$G$1:$G$1500),"")</f>
        <v>0</v>
      </c>
      <c r="D1286" s="3"/>
      <c r="E1286" s="3"/>
      <c r="F1286" s="5" t="str">
        <f t="shared" si="83"/>
        <v/>
      </c>
      <c r="G1286" s="16" t="str">
        <f>IF(D1286&lt;&gt;"",D1286-VLOOKUP(A1286,Consolidado!$B$1:$L$1500,8,FALSE),"")</f>
        <v/>
      </c>
      <c r="H1286" s="31"/>
      <c r="I1286" s="32">
        <f t="shared" si="80"/>
        <v>0</v>
      </c>
      <c r="J1286" s="33" t="str">
        <f t="shared" si="81"/>
        <v/>
      </c>
      <c r="K1286" s="2"/>
      <c r="L1286" s="15"/>
      <c r="M1286" s="34">
        <f t="shared" si="82"/>
        <v>0</v>
      </c>
    </row>
    <row r="1287" spans="1:13" x14ac:dyDescent="0.25">
      <c r="A1287" s="31"/>
      <c r="B1287" s="16" t="str">
        <f>IFERROR(VLOOKUP(A1287,Consolidado!$B$1:$L$1500,2,FALSE),"")</f>
        <v/>
      </c>
      <c r="C1287" s="16">
        <f>IFERROR(SUMIF(Consolidado!$B$1:$B$1500,VLOOKUP(RegistroPago!A1287,Consolidado!$B$1:$L$1500,1,FALSE),Consolidado!$G$1:$G$1500),"")</f>
        <v>0</v>
      </c>
      <c r="D1287" s="3"/>
      <c r="E1287" s="3"/>
      <c r="F1287" s="5" t="str">
        <f t="shared" si="83"/>
        <v/>
      </c>
      <c r="G1287" s="16" t="str">
        <f>IF(D1287&lt;&gt;"",D1287-VLOOKUP(A1287,Consolidado!$B$1:$L$1500,8,FALSE),"")</f>
        <v/>
      </c>
      <c r="H1287" s="31"/>
      <c r="I1287" s="32">
        <f t="shared" si="80"/>
        <v>0</v>
      </c>
      <c r="J1287" s="33" t="str">
        <f t="shared" si="81"/>
        <v/>
      </c>
      <c r="K1287" s="2"/>
      <c r="L1287" s="15"/>
      <c r="M1287" s="34">
        <f t="shared" si="82"/>
        <v>0</v>
      </c>
    </row>
    <row r="1288" spans="1:13" x14ac:dyDescent="0.25">
      <c r="A1288" s="31"/>
      <c r="B1288" s="16" t="str">
        <f>IFERROR(VLOOKUP(A1288,Consolidado!$B$1:$L$1500,2,FALSE),"")</f>
        <v/>
      </c>
      <c r="C1288" s="16">
        <f>IFERROR(SUMIF(Consolidado!$B$1:$B$1500,VLOOKUP(RegistroPago!A1288,Consolidado!$B$1:$L$1500,1,FALSE),Consolidado!$G$1:$G$1500),"")</f>
        <v>0</v>
      </c>
      <c r="D1288" s="3"/>
      <c r="E1288" s="3"/>
      <c r="F1288" s="5" t="str">
        <f t="shared" si="83"/>
        <v/>
      </c>
      <c r="G1288" s="16" t="str">
        <f>IF(D1288&lt;&gt;"",D1288-VLOOKUP(A1288,Consolidado!$B$1:$L$1500,8,FALSE),"")</f>
        <v/>
      </c>
      <c r="H1288" s="31"/>
      <c r="I1288" s="32">
        <f t="shared" si="80"/>
        <v>0</v>
      </c>
      <c r="J1288" s="33" t="str">
        <f t="shared" si="81"/>
        <v/>
      </c>
      <c r="K1288" s="2"/>
      <c r="L1288" s="15"/>
      <c r="M1288" s="34">
        <f t="shared" si="82"/>
        <v>0</v>
      </c>
    </row>
    <row r="1289" spans="1:13" x14ac:dyDescent="0.25">
      <c r="A1289" s="31"/>
      <c r="B1289" s="16" t="str">
        <f>IFERROR(VLOOKUP(A1289,Consolidado!$B$1:$L$1500,2,FALSE),"")</f>
        <v/>
      </c>
      <c r="C1289" s="16">
        <f>IFERROR(SUMIF(Consolidado!$B$1:$B$1500,VLOOKUP(RegistroPago!A1289,Consolidado!$B$1:$L$1500,1,FALSE),Consolidado!$G$1:$G$1500),"")</f>
        <v>0</v>
      </c>
      <c r="D1289" s="3"/>
      <c r="E1289" s="3"/>
      <c r="F1289" s="5" t="str">
        <f t="shared" si="83"/>
        <v/>
      </c>
      <c r="G1289" s="16" t="str">
        <f>IF(D1289&lt;&gt;"",D1289-VLOOKUP(A1289,Consolidado!$B$1:$L$1500,8,FALSE),"")</f>
        <v/>
      </c>
      <c r="H1289" s="31"/>
      <c r="I1289" s="32">
        <f t="shared" si="80"/>
        <v>0</v>
      </c>
      <c r="J1289" s="33" t="str">
        <f t="shared" si="81"/>
        <v/>
      </c>
      <c r="K1289" s="2"/>
      <c r="L1289" s="15"/>
      <c r="M1289" s="34">
        <f t="shared" si="82"/>
        <v>0</v>
      </c>
    </row>
    <row r="1290" spans="1:13" x14ac:dyDescent="0.25">
      <c r="A1290" s="31"/>
      <c r="B1290" s="16" t="str">
        <f>IFERROR(VLOOKUP(A1290,Consolidado!$B$1:$L$1500,2,FALSE),"")</f>
        <v/>
      </c>
      <c r="C1290" s="16">
        <f>IFERROR(SUMIF(Consolidado!$B$1:$B$1500,VLOOKUP(RegistroPago!A1290,Consolidado!$B$1:$L$1500,1,FALSE),Consolidado!$G$1:$G$1500),"")</f>
        <v>0</v>
      </c>
      <c r="D1290" s="3"/>
      <c r="E1290" s="3"/>
      <c r="F1290" s="5" t="str">
        <f t="shared" si="83"/>
        <v/>
      </c>
      <c r="G1290" s="16" t="str">
        <f>IF(D1290&lt;&gt;"",D1290-VLOOKUP(A1290,Consolidado!$B$1:$L$1500,8,FALSE),"")</f>
        <v/>
      </c>
      <c r="H1290" s="31"/>
      <c r="I1290" s="32">
        <f t="shared" si="80"/>
        <v>0</v>
      </c>
      <c r="J1290" s="33" t="str">
        <f t="shared" si="81"/>
        <v/>
      </c>
      <c r="K1290" s="2"/>
      <c r="L1290" s="15"/>
      <c r="M1290" s="34">
        <f t="shared" si="82"/>
        <v>0</v>
      </c>
    </row>
    <row r="1291" spans="1:13" x14ac:dyDescent="0.25">
      <c r="A1291" s="31"/>
      <c r="B1291" s="16" t="str">
        <f>IFERROR(VLOOKUP(A1291,Consolidado!$B$1:$L$1500,2,FALSE),"")</f>
        <v/>
      </c>
      <c r="C1291" s="16">
        <f>IFERROR(SUMIF(Consolidado!$B$1:$B$1500,VLOOKUP(RegistroPago!A1291,Consolidado!$B$1:$L$1500,1,FALSE),Consolidado!$G$1:$G$1500),"")</f>
        <v>0</v>
      </c>
      <c r="D1291" s="3"/>
      <c r="E1291" s="3"/>
      <c r="F1291" s="5" t="str">
        <f t="shared" si="83"/>
        <v/>
      </c>
      <c r="G1291" s="16" t="str">
        <f>IF(D1291&lt;&gt;"",D1291-VLOOKUP(A1291,Consolidado!$B$1:$L$1500,8,FALSE),"")</f>
        <v/>
      </c>
      <c r="H1291" s="31"/>
      <c r="I1291" s="32">
        <f t="shared" si="80"/>
        <v>0</v>
      </c>
      <c r="J1291" s="33" t="str">
        <f t="shared" si="81"/>
        <v/>
      </c>
      <c r="K1291" s="2"/>
      <c r="L1291" s="15"/>
      <c r="M1291" s="34">
        <f t="shared" si="82"/>
        <v>0</v>
      </c>
    </row>
    <row r="1292" spans="1:13" x14ac:dyDescent="0.25">
      <c r="A1292" s="31"/>
      <c r="B1292" s="16" t="str">
        <f>IFERROR(VLOOKUP(A1292,Consolidado!$B$1:$L$1500,2,FALSE),"")</f>
        <v/>
      </c>
      <c r="C1292" s="16">
        <f>IFERROR(SUMIF(Consolidado!$B$1:$B$1500,VLOOKUP(RegistroPago!A1292,Consolidado!$B$1:$L$1500,1,FALSE),Consolidado!$G$1:$G$1500),"")</f>
        <v>0</v>
      </c>
      <c r="D1292" s="3"/>
      <c r="E1292" s="3"/>
      <c r="F1292" s="5" t="str">
        <f t="shared" si="83"/>
        <v/>
      </c>
      <c r="G1292" s="16" t="str">
        <f>IF(D1292&lt;&gt;"",D1292-VLOOKUP(A1292,Consolidado!$B$1:$L$1500,8,FALSE),"")</f>
        <v/>
      </c>
      <c r="H1292" s="31"/>
      <c r="I1292" s="32">
        <f t="shared" si="80"/>
        <v>0</v>
      </c>
      <c r="J1292" s="33" t="str">
        <f t="shared" si="81"/>
        <v/>
      </c>
      <c r="K1292" s="2"/>
      <c r="L1292" s="15"/>
      <c r="M1292" s="34">
        <f t="shared" si="82"/>
        <v>0</v>
      </c>
    </row>
    <row r="1293" spans="1:13" x14ac:dyDescent="0.25">
      <c r="A1293" s="31"/>
      <c r="B1293" s="16" t="str">
        <f>IFERROR(VLOOKUP(A1293,Consolidado!$B$1:$L$1500,2,FALSE),"")</f>
        <v/>
      </c>
      <c r="C1293" s="16">
        <f>IFERROR(SUMIF(Consolidado!$B$1:$B$1500,VLOOKUP(RegistroPago!A1293,Consolidado!$B$1:$L$1500,1,FALSE),Consolidado!$G$1:$G$1500),"")</f>
        <v>0</v>
      </c>
      <c r="D1293" s="3"/>
      <c r="E1293" s="3"/>
      <c r="F1293" s="5" t="str">
        <f t="shared" si="83"/>
        <v/>
      </c>
      <c r="G1293" s="16" t="str">
        <f>IF(D1293&lt;&gt;"",D1293-VLOOKUP(A1293,Consolidado!$B$1:$L$1500,8,FALSE),"")</f>
        <v/>
      </c>
      <c r="H1293" s="31"/>
      <c r="I1293" s="32">
        <f t="shared" si="80"/>
        <v>0</v>
      </c>
      <c r="J1293" s="33" t="str">
        <f t="shared" si="81"/>
        <v/>
      </c>
      <c r="K1293" s="2"/>
      <c r="L1293" s="15"/>
      <c r="M1293" s="34">
        <f t="shared" si="82"/>
        <v>0</v>
      </c>
    </row>
    <row r="1294" spans="1:13" x14ac:dyDescent="0.25">
      <c r="A1294" s="31"/>
      <c r="B1294" s="16" t="str">
        <f>IFERROR(VLOOKUP(A1294,Consolidado!$B$1:$L$1500,2,FALSE),"")</f>
        <v/>
      </c>
      <c r="C1294" s="16">
        <f>IFERROR(SUMIF(Consolidado!$B$1:$B$1500,VLOOKUP(RegistroPago!A1294,Consolidado!$B$1:$L$1500,1,FALSE),Consolidado!$G$1:$G$1500),"")</f>
        <v>0</v>
      </c>
      <c r="D1294" s="3"/>
      <c r="E1294" s="3"/>
      <c r="F1294" s="5" t="str">
        <f t="shared" si="83"/>
        <v/>
      </c>
      <c r="G1294" s="16" t="str">
        <f>IF(D1294&lt;&gt;"",D1294-VLOOKUP(A1294,Consolidado!$B$1:$L$1500,8,FALSE),"")</f>
        <v/>
      </c>
      <c r="H1294" s="31"/>
      <c r="I1294" s="32">
        <f t="shared" si="80"/>
        <v>0</v>
      </c>
      <c r="J1294" s="33" t="str">
        <f t="shared" si="81"/>
        <v/>
      </c>
      <c r="K1294" s="2"/>
      <c r="L1294" s="15"/>
      <c r="M1294" s="34">
        <f t="shared" si="82"/>
        <v>0</v>
      </c>
    </row>
    <row r="1295" spans="1:13" x14ac:dyDescent="0.25">
      <c r="A1295" s="31"/>
      <c r="B1295" s="16" t="str">
        <f>IFERROR(VLOOKUP(A1295,Consolidado!$B$1:$L$1500,2,FALSE),"")</f>
        <v/>
      </c>
      <c r="C1295" s="16">
        <f>IFERROR(SUMIF(Consolidado!$B$1:$B$1500,VLOOKUP(RegistroPago!A1295,Consolidado!$B$1:$L$1500,1,FALSE),Consolidado!$G$1:$G$1500),"")</f>
        <v>0</v>
      </c>
      <c r="D1295" s="3"/>
      <c r="E1295" s="3"/>
      <c r="F1295" s="5" t="str">
        <f t="shared" si="83"/>
        <v/>
      </c>
      <c r="G1295" s="16" t="str">
        <f>IF(D1295&lt;&gt;"",D1295-VLOOKUP(A1295,Consolidado!$B$1:$L$1500,8,FALSE),"")</f>
        <v/>
      </c>
      <c r="H1295" s="31"/>
      <c r="I1295" s="32">
        <f t="shared" si="80"/>
        <v>0</v>
      </c>
      <c r="J1295" s="33" t="str">
        <f t="shared" si="81"/>
        <v/>
      </c>
      <c r="K1295" s="2"/>
      <c r="L1295" s="15"/>
      <c r="M1295" s="34">
        <f t="shared" si="82"/>
        <v>0</v>
      </c>
    </row>
    <row r="1296" spans="1:13" x14ac:dyDescent="0.25">
      <c r="A1296" s="31"/>
      <c r="B1296" s="16" t="str">
        <f>IFERROR(VLOOKUP(A1296,Consolidado!$B$1:$L$1500,2,FALSE),"")</f>
        <v/>
      </c>
      <c r="C1296" s="16">
        <f>IFERROR(SUMIF(Consolidado!$B$1:$B$1500,VLOOKUP(RegistroPago!A1296,Consolidado!$B$1:$L$1500,1,FALSE),Consolidado!$G$1:$G$1500),"")</f>
        <v>0</v>
      </c>
      <c r="D1296" s="3"/>
      <c r="E1296" s="3"/>
      <c r="F1296" s="5" t="str">
        <f t="shared" si="83"/>
        <v/>
      </c>
      <c r="G1296" s="16" t="str">
        <f>IF(D1296&lt;&gt;"",D1296-VLOOKUP(A1296,Consolidado!$B$1:$L$1500,8,FALSE),"")</f>
        <v/>
      </c>
      <c r="H1296" s="31"/>
      <c r="I1296" s="32">
        <f t="shared" si="80"/>
        <v>0</v>
      </c>
      <c r="J1296" s="33" t="str">
        <f t="shared" si="81"/>
        <v/>
      </c>
      <c r="K1296" s="2"/>
      <c r="L1296" s="15"/>
      <c r="M1296" s="34">
        <f t="shared" si="82"/>
        <v>0</v>
      </c>
    </row>
    <row r="1297" spans="1:13" x14ac:dyDescent="0.25">
      <c r="A1297" s="31"/>
      <c r="B1297" s="16" t="str">
        <f>IFERROR(VLOOKUP(A1297,Consolidado!$B$1:$L$1500,2,FALSE),"")</f>
        <v/>
      </c>
      <c r="C1297" s="16">
        <f>IFERROR(SUMIF(Consolidado!$B$1:$B$1500,VLOOKUP(RegistroPago!A1297,Consolidado!$B$1:$L$1500,1,FALSE),Consolidado!$G$1:$G$1500),"")</f>
        <v>0</v>
      </c>
      <c r="D1297" s="3"/>
      <c r="E1297" s="3"/>
      <c r="F1297" s="5" t="str">
        <f t="shared" si="83"/>
        <v/>
      </c>
      <c r="G1297" s="16" t="str">
        <f>IF(D1297&lt;&gt;"",D1297-VLOOKUP(A1297,Consolidado!$B$1:$L$1500,8,FALSE),"")</f>
        <v/>
      </c>
      <c r="H1297" s="31"/>
      <c r="I1297" s="32">
        <f t="shared" si="80"/>
        <v>0</v>
      </c>
      <c r="J1297" s="33" t="str">
        <f t="shared" si="81"/>
        <v/>
      </c>
      <c r="K1297" s="2"/>
      <c r="L1297" s="15"/>
      <c r="M1297" s="34">
        <f t="shared" si="82"/>
        <v>0</v>
      </c>
    </row>
    <row r="1298" spans="1:13" x14ac:dyDescent="0.25">
      <c r="A1298" s="31"/>
      <c r="B1298" s="16" t="str">
        <f>IFERROR(VLOOKUP(A1298,Consolidado!$B$1:$L$1500,2,FALSE),"")</f>
        <v/>
      </c>
      <c r="C1298" s="16">
        <f>IFERROR(SUMIF(Consolidado!$B$1:$B$1500,VLOOKUP(RegistroPago!A1298,Consolidado!$B$1:$L$1500,1,FALSE),Consolidado!$G$1:$G$1500),"")</f>
        <v>0</v>
      </c>
      <c r="D1298" s="3"/>
      <c r="E1298" s="3"/>
      <c r="F1298" s="5" t="str">
        <f t="shared" si="83"/>
        <v/>
      </c>
      <c r="G1298" s="16" t="str">
        <f>IF(D1298&lt;&gt;"",D1298-VLOOKUP(A1298,Consolidado!$B$1:$L$1500,8,FALSE),"")</f>
        <v/>
      </c>
      <c r="H1298" s="31"/>
      <c r="I1298" s="32">
        <f t="shared" si="80"/>
        <v>0</v>
      </c>
      <c r="J1298" s="33" t="str">
        <f t="shared" si="81"/>
        <v/>
      </c>
      <c r="K1298" s="2"/>
      <c r="L1298" s="15"/>
      <c r="M1298" s="34">
        <f t="shared" si="82"/>
        <v>0</v>
      </c>
    </row>
    <row r="1299" spans="1:13" x14ac:dyDescent="0.25">
      <c r="A1299" s="31"/>
      <c r="B1299" s="16" t="str">
        <f>IFERROR(VLOOKUP(A1299,Consolidado!$B$1:$L$1500,2,FALSE),"")</f>
        <v/>
      </c>
      <c r="C1299" s="16">
        <f>IFERROR(SUMIF(Consolidado!$B$1:$B$1500,VLOOKUP(RegistroPago!A1299,Consolidado!$B$1:$L$1500,1,FALSE),Consolidado!$G$1:$G$1500),"")</f>
        <v>0</v>
      </c>
      <c r="D1299" s="3"/>
      <c r="E1299" s="3"/>
      <c r="F1299" s="5" t="str">
        <f t="shared" si="83"/>
        <v/>
      </c>
      <c r="G1299" s="16" t="str">
        <f>IF(D1299&lt;&gt;"",D1299-VLOOKUP(A1299,Consolidado!$B$1:$L$1500,8,FALSE),"")</f>
        <v/>
      </c>
      <c r="H1299" s="31"/>
      <c r="I1299" s="32">
        <f t="shared" si="80"/>
        <v>0</v>
      </c>
      <c r="J1299" s="33" t="str">
        <f t="shared" si="81"/>
        <v/>
      </c>
      <c r="K1299" s="2"/>
      <c r="L1299" s="15"/>
      <c r="M1299" s="34">
        <f t="shared" si="82"/>
        <v>0</v>
      </c>
    </row>
    <row r="1300" spans="1:13" x14ac:dyDescent="0.25">
      <c r="A1300" s="31"/>
      <c r="B1300" s="16" t="str">
        <f>IFERROR(VLOOKUP(A1300,Consolidado!$B$1:$L$1500,2,FALSE),"")</f>
        <v/>
      </c>
      <c r="C1300" s="16">
        <f>IFERROR(SUMIF(Consolidado!$B$1:$B$1500,VLOOKUP(RegistroPago!A1300,Consolidado!$B$1:$L$1500,1,FALSE),Consolidado!$G$1:$G$1500),"")</f>
        <v>0</v>
      </c>
      <c r="D1300" s="3"/>
      <c r="E1300" s="3"/>
      <c r="F1300" s="5" t="str">
        <f t="shared" si="83"/>
        <v/>
      </c>
      <c r="G1300" s="16" t="str">
        <f>IF(D1300&lt;&gt;"",D1300-VLOOKUP(A1300,Consolidado!$B$1:$L$1500,8,FALSE),"")</f>
        <v/>
      </c>
      <c r="H1300" s="31"/>
      <c r="I1300" s="32">
        <f t="shared" si="80"/>
        <v>0</v>
      </c>
      <c r="J1300" s="33" t="str">
        <f t="shared" si="81"/>
        <v/>
      </c>
      <c r="K1300" s="2"/>
      <c r="L1300" s="15"/>
      <c r="M1300" s="34">
        <f t="shared" si="82"/>
        <v>0</v>
      </c>
    </row>
    <row r="1301" spans="1:13" x14ac:dyDescent="0.25">
      <c r="A1301" s="31"/>
      <c r="B1301" s="16" t="str">
        <f>IFERROR(VLOOKUP(A1301,Consolidado!$B$1:$L$1500,2,FALSE),"")</f>
        <v/>
      </c>
      <c r="C1301" s="16">
        <f>IFERROR(SUMIF(Consolidado!$B$1:$B$1500,VLOOKUP(RegistroPago!A1301,Consolidado!$B$1:$L$1500,1,FALSE),Consolidado!$G$1:$G$1500),"")</f>
        <v>0</v>
      </c>
      <c r="D1301" s="3"/>
      <c r="E1301" s="3"/>
      <c r="F1301" s="5" t="str">
        <f t="shared" si="83"/>
        <v/>
      </c>
      <c r="G1301" s="16" t="str">
        <f>IF(D1301&lt;&gt;"",D1301-VLOOKUP(A1301,Consolidado!$B$1:$L$1500,8,FALSE),"")</f>
        <v/>
      </c>
      <c r="H1301" s="31"/>
      <c r="I1301" s="32">
        <f t="shared" si="80"/>
        <v>0</v>
      </c>
      <c r="J1301" s="33" t="str">
        <f t="shared" si="81"/>
        <v/>
      </c>
      <c r="K1301" s="2"/>
      <c r="L1301" s="15"/>
      <c r="M1301" s="34">
        <f t="shared" si="82"/>
        <v>0</v>
      </c>
    </row>
    <row r="1302" spans="1:13" x14ac:dyDescent="0.25">
      <c r="A1302" s="31"/>
      <c r="B1302" s="16" t="str">
        <f>IFERROR(VLOOKUP(A1302,Consolidado!$B$1:$L$1500,2,FALSE),"")</f>
        <v/>
      </c>
      <c r="C1302" s="16">
        <f>IFERROR(SUMIF(Consolidado!$B$1:$B$1500,VLOOKUP(RegistroPago!A1302,Consolidado!$B$1:$L$1500,1,FALSE),Consolidado!$G$1:$G$1500),"")</f>
        <v>0</v>
      </c>
      <c r="D1302" s="3"/>
      <c r="E1302" s="3"/>
      <c r="F1302" s="5" t="str">
        <f t="shared" si="83"/>
        <v/>
      </c>
      <c r="G1302" s="16" t="str">
        <f>IF(D1302&lt;&gt;"",D1302-VLOOKUP(A1302,Consolidado!$B$1:$L$1500,8,FALSE),"")</f>
        <v/>
      </c>
      <c r="H1302" s="31"/>
      <c r="I1302" s="32">
        <f t="shared" si="80"/>
        <v>0</v>
      </c>
      <c r="J1302" s="33" t="str">
        <f t="shared" si="81"/>
        <v/>
      </c>
      <c r="K1302" s="2"/>
      <c r="L1302" s="15"/>
      <c r="M1302" s="34">
        <f t="shared" si="82"/>
        <v>0</v>
      </c>
    </row>
    <row r="1303" spans="1:13" x14ac:dyDescent="0.25">
      <c r="A1303" s="31"/>
      <c r="B1303" s="16" t="str">
        <f>IFERROR(VLOOKUP(A1303,Consolidado!$B$1:$L$1500,2,FALSE),"")</f>
        <v/>
      </c>
      <c r="C1303" s="16">
        <f>IFERROR(SUMIF(Consolidado!$B$1:$B$1500,VLOOKUP(RegistroPago!A1303,Consolidado!$B$1:$L$1500,1,FALSE),Consolidado!$G$1:$G$1500),"")</f>
        <v>0</v>
      </c>
      <c r="D1303" s="3"/>
      <c r="E1303" s="3"/>
      <c r="F1303" s="5" t="str">
        <f t="shared" si="83"/>
        <v/>
      </c>
      <c r="G1303" s="16" t="str">
        <f>IF(D1303&lt;&gt;"",D1303-VLOOKUP(A1303,Consolidado!$B$1:$L$1500,8,FALSE),"")</f>
        <v/>
      </c>
      <c r="H1303" s="31"/>
      <c r="I1303" s="32">
        <f t="shared" si="80"/>
        <v>0</v>
      </c>
      <c r="J1303" s="33" t="str">
        <f t="shared" si="81"/>
        <v/>
      </c>
      <c r="K1303" s="2"/>
      <c r="L1303" s="15"/>
      <c r="M1303" s="34">
        <f t="shared" si="82"/>
        <v>0</v>
      </c>
    </row>
    <row r="1304" spans="1:13" x14ac:dyDescent="0.25">
      <c r="A1304" s="31"/>
      <c r="B1304" s="16" t="str">
        <f>IFERROR(VLOOKUP(A1304,Consolidado!$B$1:$L$1500,2,FALSE),"")</f>
        <v/>
      </c>
      <c r="C1304" s="16">
        <f>IFERROR(SUMIF(Consolidado!$B$1:$B$1500,VLOOKUP(RegistroPago!A1304,Consolidado!$B$1:$L$1500,1,FALSE),Consolidado!$G$1:$G$1500),"")</f>
        <v>0</v>
      </c>
      <c r="D1304" s="3"/>
      <c r="E1304" s="3"/>
      <c r="F1304" s="5" t="str">
        <f t="shared" si="83"/>
        <v/>
      </c>
      <c r="G1304" s="16" t="str">
        <f>IF(D1304&lt;&gt;"",D1304-VLOOKUP(A1304,Consolidado!$B$1:$L$1500,8,FALSE),"")</f>
        <v/>
      </c>
      <c r="H1304" s="31"/>
      <c r="I1304" s="32">
        <f t="shared" si="80"/>
        <v>0</v>
      </c>
      <c r="J1304" s="33" t="str">
        <f t="shared" si="81"/>
        <v/>
      </c>
      <c r="K1304" s="2"/>
      <c r="L1304" s="15"/>
      <c r="M1304" s="34">
        <f t="shared" si="82"/>
        <v>0</v>
      </c>
    </row>
    <row r="1305" spans="1:13" x14ac:dyDescent="0.25">
      <c r="A1305" s="31"/>
      <c r="B1305" s="16" t="str">
        <f>IFERROR(VLOOKUP(A1305,Consolidado!$B$1:$L$1500,2,FALSE),"")</f>
        <v/>
      </c>
      <c r="C1305" s="16">
        <f>IFERROR(SUMIF(Consolidado!$B$1:$B$1500,VLOOKUP(RegistroPago!A1305,Consolidado!$B$1:$L$1500,1,FALSE),Consolidado!$G$1:$G$1500),"")</f>
        <v>0</v>
      </c>
      <c r="D1305" s="3"/>
      <c r="E1305" s="3"/>
      <c r="F1305" s="5" t="str">
        <f t="shared" si="83"/>
        <v/>
      </c>
      <c r="G1305" s="16" t="str">
        <f>IF(D1305&lt;&gt;"",D1305-VLOOKUP(A1305,Consolidado!$B$1:$L$1500,8,FALSE),"")</f>
        <v/>
      </c>
      <c r="H1305" s="31"/>
      <c r="I1305" s="32">
        <f t="shared" si="80"/>
        <v>0</v>
      </c>
      <c r="J1305" s="33" t="str">
        <f t="shared" si="81"/>
        <v/>
      </c>
      <c r="K1305" s="2"/>
      <c r="L1305" s="15"/>
      <c r="M1305" s="34">
        <f t="shared" si="82"/>
        <v>0</v>
      </c>
    </row>
    <row r="1306" spans="1:13" x14ac:dyDescent="0.25">
      <c r="A1306" s="31"/>
      <c r="B1306" s="16" t="str">
        <f>IFERROR(VLOOKUP(A1306,Consolidado!$B$1:$L$1500,2,FALSE),"")</f>
        <v/>
      </c>
      <c r="C1306" s="16">
        <f>IFERROR(SUMIF(Consolidado!$B$1:$B$1500,VLOOKUP(RegistroPago!A1306,Consolidado!$B$1:$L$1500,1,FALSE),Consolidado!$G$1:$G$1500),"")</f>
        <v>0</v>
      </c>
      <c r="D1306" s="3"/>
      <c r="E1306" s="3"/>
      <c r="F1306" s="5" t="str">
        <f t="shared" si="83"/>
        <v/>
      </c>
      <c r="G1306" s="16" t="str">
        <f>IF(D1306&lt;&gt;"",D1306-VLOOKUP(A1306,Consolidado!$B$1:$L$1500,8,FALSE),"")</f>
        <v/>
      </c>
      <c r="H1306" s="31"/>
      <c r="I1306" s="32">
        <f t="shared" si="80"/>
        <v>0</v>
      </c>
      <c r="J1306" s="33" t="str">
        <f t="shared" si="81"/>
        <v/>
      </c>
      <c r="K1306" s="2"/>
      <c r="L1306" s="15"/>
      <c r="M1306" s="34">
        <f t="shared" si="82"/>
        <v>0</v>
      </c>
    </row>
    <row r="1307" spans="1:13" x14ac:dyDescent="0.25">
      <c r="A1307" s="31"/>
      <c r="B1307" s="16" t="str">
        <f>IFERROR(VLOOKUP(A1307,Consolidado!$B$1:$L$1500,2,FALSE),"")</f>
        <v/>
      </c>
      <c r="C1307" s="16">
        <f>IFERROR(SUMIF(Consolidado!$B$1:$B$1500,VLOOKUP(RegistroPago!A1307,Consolidado!$B$1:$L$1500,1,FALSE),Consolidado!$G$1:$G$1500),"")</f>
        <v>0</v>
      </c>
      <c r="D1307" s="3"/>
      <c r="E1307" s="3"/>
      <c r="F1307" s="5" t="str">
        <f t="shared" si="83"/>
        <v/>
      </c>
      <c r="G1307" s="16" t="str">
        <f>IF(D1307&lt;&gt;"",D1307-VLOOKUP(A1307,Consolidado!$B$1:$L$1500,8,FALSE),"")</f>
        <v/>
      </c>
      <c r="H1307" s="31"/>
      <c r="I1307" s="32">
        <f t="shared" si="80"/>
        <v>0</v>
      </c>
      <c r="J1307" s="33" t="str">
        <f t="shared" si="81"/>
        <v/>
      </c>
      <c r="K1307" s="2"/>
      <c r="L1307" s="15"/>
      <c r="M1307" s="34">
        <f t="shared" si="82"/>
        <v>0</v>
      </c>
    </row>
    <row r="1308" spans="1:13" x14ac:dyDescent="0.25">
      <c r="A1308" s="31"/>
      <c r="B1308" s="16" t="str">
        <f>IFERROR(VLOOKUP(A1308,Consolidado!$B$1:$L$1500,2,FALSE),"")</f>
        <v/>
      </c>
      <c r="C1308" s="16">
        <f>IFERROR(SUMIF(Consolidado!$B$1:$B$1500,VLOOKUP(RegistroPago!A1308,Consolidado!$B$1:$L$1500,1,FALSE),Consolidado!$G$1:$G$1500),"")</f>
        <v>0</v>
      </c>
      <c r="D1308" s="3"/>
      <c r="E1308" s="3"/>
      <c r="F1308" s="5" t="str">
        <f t="shared" si="83"/>
        <v/>
      </c>
      <c r="G1308" s="16" t="str">
        <f>IF(D1308&lt;&gt;"",D1308-VLOOKUP(A1308,Consolidado!$B$1:$L$1500,8,FALSE),"")</f>
        <v/>
      </c>
      <c r="H1308" s="31"/>
      <c r="I1308" s="32">
        <f t="shared" si="80"/>
        <v>0</v>
      </c>
      <c r="J1308" s="33" t="str">
        <f t="shared" si="81"/>
        <v/>
      </c>
      <c r="K1308" s="2"/>
      <c r="L1308" s="15"/>
      <c r="M1308" s="34">
        <f t="shared" si="82"/>
        <v>0</v>
      </c>
    </row>
    <row r="1309" spans="1:13" x14ac:dyDescent="0.25">
      <c r="A1309" s="31"/>
      <c r="B1309" s="16" t="str">
        <f>IFERROR(VLOOKUP(A1309,Consolidado!$B$1:$L$1500,2,FALSE),"")</f>
        <v/>
      </c>
      <c r="C1309" s="16">
        <f>IFERROR(SUMIF(Consolidado!$B$1:$B$1500,VLOOKUP(RegistroPago!A1309,Consolidado!$B$1:$L$1500,1,FALSE),Consolidado!$G$1:$G$1500),"")</f>
        <v>0</v>
      </c>
      <c r="D1309" s="3"/>
      <c r="E1309" s="3"/>
      <c r="F1309" s="5" t="str">
        <f t="shared" si="83"/>
        <v/>
      </c>
      <c r="G1309" s="16" t="str">
        <f>IF(D1309&lt;&gt;"",D1309-VLOOKUP(A1309,Consolidado!$B$1:$L$1500,8,FALSE),"")</f>
        <v/>
      </c>
      <c r="H1309" s="31"/>
      <c r="I1309" s="32">
        <f t="shared" si="80"/>
        <v>0</v>
      </c>
      <c r="J1309" s="33" t="str">
        <f t="shared" si="81"/>
        <v/>
      </c>
      <c r="K1309" s="2"/>
      <c r="L1309" s="15"/>
      <c r="M1309" s="34">
        <f t="shared" si="82"/>
        <v>0</v>
      </c>
    </row>
    <row r="1310" spans="1:13" x14ac:dyDescent="0.25">
      <c r="A1310" s="31"/>
      <c r="B1310" s="16" t="str">
        <f>IFERROR(VLOOKUP(A1310,Consolidado!$B$1:$L$1500,2,FALSE),"")</f>
        <v/>
      </c>
      <c r="C1310" s="16">
        <f>IFERROR(SUMIF(Consolidado!$B$1:$B$1500,VLOOKUP(RegistroPago!A1310,Consolidado!$B$1:$L$1500,1,FALSE),Consolidado!$G$1:$G$1500),"")</f>
        <v>0</v>
      </c>
      <c r="D1310" s="3"/>
      <c r="E1310" s="3"/>
      <c r="F1310" s="5" t="str">
        <f t="shared" si="83"/>
        <v/>
      </c>
      <c r="G1310" s="16" t="str">
        <f>IF(D1310&lt;&gt;"",D1310-VLOOKUP(A1310,Consolidado!$B$1:$L$1500,8,FALSE),"")</f>
        <v/>
      </c>
      <c r="H1310" s="31"/>
      <c r="I1310" s="32">
        <f t="shared" si="80"/>
        <v>0</v>
      </c>
      <c r="J1310" s="33" t="str">
        <f t="shared" si="81"/>
        <v/>
      </c>
      <c r="K1310" s="2"/>
      <c r="L1310" s="15"/>
      <c r="M1310" s="34">
        <f t="shared" si="82"/>
        <v>0</v>
      </c>
    </row>
    <row r="1311" spans="1:13" x14ac:dyDescent="0.25">
      <c r="A1311" s="31"/>
      <c r="B1311" s="16" t="str">
        <f>IFERROR(VLOOKUP(A1311,Consolidado!$B$1:$L$1500,2,FALSE),"")</f>
        <v/>
      </c>
      <c r="C1311" s="16">
        <f>IFERROR(SUMIF(Consolidado!$B$1:$B$1500,VLOOKUP(RegistroPago!A1311,Consolidado!$B$1:$L$1500,1,FALSE),Consolidado!$G$1:$G$1500),"")</f>
        <v>0</v>
      </c>
      <c r="D1311" s="3"/>
      <c r="E1311" s="3"/>
      <c r="F1311" s="5" t="str">
        <f t="shared" si="83"/>
        <v/>
      </c>
      <c r="G1311" s="16" t="str">
        <f>IF(D1311&lt;&gt;"",D1311-VLOOKUP(A1311,Consolidado!$B$1:$L$1500,8,FALSE),"")</f>
        <v/>
      </c>
      <c r="H1311" s="31"/>
      <c r="I1311" s="32">
        <f t="shared" si="80"/>
        <v>0</v>
      </c>
      <c r="J1311" s="33" t="str">
        <f t="shared" si="81"/>
        <v/>
      </c>
      <c r="K1311" s="2"/>
      <c r="L1311" s="15"/>
      <c r="M1311" s="34">
        <f t="shared" si="82"/>
        <v>0</v>
      </c>
    </row>
    <row r="1312" spans="1:13" x14ac:dyDescent="0.25">
      <c r="A1312" s="31"/>
      <c r="B1312" s="16" t="str">
        <f>IFERROR(VLOOKUP(A1312,Consolidado!$B$1:$L$1500,2,FALSE),"")</f>
        <v/>
      </c>
      <c r="C1312" s="16">
        <f>IFERROR(SUMIF(Consolidado!$B$1:$B$1500,VLOOKUP(RegistroPago!A1312,Consolidado!$B$1:$L$1500,1,FALSE),Consolidado!$G$1:$G$1500),"")</f>
        <v>0</v>
      </c>
      <c r="D1312" s="3"/>
      <c r="E1312" s="3"/>
      <c r="F1312" s="5" t="str">
        <f t="shared" si="83"/>
        <v/>
      </c>
      <c r="G1312" s="16" t="str">
        <f>IF(D1312&lt;&gt;"",D1312-VLOOKUP(A1312,Consolidado!$B$1:$L$1500,8,FALSE),"")</f>
        <v/>
      </c>
      <c r="H1312" s="31"/>
      <c r="I1312" s="32">
        <f t="shared" si="80"/>
        <v>0</v>
      </c>
      <c r="J1312" s="33" t="str">
        <f t="shared" si="81"/>
        <v/>
      </c>
      <c r="K1312" s="2"/>
      <c r="L1312" s="15"/>
      <c r="M1312" s="34">
        <f t="shared" si="82"/>
        <v>0</v>
      </c>
    </row>
    <row r="1313" spans="1:13" x14ac:dyDescent="0.25">
      <c r="A1313" s="31"/>
      <c r="B1313" s="16" t="str">
        <f>IFERROR(VLOOKUP(A1313,Consolidado!$B$1:$L$1500,2,FALSE),"")</f>
        <v/>
      </c>
      <c r="C1313" s="16">
        <f>IFERROR(SUMIF(Consolidado!$B$1:$B$1500,VLOOKUP(RegistroPago!A1313,Consolidado!$B$1:$L$1500,1,FALSE),Consolidado!$G$1:$G$1500),"")</f>
        <v>0</v>
      </c>
      <c r="D1313" s="3"/>
      <c r="E1313" s="3"/>
      <c r="F1313" s="5" t="str">
        <f t="shared" si="83"/>
        <v/>
      </c>
      <c r="G1313" s="16" t="str">
        <f>IF(D1313&lt;&gt;"",D1313-VLOOKUP(A1313,Consolidado!$B$1:$L$1500,8,FALSE),"")</f>
        <v/>
      </c>
      <c r="H1313" s="31"/>
      <c r="I1313" s="32">
        <f t="shared" si="80"/>
        <v>0</v>
      </c>
      <c r="J1313" s="33" t="str">
        <f t="shared" si="81"/>
        <v/>
      </c>
      <c r="K1313" s="2"/>
      <c r="L1313" s="15"/>
      <c r="M1313" s="34">
        <f t="shared" si="82"/>
        <v>0</v>
      </c>
    </row>
    <row r="1314" spans="1:13" x14ac:dyDescent="0.25">
      <c r="A1314" s="31"/>
      <c r="B1314" s="16" t="str">
        <f>IFERROR(VLOOKUP(A1314,Consolidado!$B$1:$L$1500,2,FALSE),"")</f>
        <v/>
      </c>
      <c r="C1314" s="16">
        <f>IFERROR(SUMIF(Consolidado!$B$1:$B$1500,VLOOKUP(RegistroPago!A1314,Consolidado!$B$1:$L$1500,1,FALSE),Consolidado!$G$1:$G$1500),"")</f>
        <v>0</v>
      </c>
      <c r="D1314" s="3"/>
      <c r="E1314" s="3"/>
      <c r="F1314" s="5" t="str">
        <f t="shared" si="83"/>
        <v/>
      </c>
      <c r="G1314" s="16" t="str">
        <f>IF(D1314&lt;&gt;"",D1314-VLOOKUP(A1314,Consolidado!$B$1:$L$1500,8,FALSE),"")</f>
        <v/>
      </c>
      <c r="H1314" s="31"/>
      <c r="I1314" s="32">
        <f t="shared" si="80"/>
        <v>0</v>
      </c>
      <c r="J1314" s="33" t="str">
        <f t="shared" si="81"/>
        <v/>
      </c>
      <c r="K1314" s="2"/>
      <c r="L1314" s="15"/>
      <c r="M1314" s="34">
        <f t="shared" si="82"/>
        <v>0</v>
      </c>
    </row>
    <row r="1315" spans="1:13" x14ac:dyDescent="0.25">
      <c r="A1315" s="31"/>
      <c r="B1315" s="16" t="str">
        <f>IFERROR(VLOOKUP(A1315,Consolidado!$B$1:$L$1500,2,FALSE),"")</f>
        <v/>
      </c>
      <c r="C1315" s="16">
        <f>IFERROR(SUMIF(Consolidado!$B$1:$B$1500,VLOOKUP(RegistroPago!A1315,Consolidado!$B$1:$L$1500,1,FALSE),Consolidado!$G$1:$G$1500),"")</f>
        <v>0</v>
      </c>
      <c r="D1315" s="3"/>
      <c r="E1315" s="3"/>
      <c r="F1315" s="5" t="str">
        <f t="shared" si="83"/>
        <v/>
      </c>
      <c r="G1315" s="16" t="str">
        <f>IF(D1315&lt;&gt;"",D1315-VLOOKUP(A1315,Consolidado!$B$1:$L$1500,8,FALSE),"")</f>
        <v/>
      </c>
      <c r="H1315" s="31"/>
      <c r="I1315" s="32">
        <f t="shared" si="80"/>
        <v>0</v>
      </c>
      <c r="J1315" s="33" t="str">
        <f t="shared" si="81"/>
        <v/>
      </c>
      <c r="K1315" s="2"/>
      <c r="L1315" s="15"/>
      <c r="M1315" s="34">
        <f t="shared" si="82"/>
        <v>0</v>
      </c>
    </row>
    <row r="1316" spans="1:13" x14ac:dyDescent="0.25">
      <c r="A1316" s="31"/>
      <c r="B1316" s="16" t="str">
        <f>IFERROR(VLOOKUP(A1316,Consolidado!$B$1:$L$1500,2,FALSE),"")</f>
        <v/>
      </c>
      <c r="C1316" s="16">
        <f>IFERROR(SUMIF(Consolidado!$B$1:$B$1500,VLOOKUP(RegistroPago!A1316,Consolidado!$B$1:$L$1500,1,FALSE),Consolidado!$G$1:$G$1500),"")</f>
        <v>0</v>
      </c>
      <c r="D1316" s="3"/>
      <c r="E1316" s="3"/>
      <c r="F1316" s="5" t="str">
        <f t="shared" si="83"/>
        <v/>
      </c>
      <c r="G1316" s="16" t="str">
        <f>IF(D1316&lt;&gt;"",D1316-VLOOKUP(A1316,Consolidado!$B$1:$L$1500,8,FALSE),"")</f>
        <v/>
      </c>
      <c r="H1316" s="31"/>
      <c r="I1316" s="32">
        <f t="shared" si="80"/>
        <v>0</v>
      </c>
      <c r="J1316" s="33" t="str">
        <f t="shared" si="81"/>
        <v/>
      </c>
      <c r="K1316" s="2"/>
      <c r="L1316" s="15"/>
      <c r="M1316" s="34">
        <f t="shared" si="82"/>
        <v>0</v>
      </c>
    </row>
    <row r="1317" spans="1:13" x14ac:dyDescent="0.25">
      <c r="A1317" s="31"/>
      <c r="B1317" s="16" t="str">
        <f>IFERROR(VLOOKUP(A1317,Consolidado!$B$1:$L$1500,2,FALSE),"")</f>
        <v/>
      </c>
      <c r="C1317" s="16">
        <f>IFERROR(SUMIF(Consolidado!$B$1:$B$1500,VLOOKUP(RegistroPago!A1317,Consolidado!$B$1:$L$1500,1,FALSE),Consolidado!$G$1:$G$1500),"")</f>
        <v>0</v>
      </c>
      <c r="D1317" s="3"/>
      <c r="E1317" s="3"/>
      <c r="F1317" s="5" t="str">
        <f t="shared" si="83"/>
        <v/>
      </c>
      <c r="G1317" s="16" t="str">
        <f>IF(D1317&lt;&gt;"",D1317-VLOOKUP(A1317,Consolidado!$B$1:$L$1500,8,FALSE),"")</f>
        <v/>
      </c>
      <c r="H1317" s="31"/>
      <c r="I1317" s="32">
        <f t="shared" si="80"/>
        <v>0</v>
      </c>
      <c r="J1317" s="33" t="str">
        <f t="shared" si="81"/>
        <v/>
      </c>
      <c r="K1317" s="2"/>
      <c r="L1317" s="15"/>
      <c r="M1317" s="34">
        <f t="shared" si="82"/>
        <v>0</v>
      </c>
    </row>
    <row r="1318" spans="1:13" x14ac:dyDescent="0.25">
      <c r="A1318" s="31"/>
      <c r="B1318" s="16" t="str">
        <f>IFERROR(VLOOKUP(A1318,Consolidado!$B$1:$L$1500,2,FALSE),"")</f>
        <v/>
      </c>
      <c r="C1318" s="16">
        <f>IFERROR(SUMIF(Consolidado!$B$1:$B$1500,VLOOKUP(RegistroPago!A1318,Consolidado!$B$1:$L$1500,1,FALSE),Consolidado!$G$1:$G$1500),"")</f>
        <v>0</v>
      </c>
      <c r="D1318" s="3"/>
      <c r="E1318" s="3"/>
      <c r="F1318" s="5" t="str">
        <f t="shared" si="83"/>
        <v/>
      </c>
      <c r="G1318" s="16" t="str">
        <f>IF(D1318&lt;&gt;"",D1318-VLOOKUP(A1318,Consolidado!$B$1:$L$1500,8,FALSE),"")</f>
        <v/>
      </c>
      <c r="H1318" s="31"/>
      <c r="I1318" s="32">
        <f t="shared" si="80"/>
        <v>0</v>
      </c>
      <c r="J1318" s="33" t="str">
        <f t="shared" si="81"/>
        <v/>
      </c>
      <c r="K1318" s="2"/>
      <c r="L1318" s="15"/>
      <c r="M1318" s="34">
        <f t="shared" si="82"/>
        <v>0</v>
      </c>
    </row>
    <row r="1319" spans="1:13" x14ac:dyDescent="0.25">
      <c r="A1319" s="31"/>
      <c r="B1319" s="16" t="str">
        <f>IFERROR(VLOOKUP(A1319,Consolidado!$B$1:$L$1500,2,FALSE),"")</f>
        <v/>
      </c>
      <c r="C1319" s="16">
        <f>IFERROR(SUMIF(Consolidado!$B$1:$B$1500,VLOOKUP(RegistroPago!A1319,Consolidado!$B$1:$L$1500,1,FALSE),Consolidado!$G$1:$G$1500),"")</f>
        <v>0</v>
      </c>
      <c r="D1319" s="3"/>
      <c r="E1319" s="3"/>
      <c r="F1319" s="5" t="str">
        <f t="shared" si="83"/>
        <v/>
      </c>
      <c r="G1319" s="16" t="str">
        <f>IF(D1319&lt;&gt;"",D1319-VLOOKUP(A1319,Consolidado!$B$1:$L$1500,8,FALSE),"")</f>
        <v/>
      </c>
      <c r="H1319" s="31"/>
      <c r="I1319" s="32">
        <f t="shared" si="80"/>
        <v>0</v>
      </c>
      <c r="J1319" s="33" t="str">
        <f t="shared" si="81"/>
        <v/>
      </c>
      <c r="K1319" s="2"/>
      <c r="L1319" s="15"/>
      <c r="M1319" s="34">
        <f t="shared" si="82"/>
        <v>0</v>
      </c>
    </row>
    <row r="1320" spans="1:13" x14ac:dyDescent="0.25">
      <c r="A1320" s="31"/>
      <c r="B1320" s="16" t="str">
        <f>IFERROR(VLOOKUP(A1320,Consolidado!$B$1:$L$1500,2,FALSE),"")</f>
        <v/>
      </c>
      <c r="C1320" s="16">
        <f>IFERROR(SUMIF(Consolidado!$B$1:$B$1500,VLOOKUP(RegistroPago!A1320,Consolidado!$B$1:$L$1500,1,FALSE),Consolidado!$G$1:$G$1500),"")</f>
        <v>0</v>
      </c>
      <c r="D1320" s="3"/>
      <c r="E1320" s="3"/>
      <c r="F1320" s="5" t="str">
        <f t="shared" si="83"/>
        <v/>
      </c>
      <c r="G1320" s="16" t="str">
        <f>IF(D1320&lt;&gt;"",D1320-VLOOKUP(A1320,Consolidado!$B$1:$L$1500,8,FALSE),"")</f>
        <v/>
      </c>
      <c r="H1320" s="31"/>
      <c r="I1320" s="32">
        <f t="shared" si="80"/>
        <v>0</v>
      </c>
      <c r="J1320" s="33" t="str">
        <f t="shared" si="81"/>
        <v/>
      </c>
      <c r="K1320" s="2"/>
      <c r="L1320" s="15"/>
      <c r="M1320" s="34">
        <f t="shared" si="82"/>
        <v>0</v>
      </c>
    </row>
    <row r="1321" spans="1:13" x14ac:dyDescent="0.25">
      <c r="A1321" s="31"/>
      <c r="B1321" s="16" t="str">
        <f>IFERROR(VLOOKUP(A1321,Consolidado!$B$1:$L$1500,2,FALSE),"")</f>
        <v/>
      </c>
      <c r="C1321" s="16">
        <f>IFERROR(SUMIF(Consolidado!$B$1:$B$1500,VLOOKUP(RegistroPago!A1321,Consolidado!$B$1:$L$1500,1,FALSE),Consolidado!$G$1:$G$1500),"")</f>
        <v>0</v>
      </c>
      <c r="D1321" s="3"/>
      <c r="E1321" s="3"/>
      <c r="F1321" s="5" t="str">
        <f t="shared" si="83"/>
        <v/>
      </c>
      <c r="G1321" s="16" t="str">
        <f>IF(D1321&lt;&gt;"",D1321-VLOOKUP(A1321,Consolidado!$B$1:$L$1500,8,FALSE),"")</f>
        <v/>
      </c>
      <c r="H1321" s="31"/>
      <c r="I1321" s="32">
        <f t="shared" ref="I1321:I1384" si="84">IFERROR(SUMIF($E$1:$E$2000,H1321,$C$1:$C$2000)-SUMIF($E$1:$E$2000,H1321,$F$1:$F$2000),"")</f>
        <v>0</v>
      </c>
      <c r="J1321" s="33" t="str">
        <f t="shared" ref="J1321:J1384" si="85">IFERROR(I1321/SUMIF($E$1:$E$2000,H1321,$C$1:$C$2000),"")</f>
        <v/>
      </c>
      <c r="K1321" s="2"/>
      <c r="L1321" s="15"/>
      <c r="M1321" s="34">
        <f t="shared" ref="M1321:M1384" si="86">IFERROR(L1321*SUMIF($E$1:$E$2000,H1321,$F$1:$F$2000),"")</f>
        <v>0</v>
      </c>
    </row>
    <row r="1322" spans="1:13" x14ac:dyDescent="0.25">
      <c r="A1322" s="31"/>
      <c r="B1322" s="16" t="str">
        <f>IFERROR(VLOOKUP(A1322,Consolidado!$B$1:$L$1500,2,FALSE),"")</f>
        <v/>
      </c>
      <c r="C1322" s="16">
        <f>IFERROR(SUMIF(Consolidado!$B$1:$B$1500,VLOOKUP(RegistroPago!A1322,Consolidado!$B$1:$L$1500,1,FALSE),Consolidado!$G$1:$G$1500),"")</f>
        <v>0</v>
      </c>
      <c r="D1322" s="3"/>
      <c r="E1322" s="3"/>
      <c r="F1322" s="5" t="str">
        <f t="shared" si="83"/>
        <v/>
      </c>
      <c r="G1322" s="16" t="str">
        <f>IF(D1322&lt;&gt;"",D1322-VLOOKUP(A1322,Consolidado!$B$1:$L$1500,8,FALSE),"")</f>
        <v/>
      </c>
      <c r="H1322" s="31"/>
      <c r="I1322" s="32">
        <f t="shared" si="84"/>
        <v>0</v>
      </c>
      <c r="J1322" s="33" t="str">
        <f t="shared" si="85"/>
        <v/>
      </c>
      <c r="K1322" s="2"/>
      <c r="L1322" s="15"/>
      <c r="M1322" s="34">
        <f t="shared" si="86"/>
        <v>0</v>
      </c>
    </row>
    <row r="1323" spans="1:13" x14ac:dyDescent="0.25">
      <c r="A1323" s="31"/>
      <c r="B1323" s="16" t="str">
        <f>IFERROR(VLOOKUP(A1323,Consolidado!$B$1:$L$1500,2,FALSE),"")</f>
        <v/>
      </c>
      <c r="C1323" s="16">
        <f>IFERROR(SUMIF(Consolidado!$B$1:$B$1500,VLOOKUP(RegistroPago!A1323,Consolidado!$B$1:$L$1500,1,FALSE),Consolidado!$G$1:$G$1500),"")</f>
        <v>0</v>
      </c>
      <c r="D1323" s="3"/>
      <c r="E1323" s="3"/>
      <c r="F1323" s="5" t="str">
        <f t="shared" si="83"/>
        <v/>
      </c>
      <c r="G1323" s="16" t="str">
        <f>IF(D1323&lt;&gt;"",D1323-VLOOKUP(A1323,Consolidado!$B$1:$L$1500,8,FALSE),"")</f>
        <v/>
      </c>
      <c r="H1323" s="31"/>
      <c r="I1323" s="32">
        <f t="shared" si="84"/>
        <v>0</v>
      </c>
      <c r="J1323" s="33" t="str">
        <f t="shared" si="85"/>
        <v/>
      </c>
      <c r="K1323" s="2"/>
      <c r="L1323" s="15"/>
      <c r="M1323" s="34">
        <f t="shared" si="86"/>
        <v>0</v>
      </c>
    </row>
    <row r="1324" spans="1:13" x14ac:dyDescent="0.25">
      <c r="A1324" s="31"/>
      <c r="B1324" s="16" t="str">
        <f>IFERROR(VLOOKUP(A1324,Consolidado!$B$1:$L$1500,2,FALSE),"")</f>
        <v/>
      </c>
      <c r="C1324" s="16">
        <f>IFERROR(SUMIF(Consolidado!$B$1:$B$1500,VLOOKUP(RegistroPago!A1324,Consolidado!$B$1:$L$1500,1,FALSE),Consolidado!$G$1:$G$1500),"")</f>
        <v>0</v>
      </c>
      <c r="D1324" s="3"/>
      <c r="E1324" s="3"/>
      <c r="F1324" s="5" t="str">
        <f t="shared" si="83"/>
        <v/>
      </c>
      <c r="G1324" s="16" t="str">
        <f>IF(D1324&lt;&gt;"",D1324-VLOOKUP(A1324,Consolidado!$B$1:$L$1500,8,FALSE),"")</f>
        <v/>
      </c>
      <c r="H1324" s="31"/>
      <c r="I1324" s="32">
        <f t="shared" si="84"/>
        <v>0</v>
      </c>
      <c r="J1324" s="33" t="str">
        <f t="shared" si="85"/>
        <v/>
      </c>
      <c r="K1324" s="2"/>
      <c r="L1324" s="15"/>
      <c r="M1324" s="34">
        <f t="shared" si="86"/>
        <v>0</v>
      </c>
    </row>
    <row r="1325" spans="1:13" x14ac:dyDescent="0.25">
      <c r="A1325" s="31"/>
      <c r="B1325" s="16" t="str">
        <f>IFERROR(VLOOKUP(A1325,Consolidado!$B$1:$L$1500,2,FALSE),"")</f>
        <v/>
      </c>
      <c r="C1325" s="16">
        <f>IFERROR(SUMIF(Consolidado!$B$1:$B$1500,VLOOKUP(RegistroPago!A1325,Consolidado!$B$1:$L$1500,1,FALSE),Consolidado!$G$1:$G$1500),"")</f>
        <v>0</v>
      </c>
      <c r="D1325" s="3"/>
      <c r="E1325" s="3"/>
      <c r="F1325" s="5" t="str">
        <f t="shared" si="83"/>
        <v/>
      </c>
      <c r="G1325" s="16" t="str">
        <f>IF(D1325&lt;&gt;"",D1325-VLOOKUP(A1325,Consolidado!$B$1:$L$1500,8,FALSE),"")</f>
        <v/>
      </c>
      <c r="H1325" s="31"/>
      <c r="I1325" s="32">
        <f t="shared" si="84"/>
        <v>0</v>
      </c>
      <c r="J1325" s="33" t="str">
        <f t="shared" si="85"/>
        <v/>
      </c>
      <c r="K1325" s="2"/>
      <c r="L1325" s="15"/>
      <c r="M1325" s="34">
        <f t="shared" si="86"/>
        <v>0</v>
      </c>
    </row>
    <row r="1326" spans="1:13" x14ac:dyDescent="0.25">
      <c r="A1326" s="31"/>
      <c r="B1326" s="16" t="str">
        <f>IFERROR(VLOOKUP(A1326,Consolidado!$B$1:$L$1500,2,FALSE),"")</f>
        <v/>
      </c>
      <c r="C1326" s="16">
        <f>IFERROR(SUMIF(Consolidado!$B$1:$B$1500,VLOOKUP(RegistroPago!A1326,Consolidado!$B$1:$L$1500,1,FALSE),Consolidado!$G$1:$G$1500),"")</f>
        <v>0</v>
      </c>
      <c r="D1326" s="3"/>
      <c r="E1326" s="3"/>
      <c r="F1326" s="5" t="str">
        <f t="shared" si="83"/>
        <v/>
      </c>
      <c r="G1326" s="16" t="str">
        <f>IF(D1326&lt;&gt;"",D1326-VLOOKUP(A1326,Consolidado!$B$1:$L$1500,8,FALSE),"")</f>
        <v/>
      </c>
      <c r="H1326" s="31"/>
      <c r="I1326" s="32">
        <f t="shared" si="84"/>
        <v>0</v>
      </c>
      <c r="J1326" s="33" t="str">
        <f t="shared" si="85"/>
        <v/>
      </c>
      <c r="K1326" s="2"/>
      <c r="L1326" s="15"/>
      <c r="M1326" s="34">
        <f t="shared" si="86"/>
        <v>0</v>
      </c>
    </row>
    <row r="1327" spans="1:13" x14ac:dyDescent="0.25">
      <c r="A1327" s="31"/>
      <c r="B1327" s="16" t="str">
        <f>IFERROR(VLOOKUP(A1327,Consolidado!$B$1:$L$1500,2,FALSE),"")</f>
        <v/>
      </c>
      <c r="C1327" s="16">
        <f>IFERROR(SUMIF(Consolidado!$B$1:$B$1500,VLOOKUP(RegistroPago!A1327,Consolidado!$B$1:$L$1500,1,FALSE),Consolidado!$G$1:$G$1500),"")</f>
        <v>0</v>
      </c>
      <c r="D1327" s="3"/>
      <c r="E1327" s="3"/>
      <c r="F1327" s="5" t="str">
        <f t="shared" si="83"/>
        <v/>
      </c>
      <c r="G1327" s="16" t="str">
        <f>IF(D1327&lt;&gt;"",D1327-VLOOKUP(A1327,Consolidado!$B$1:$L$1500,8,FALSE),"")</f>
        <v/>
      </c>
      <c r="H1327" s="31"/>
      <c r="I1327" s="32">
        <f t="shared" si="84"/>
        <v>0</v>
      </c>
      <c r="J1327" s="33" t="str">
        <f t="shared" si="85"/>
        <v/>
      </c>
      <c r="K1327" s="2"/>
      <c r="L1327" s="15"/>
      <c r="M1327" s="34">
        <f t="shared" si="86"/>
        <v>0</v>
      </c>
    </row>
    <row r="1328" spans="1:13" x14ac:dyDescent="0.25">
      <c r="A1328" s="31"/>
      <c r="B1328" s="16" t="str">
        <f>IFERROR(VLOOKUP(A1328,Consolidado!$B$1:$L$1500,2,FALSE),"")</f>
        <v/>
      </c>
      <c r="C1328" s="16">
        <f>IFERROR(SUMIF(Consolidado!$B$1:$B$1500,VLOOKUP(RegistroPago!A1328,Consolidado!$B$1:$L$1500,1,FALSE),Consolidado!$G$1:$G$1500),"")</f>
        <v>0</v>
      </c>
      <c r="D1328" s="3"/>
      <c r="E1328" s="3"/>
      <c r="F1328" s="5" t="str">
        <f t="shared" si="83"/>
        <v/>
      </c>
      <c r="G1328" s="16" t="str">
        <f>IF(D1328&lt;&gt;"",D1328-VLOOKUP(A1328,Consolidado!$B$1:$L$1500,8,FALSE),"")</f>
        <v/>
      </c>
      <c r="H1328" s="31"/>
      <c r="I1328" s="32">
        <f t="shared" si="84"/>
        <v>0</v>
      </c>
      <c r="J1328" s="33" t="str">
        <f t="shared" si="85"/>
        <v/>
      </c>
      <c r="K1328" s="2"/>
      <c r="L1328" s="15"/>
      <c r="M1328" s="34">
        <f t="shared" si="86"/>
        <v>0</v>
      </c>
    </row>
    <row r="1329" spans="1:13" x14ac:dyDescent="0.25">
      <c r="A1329" s="31"/>
      <c r="B1329" s="16" t="str">
        <f>IFERROR(VLOOKUP(A1329,Consolidado!$B$1:$L$1500,2,FALSE),"")</f>
        <v/>
      </c>
      <c r="C1329" s="16">
        <f>IFERROR(SUMIF(Consolidado!$B$1:$B$1500,VLOOKUP(RegistroPago!A1329,Consolidado!$B$1:$L$1500,1,FALSE),Consolidado!$G$1:$G$1500),"")</f>
        <v>0</v>
      </c>
      <c r="D1329" s="3"/>
      <c r="E1329" s="3"/>
      <c r="F1329" s="5" t="str">
        <f t="shared" si="83"/>
        <v/>
      </c>
      <c r="G1329" s="16" t="str">
        <f>IF(D1329&lt;&gt;"",D1329-VLOOKUP(A1329,Consolidado!$B$1:$L$1500,8,FALSE),"")</f>
        <v/>
      </c>
      <c r="H1329" s="31"/>
      <c r="I1329" s="32">
        <f t="shared" si="84"/>
        <v>0</v>
      </c>
      <c r="J1329" s="33" t="str">
        <f t="shared" si="85"/>
        <v/>
      </c>
      <c r="K1329" s="2"/>
      <c r="L1329" s="15"/>
      <c r="M1329" s="34">
        <f t="shared" si="86"/>
        <v>0</v>
      </c>
    </row>
    <row r="1330" spans="1:13" x14ac:dyDescent="0.25">
      <c r="A1330" s="31"/>
      <c r="B1330" s="16" t="str">
        <f>IFERROR(VLOOKUP(A1330,Consolidado!$B$1:$L$1500,2,FALSE),"")</f>
        <v/>
      </c>
      <c r="C1330" s="16">
        <f>IFERROR(SUMIF(Consolidado!$B$1:$B$1500,VLOOKUP(RegistroPago!A1330,Consolidado!$B$1:$L$1500,1,FALSE),Consolidado!$G$1:$G$1500),"")</f>
        <v>0</v>
      </c>
      <c r="D1330" s="3"/>
      <c r="E1330" s="3"/>
      <c r="F1330" s="5" t="str">
        <f t="shared" si="83"/>
        <v/>
      </c>
      <c r="G1330" s="16" t="str">
        <f>IF(D1330&lt;&gt;"",D1330-VLOOKUP(A1330,Consolidado!$B$1:$L$1500,8,FALSE),"")</f>
        <v/>
      </c>
      <c r="H1330" s="31"/>
      <c r="I1330" s="32">
        <f t="shared" si="84"/>
        <v>0</v>
      </c>
      <c r="J1330" s="33" t="str">
        <f t="shared" si="85"/>
        <v/>
      </c>
      <c r="K1330" s="2"/>
      <c r="L1330" s="15"/>
      <c r="M1330" s="34">
        <f t="shared" si="86"/>
        <v>0</v>
      </c>
    </row>
    <row r="1331" spans="1:13" x14ac:dyDescent="0.25">
      <c r="A1331" s="31"/>
      <c r="B1331" s="16" t="str">
        <f>IFERROR(VLOOKUP(A1331,Consolidado!$B$1:$L$1500,2,FALSE),"")</f>
        <v/>
      </c>
      <c r="C1331" s="16">
        <f>IFERROR(SUMIF(Consolidado!$B$1:$B$1500,VLOOKUP(RegistroPago!A1331,Consolidado!$B$1:$L$1500,1,FALSE),Consolidado!$G$1:$G$1500),"")</f>
        <v>0</v>
      </c>
      <c r="D1331" s="3"/>
      <c r="E1331" s="3"/>
      <c r="F1331" s="5" t="str">
        <f t="shared" si="83"/>
        <v/>
      </c>
      <c r="G1331" s="16" t="str">
        <f>IF(D1331&lt;&gt;"",D1331-VLOOKUP(A1331,Consolidado!$B$1:$L$1500,8,FALSE),"")</f>
        <v/>
      </c>
      <c r="H1331" s="31"/>
      <c r="I1331" s="32">
        <f t="shared" si="84"/>
        <v>0</v>
      </c>
      <c r="J1331" s="33" t="str">
        <f t="shared" si="85"/>
        <v/>
      </c>
      <c r="K1331" s="2"/>
      <c r="L1331" s="15"/>
      <c r="M1331" s="34">
        <f t="shared" si="86"/>
        <v>0</v>
      </c>
    </row>
    <row r="1332" spans="1:13" x14ac:dyDescent="0.25">
      <c r="A1332" s="31"/>
      <c r="B1332" s="16" t="str">
        <f>IFERROR(VLOOKUP(A1332,Consolidado!$B$1:$L$1500,2,FALSE),"")</f>
        <v/>
      </c>
      <c r="C1332" s="16">
        <f>IFERROR(SUMIF(Consolidado!$B$1:$B$1500,VLOOKUP(RegistroPago!A1332,Consolidado!$B$1:$L$1500,1,FALSE),Consolidado!$G$1:$G$1500),"")</f>
        <v>0</v>
      </c>
      <c r="D1332" s="3"/>
      <c r="E1332" s="3"/>
      <c r="F1332" s="5" t="str">
        <f t="shared" si="83"/>
        <v/>
      </c>
      <c r="G1332" s="16" t="str">
        <f>IF(D1332&lt;&gt;"",D1332-VLOOKUP(A1332,Consolidado!$B$1:$L$1500,8,FALSE),"")</f>
        <v/>
      </c>
      <c r="H1332" s="31"/>
      <c r="I1332" s="32">
        <f t="shared" si="84"/>
        <v>0</v>
      </c>
      <c r="J1332" s="33" t="str">
        <f t="shared" si="85"/>
        <v/>
      </c>
      <c r="K1332" s="2"/>
      <c r="L1332" s="15"/>
      <c r="M1332" s="34">
        <f t="shared" si="86"/>
        <v>0</v>
      </c>
    </row>
    <row r="1333" spans="1:13" x14ac:dyDescent="0.25">
      <c r="A1333" s="31"/>
      <c r="B1333" s="16" t="str">
        <f>IFERROR(VLOOKUP(A1333,Consolidado!$B$1:$L$1500,2,FALSE),"")</f>
        <v/>
      </c>
      <c r="C1333" s="16">
        <f>IFERROR(SUMIF(Consolidado!$B$1:$B$1500,VLOOKUP(RegistroPago!A1333,Consolidado!$B$1:$L$1500,1,FALSE),Consolidado!$G$1:$G$1500),"")</f>
        <v>0</v>
      </c>
      <c r="D1333" s="3"/>
      <c r="E1333" s="3"/>
      <c r="F1333" s="5" t="str">
        <f t="shared" si="83"/>
        <v/>
      </c>
      <c r="G1333" s="16" t="str">
        <f>IF(D1333&lt;&gt;"",D1333-VLOOKUP(A1333,Consolidado!$B$1:$L$1500,8,FALSE),"")</f>
        <v/>
      </c>
      <c r="H1333" s="31"/>
      <c r="I1333" s="32">
        <f t="shared" si="84"/>
        <v>0</v>
      </c>
      <c r="J1333" s="33" t="str">
        <f t="shared" si="85"/>
        <v/>
      </c>
      <c r="K1333" s="2"/>
      <c r="L1333" s="15"/>
      <c r="M1333" s="34">
        <f t="shared" si="86"/>
        <v>0</v>
      </c>
    </row>
    <row r="1334" spans="1:13" x14ac:dyDescent="0.25">
      <c r="A1334" s="31"/>
      <c r="B1334" s="16" t="str">
        <f>IFERROR(VLOOKUP(A1334,Consolidado!$B$1:$L$1500,2,FALSE),"")</f>
        <v/>
      </c>
      <c r="C1334" s="16">
        <f>IFERROR(SUMIF(Consolidado!$B$1:$B$1500,VLOOKUP(RegistroPago!A1334,Consolidado!$B$1:$L$1500,1,FALSE),Consolidado!$G$1:$G$1500),"")</f>
        <v>0</v>
      </c>
      <c r="D1334" s="3"/>
      <c r="E1334" s="3"/>
      <c r="F1334" s="5" t="str">
        <f t="shared" si="83"/>
        <v/>
      </c>
      <c r="G1334" s="16" t="str">
        <f>IF(D1334&lt;&gt;"",D1334-VLOOKUP(A1334,Consolidado!$B$1:$L$1500,8,FALSE),"")</f>
        <v/>
      </c>
      <c r="H1334" s="31"/>
      <c r="I1334" s="32">
        <f t="shared" si="84"/>
        <v>0</v>
      </c>
      <c r="J1334" s="33" t="str">
        <f t="shared" si="85"/>
        <v/>
      </c>
      <c r="K1334" s="2"/>
      <c r="L1334" s="15"/>
      <c r="M1334" s="34">
        <f t="shared" si="86"/>
        <v>0</v>
      </c>
    </row>
    <row r="1335" spans="1:13" x14ac:dyDescent="0.25">
      <c r="A1335" s="31"/>
      <c r="B1335" s="16" t="str">
        <f>IFERROR(VLOOKUP(A1335,Consolidado!$B$1:$L$1500,2,FALSE),"")</f>
        <v/>
      </c>
      <c r="C1335" s="16">
        <f>IFERROR(SUMIF(Consolidado!$B$1:$B$1500,VLOOKUP(RegistroPago!A1335,Consolidado!$B$1:$L$1500,1,FALSE),Consolidado!$G$1:$G$1500),"")</f>
        <v>0</v>
      </c>
      <c r="D1335" s="3"/>
      <c r="E1335" s="3"/>
      <c r="F1335" s="5" t="str">
        <f t="shared" si="83"/>
        <v/>
      </c>
      <c r="G1335" s="16" t="str">
        <f>IF(D1335&lt;&gt;"",D1335-VLOOKUP(A1335,Consolidado!$B$1:$L$1500,8,FALSE),"")</f>
        <v/>
      </c>
      <c r="H1335" s="31"/>
      <c r="I1335" s="32">
        <f t="shared" si="84"/>
        <v>0</v>
      </c>
      <c r="J1335" s="33" t="str">
        <f t="shared" si="85"/>
        <v/>
      </c>
      <c r="K1335" s="2"/>
      <c r="L1335" s="15"/>
      <c r="M1335" s="34">
        <f t="shared" si="86"/>
        <v>0</v>
      </c>
    </row>
    <row r="1336" spans="1:13" x14ac:dyDescent="0.25">
      <c r="A1336" s="31"/>
      <c r="B1336" s="16" t="str">
        <f>IFERROR(VLOOKUP(A1336,Consolidado!$B$1:$L$1500,2,FALSE),"")</f>
        <v/>
      </c>
      <c r="C1336" s="16">
        <f>IFERROR(SUMIF(Consolidado!$B$1:$B$1500,VLOOKUP(RegistroPago!A1336,Consolidado!$B$1:$L$1500,1,FALSE),Consolidado!$G$1:$G$1500),"")</f>
        <v>0</v>
      </c>
      <c r="D1336" s="3"/>
      <c r="E1336" s="3"/>
      <c r="F1336" s="5" t="str">
        <f t="shared" si="83"/>
        <v/>
      </c>
      <c r="G1336" s="16" t="str">
        <f>IF(D1336&lt;&gt;"",D1336-VLOOKUP(A1336,Consolidado!$B$1:$L$1500,8,FALSE),"")</f>
        <v/>
      </c>
      <c r="H1336" s="31"/>
      <c r="I1336" s="32">
        <f t="shared" si="84"/>
        <v>0</v>
      </c>
      <c r="J1336" s="33" t="str">
        <f t="shared" si="85"/>
        <v/>
      </c>
      <c r="K1336" s="2"/>
      <c r="L1336" s="15"/>
      <c r="M1336" s="34">
        <f t="shared" si="86"/>
        <v>0</v>
      </c>
    </row>
    <row r="1337" spans="1:13" x14ac:dyDescent="0.25">
      <c r="A1337" s="31"/>
      <c r="B1337" s="16" t="str">
        <f>IFERROR(VLOOKUP(A1337,Consolidado!$B$1:$L$1500,2,FALSE),"")</f>
        <v/>
      </c>
      <c r="C1337" s="16">
        <f>IFERROR(SUMIF(Consolidado!$B$1:$B$1500,VLOOKUP(RegistroPago!A1337,Consolidado!$B$1:$L$1500,1,FALSE),Consolidado!$G$1:$G$1500),"")</f>
        <v>0</v>
      </c>
      <c r="D1337" s="3"/>
      <c r="E1337" s="3"/>
      <c r="F1337" s="5" t="str">
        <f t="shared" si="83"/>
        <v/>
      </c>
      <c r="G1337" s="16" t="str">
        <f>IF(D1337&lt;&gt;"",D1337-VLOOKUP(A1337,Consolidado!$B$1:$L$1500,8,FALSE),"")</f>
        <v/>
      </c>
      <c r="H1337" s="31"/>
      <c r="I1337" s="32">
        <f t="shared" si="84"/>
        <v>0</v>
      </c>
      <c r="J1337" s="33" t="str">
        <f t="shared" si="85"/>
        <v/>
      </c>
      <c r="K1337" s="2"/>
      <c r="L1337" s="15"/>
      <c r="M1337" s="34">
        <f t="shared" si="86"/>
        <v>0</v>
      </c>
    </row>
    <row r="1338" spans="1:13" x14ac:dyDescent="0.25">
      <c r="A1338" s="31"/>
      <c r="B1338" s="16" t="str">
        <f>IFERROR(VLOOKUP(A1338,Consolidado!$B$1:$L$1500,2,FALSE),"")</f>
        <v/>
      </c>
      <c r="C1338" s="16">
        <f>IFERROR(SUMIF(Consolidado!$B$1:$B$1500,VLOOKUP(RegistroPago!A1338,Consolidado!$B$1:$L$1500,1,FALSE),Consolidado!$G$1:$G$1500),"")</f>
        <v>0</v>
      </c>
      <c r="D1338" s="3"/>
      <c r="E1338" s="3"/>
      <c r="F1338" s="5" t="str">
        <f t="shared" si="83"/>
        <v/>
      </c>
      <c r="G1338" s="16" t="str">
        <f>IF(D1338&lt;&gt;"",D1338-VLOOKUP(A1338,Consolidado!$B$1:$L$1500,8,FALSE),"")</f>
        <v/>
      </c>
      <c r="H1338" s="31"/>
      <c r="I1338" s="32">
        <f t="shared" si="84"/>
        <v>0</v>
      </c>
      <c r="J1338" s="33" t="str">
        <f t="shared" si="85"/>
        <v/>
      </c>
      <c r="K1338" s="2"/>
      <c r="L1338" s="15"/>
      <c r="M1338" s="34">
        <f t="shared" si="86"/>
        <v>0</v>
      </c>
    </row>
    <row r="1339" spans="1:13" x14ac:dyDescent="0.25">
      <c r="A1339" s="31"/>
      <c r="B1339" s="16" t="str">
        <f>IFERROR(VLOOKUP(A1339,Consolidado!$B$1:$L$1500,2,FALSE),"")</f>
        <v/>
      </c>
      <c r="C1339" s="16">
        <f>IFERROR(SUMIF(Consolidado!$B$1:$B$1500,VLOOKUP(RegistroPago!A1339,Consolidado!$B$1:$L$1500,1,FALSE),Consolidado!$G$1:$G$1500),"")</f>
        <v>0</v>
      </c>
      <c r="D1339" s="3"/>
      <c r="E1339" s="3"/>
      <c r="F1339" s="5" t="str">
        <f t="shared" si="83"/>
        <v/>
      </c>
      <c r="G1339" s="16" t="str">
        <f>IF(D1339&lt;&gt;"",D1339-VLOOKUP(A1339,Consolidado!$B$1:$L$1500,8,FALSE),"")</f>
        <v/>
      </c>
      <c r="H1339" s="31"/>
      <c r="I1339" s="32">
        <f t="shared" si="84"/>
        <v>0</v>
      </c>
      <c r="J1339" s="33" t="str">
        <f t="shared" si="85"/>
        <v/>
      </c>
      <c r="K1339" s="2"/>
      <c r="L1339" s="15"/>
      <c r="M1339" s="34">
        <f t="shared" si="86"/>
        <v>0</v>
      </c>
    </row>
    <row r="1340" spans="1:13" x14ac:dyDescent="0.25">
      <c r="A1340" s="31"/>
      <c r="B1340" s="16" t="str">
        <f>IFERROR(VLOOKUP(A1340,Consolidado!$B$1:$L$1500,2,FALSE),"")</f>
        <v/>
      </c>
      <c r="C1340" s="16">
        <f>IFERROR(SUMIF(Consolidado!$B$1:$B$1500,VLOOKUP(RegistroPago!A1340,Consolidado!$B$1:$L$1500,1,FALSE),Consolidado!$G$1:$G$1500),"")</f>
        <v>0</v>
      </c>
      <c r="D1340" s="3"/>
      <c r="E1340" s="3"/>
      <c r="F1340" s="5" t="str">
        <f t="shared" si="83"/>
        <v/>
      </c>
      <c r="G1340" s="16" t="str">
        <f>IF(D1340&lt;&gt;"",D1340-VLOOKUP(A1340,Consolidado!$B$1:$L$1500,8,FALSE),"")</f>
        <v/>
      </c>
      <c r="H1340" s="31"/>
      <c r="I1340" s="32">
        <f t="shared" si="84"/>
        <v>0</v>
      </c>
      <c r="J1340" s="33" t="str">
        <f t="shared" si="85"/>
        <v/>
      </c>
      <c r="K1340" s="2"/>
      <c r="L1340" s="15"/>
      <c r="M1340" s="34">
        <f t="shared" si="86"/>
        <v>0</v>
      </c>
    </row>
    <row r="1341" spans="1:13" x14ac:dyDescent="0.25">
      <c r="A1341" s="31"/>
      <c r="B1341" s="16" t="str">
        <f>IFERROR(VLOOKUP(A1341,Consolidado!$B$1:$L$1500,2,FALSE),"")</f>
        <v/>
      </c>
      <c r="C1341" s="16">
        <f>IFERROR(SUMIF(Consolidado!$B$1:$B$1500,VLOOKUP(RegistroPago!A1341,Consolidado!$B$1:$L$1500,1,FALSE),Consolidado!$G$1:$G$1500),"")</f>
        <v>0</v>
      </c>
      <c r="D1341" s="3"/>
      <c r="E1341" s="3"/>
      <c r="F1341" s="5" t="str">
        <f t="shared" si="83"/>
        <v/>
      </c>
      <c r="G1341" s="16" t="str">
        <f>IF(D1341&lt;&gt;"",D1341-VLOOKUP(A1341,Consolidado!$B$1:$L$1500,8,FALSE),"")</f>
        <v/>
      </c>
      <c r="H1341" s="31"/>
      <c r="I1341" s="32">
        <f t="shared" si="84"/>
        <v>0</v>
      </c>
      <c r="J1341" s="33" t="str">
        <f t="shared" si="85"/>
        <v/>
      </c>
      <c r="K1341" s="2"/>
      <c r="L1341" s="15"/>
      <c r="M1341" s="34">
        <f t="shared" si="86"/>
        <v>0</v>
      </c>
    </row>
    <row r="1342" spans="1:13" x14ac:dyDescent="0.25">
      <c r="A1342" s="31"/>
      <c r="B1342" s="16" t="str">
        <f>IFERROR(VLOOKUP(A1342,Consolidado!$B$1:$L$1500,2,FALSE),"")</f>
        <v/>
      </c>
      <c r="C1342" s="16">
        <f>IFERROR(SUMIF(Consolidado!$B$1:$B$1500,VLOOKUP(RegistroPago!A1342,Consolidado!$B$1:$L$1500,1,FALSE),Consolidado!$G$1:$G$1500),"")</f>
        <v>0</v>
      </c>
      <c r="D1342" s="3"/>
      <c r="E1342" s="3"/>
      <c r="F1342" s="5" t="str">
        <f t="shared" si="83"/>
        <v/>
      </c>
      <c r="G1342" s="16" t="str">
        <f>IF(D1342&lt;&gt;"",D1342-VLOOKUP(A1342,Consolidado!$B$1:$L$1500,8,FALSE),"")</f>
        <v/>
      </c>
      <c r="H1342" s="31"/>
      <c r="I1342" s="32">
        <f t="shared" si="84"/>
        <v>0</v>
      </c>
      <c r="J1342" s="33" t="str">
        <f t="shared" si="85"/>
        <v/>
      </c>
      <c r="K1342" s="2"/>
      <c r="L1342" s="15"/>
      <c r="M1342" s="34">
        <f t="shared" si="86"/>
        <v>0</v>
      </c>
    </row>
    <row r="1343" spans="1:13" x14ac:dyDescent="0.25">
      <c r="A1343" s="31"/>
      <c r="B1343" s="16" t="str">
        <f>IFERROR(VLOOKUP(A1343,Consolidado!$B$1:$L$1500,2,FALSE),"")</f>
        <v/>
      </c>
      <c r="C1343" s="16">
        <f>IFERROR(SUMIF(Consolidado!$B$1:$B$1500,VLOOKUP(RegistroPago!A1343,Consolidado!$B$1:$L$1500,1,FALSE),Consolidado!$G$1:$G$1500),"")</f>
        <v>0</v>
      </c>
      <c r="D1343" s="3"/>
      <c r="E1343" s="3"/>
      <c r="F1343" s="5" t="str">
        <f t="shared" si="83"/>
        <v/>
      </c>
      <c r="G1343" s="16" t="str">
        <f>IF(D1343&lt;&gt;"",D1343-VLOOKUP(A1343,Consolidado!$B$1:$L$1500,8,FALSE),"")</f>
        <v/>
      </c>
      <c r="H1343" s="31"/>
      <c r="I1343" s="32">
        <f t="shared" si="84"/>
        <v>0</v>
      </c>
      <c r="J1343" s="33" t="str">
        <f t="shared" si="85"/>
        <v/>
      </c>
      <c r="K1343" s="2"/>
      <c r="L1343" s="15"/>
      <c r="M1343" s="34">
        <f t="shared" si="86"/>
        <v>0</v>
      </c>
    </row>
    <row r="1344" spans="1:13" x14ac:dyDescent="0.25">
      <c r="A1344" s="31"/>
      <c r="B1344" s="16" t="str">
        <f>IFERROR(VLOOKUP(A1344,Consolidado!$B$1:$L$1500,2,FALSE),"")</f>
        <v/>
      </c>
      <c r="C1344" s="16">
        <f>IFERROR(SUMIF(Consolidado!$B$1:$B$1500,VLOOKUP(RegistroPago!A1344,Consolidado!$B$1:$L$1500,1,FALSE),Consolidado!$G$1:$G$1500),"")</f>
        <v>0</v>
      </c>
      <c r="D1344" s="3"/>
      <c r="E1344" s="3"/>
      <c r="F1344" s="5" t="str">
        <f t="shared" si="83"/>
        <v/>
      </c>
      <c r="G1344" s="16" t="str">
        <f>IF(D1344&lt;&gt;"",D1344-VLOOKUP(A1344,Consolidado!$B$1:$L$1500,8,FALSE),"")</f>
        <v/>
      </c>
      <c r="H1344" s="31"/>
      <c r="I1344" s="32">
        <f t="shared" si="84"/>
        <v>0</v>
      </c>
      <c r="J1344" s="33" t="str">
        <f t="shared" si="85"/>
        <v/>
      </c>
      <c r="K1344" s="2"/>
      <c r="L1344" s="15"/>
      <c r="M1344" s="34">
        <f t="shared" si="86"/>
        <v>0</v>
      </c>
    </row>
    <row r="1345" spans="1:13" x14ac:dyDescent="0.25">
      <c r="A1345" s="31"/>
      <c r="B1345" s="16" t="str">
        <f>IFERROR(VLOOKUP(A1345,Consolidado!$B$1:$L$1500,2,FALSE),"")</f>
        <v/>
      </c>
      <c r="C1345" s="16">
        <f>IFERROR(SUMIF(Consolidado!$B$1:$B$1500,VLOOKUP(RegistroPago!A1345,Consolidado!$B$1:$L$1500,1,FALSE),Consolidado!$G$1:$G$1500),"")</f>
        <v>0</v>
      </c>
      <c r="D1345" s="3"/>
      <c r="E1345" s="3"/>
      <c r="F1345" s="5" t="str">
        <f t="shared" si="83"/>
        <v/>
      </c>
      <c r="G1345" s="16" t="str">
        <f>IF(D1345&lt;&gt;"",D1345-VLOOKUP(A1345,Consolidado!$B$1:$L$1500,8,FALSE),"")</f>
        <v/>
      </c>
      <c r="H1345" s="31"/>
      <c r="I1345" s="32">
        <f t="shared" si="84"/>
        <v>0</v>
      </c>
      <c r="J1345" s="33" t="str">
        <f t="shared" si="85"/>
        <v/>
      </c>
      <c r="K1345" s="2"/>
      <c r="L1345" s="15"/>
      <c r="M1345" s="34">
        <f t="shared" si="86"/>
        <v>0</v>
      </c>
    </row>
    <row r="1346" spans="1:13" x14ac:dyDescent="0.25">
      <c r="A1346" s="31"/>
      <c r="B1346" s="16" t="str">
        <f>IFERROR(VLOOKUP(A1346,Consolidado!$B$1:$L$1500,2,FALSE),"")</f>
        <v/>
      </c>
      <c r="C1346" s="16">
        <f>IFERROR(SUMIF(Consolidado!$B$1:$B$1500,VLOOKUP(RegistroPago!A1346,Consolidado!$B$1:$L$1500,1,FALSE),Consolidado!$G$1:$G$1500),"")</f>
        <v>0</v>
      </c>
      <c r="D1346" s="3"/>
      <c r="E1346" s="3"/>
      <c r="F1346" s="5" t="str">
        <f t="shared" si="83"/>
        <v/>
      </c>
      <c r="G1346" s="16" t="str">
        <f>IF(D1346&lt;&gt;"",D1346-VLOOKUP(A1346,Consolidado!$B$1:$L$1500,8,FALSE),"")</f>
        <v/>
      </c>
      <c r="H1346" s="31"/>
      <c r="I1346" s="32">
        <f t="shared" si="84"/>
        <v>0</v>
      </c>
      <c r="J1346" s="33" t="str">
        <f t="shared" si="85"/>
        <v/>
      </c>
      <c r="K1346" s="2"/>
      <c r="L1346" s="15"/>
      <c r="M1346" s="34">
        <f t="shared" si="86"/>
        <v>0</v>
      </c>
    </row>
    <row r="1347" spans="1:13" x14ac:dyDescent="0.25">
      <c r="A1347" s="31"/>
      <c r="B1347" s="16" t="str">
        <f>IFERROR(VLOOKUP(A1347,Consolidado!$B$1:$L$1500,2,FALSE),"")</f>
        <v/>
      </c>
      <c r="C1347" s="16">
        <f>IFERROR(SUMIF(Consolidado!$B$1:$B$1500,VLOOKUP(RegistroPago!A1347,Consolidado!$B$1:$L$1500,1,FALSE),Consolidado!$G$1:$G$1500),"")</f>
        <v>0</v>
      </c>
      <c r="D1347" s="3"/>
      <c r="E1347" s="3"/>
      <c r="F1347" s="5" t="str">
        <f t="shared" ref="F1347:F1410" si="87">IF(COUNTIF($E$2:$E$2000,E1347)&gt;1,"Ya registrado","")</f>
        <v/>
      </c>
      <c r="G1347" s="16" t="str">
        <f>IF(D1347&lt;&gt;"",D1347-VLOOKUP(A1347,Consolidado!$B$1:$L$1500,8,FALSE),"")</f>
        <v/>
      </c>
      <c r="H1347" s="31"/>
      <c r="I1347" s="32">
        <f t="shared" si="84"/>
        <v>0</v>
      </c>
      <c r="J1347" s="33" t="str">
        <f t="shared" si="85"/>
        <v/>
      </c>
      <c r="K1347" s="2"/>
      <c r="L1347" s="15"/>
      <c r="M1347" s="34">
        <f t="shared" si="86"/>
        <v>0</v>
      </c>
    </row>
    <row r="1348" spans="1:13" x14ac:dyDescent="0.25">
      <c r="A1348" s="31"/>
      <c r="B1348" s="16" t="str">
        <f>IFERROR(VLOOKUP(A1348,Consolidado!$B$1:$L$1500,2,FALSE),"")</f>
        <v/>
      </c>
      <c r="C1348" s="16">
        <f>IFERROR(SUMIF(Consolidado!$B$1:$B$1500,VLOOKUP(RegistroPago!A1348,Consolidado!$B$1:$L$1500,1,FALSE),Consolidado!$G$1:$G$1500),"")</f>
        <v>0</v>
      </c>
      <c r="D1348" s="3"/>
      <c r="E1348" s="3"/>
      <c r="F1348" s="5" t="str">
        <f t="shared" si="87"/>
        <v/>
      </c>
      <c r="G1348" s="16" t="str">
        <f>IF(D1348&lt;&gt;"",D1348-VLOOKUP(A1348,Consolidado!$B$1:$L$1500,8,FALSE),"")</f>
        <v/>
      </c>
      <c r="H1348" s="31"/>
      <c r="I1348" s="32">
        <f t="shared" si="84"/>
        <v>0</v>
      </c>
      <c r="J1348" s="33" t="str">
        <f t="shared" si="85"/>
        <v/>
      </c>
      <c r="K1348" s="2"/>
      <c r="L1348" s="15"/>
      <c r="M1348" s="34">
        <f t="shared" si="86"/>
        <v>0</v>
      </c>
    </row>
    <row r="1349" spans="1:13" x14ac:dyDescent="0.25">
      <c r="A1349" s="31"/>
      <c r="B1349" s="16" t="str">
        <f>IFERROR(VLOOKUP(A1349,Consolidado!$B$1:$L$1500,2,FALSE),"")</f>
        <v/>
      </c>
      <c r="C1349" s="16">
        <f>IFERROR(SUMIF(Consolidado!$B$1:$B$1500,VLOOKUP(RegistroPago!A1349,Consolidado!$B$1:$L$1500,1,FALSE),Consolidado!$G$1:$G$1500),"")</f>
        <v>0</v>
      </c>
      <c r="D1349" s="3"/>
      <c r="E1349" s="3"/>
      <c r="F1349" s="5" t="str">
        <f t="shared" si="87"/>
        <v/>
      </c>
      <c r="G1349" s="16" t="str">
        <f>IF(D1349&lt;&gt;"",D1349-VLOOKUP(A1349,Consolidado!$B$1:$L$1500,8,FALSE),"")</f>
        <v/>
      </c>
      <c r="H1349" s="31"/>
      <c r="I1349" s="32">
        <f t="shared" si="84"/>
        <v>0</v>
      </c>
      <c r="J1349" s="33" t="str">
        <f t="shared" si="85"/>
        <v/>
      </c>
      <c r="K1349" s="2"/>
      <c r="L1349" s="15"/>
      <c r="M1349" s="34">
        <f t="shared" si="86"/>
        <v>0</v>
      </c>
    </row>
    <row r="1350" spans="1:13" x14ac:dyDescent="0.25">
      <c r="A1350" s="31"/>
      <c r="B1350" s="16" t="str">
        <f>IFERROR(VLOOKUP(A1350,Consolidado!$B$1:$L$1500,2,FALSE),"")</f>
        <v/>
      </c>
      <c r="C1350" s="16">
        <f>IFERROR(SUMIF(Consolidado!$B$1:$B$1500,VLOOKUP(RegistroPago!A1350,Consolidado!$B$1:$L$1500,1,FALSE),Consolidado!$G$1:$G$1500),"")</f>
        <v>0</v>
      </c>
      <c r="D1350" s="3"/>
      <c r="E1350" s="3"/>
      <c r="F1350" s="5" t="str">
        <f t="shared" si="87"/>
        <v/>
      </c>
      <c r="G1350" s="16" t="str">
        <f>IF(D1350&lt;&gt;"",D1350-VLOOKUP(A1350,Consolidado!$B$1:$L$1500,8,FALSE),"")</f>
        <v/>
      </c>
      <c r="H1350" s="31"/>
      <c r="I1350" s="32">
        <f t="shared" si="84"/>
        <v>0</v>
      </c>
      <c r="J1350" s="33" t="str">
        <f t="shared" si="85"/>
        <v/>
      </c>
      <c r="K1350" s="2"/>
      <c r="L1350" s="15"/>
      <c r="M1350" s="34">
        <f t="shared" si="86"/>
        <v>0</v>
      </c>
    </row>
    <row r="1351" spans="1:13" x14ac:dyDescent="0.25">
      <c r="A1351" s="31"/>
      <c r="B1351" s="16" t="str">
        <f>IFERROR(VLOOKUP(A1351,Consolidado!$B$1:$L$1500,2,FALSE),"")</f>
        <v/>
      </c>
      <c r="C1351" s="16">
        <f>IFERROR(SUMIF(Consolidado!$B$1:$B$1500,VLOOKUP(RegistroPago!A1351,Consolidado!$B$1:$L$1500,1,FALSE),Consolidado!$G$1:$G$1500),"")</f>
        <v>0</v>
      </c>
      <c r="D1351" s="3"/>
      <c r="E1351" s="3"/>
      <c r="F1351" s="5" t="str">
        <f t="shared" si="87"/>
        <v/>
      </c>
      <c r="G1351" s="16" t="str">
        <f>IF(D1351&lt;&gt;"",D1351-VLOOKUP(A1351,Consolidado!$B$1:$L$1500,8,FALSE),"")</f>
        <v/>
      </c>
      <c r="H1351" s="31"/>
      <c r="I1351" s="32">
        <f t="shared" si="84"/>
        <v>0</v>
      </c>
      <c r="J1351" s="33" t="str">
        <f t="shared" si="85"/>
        <v/>
      </c>
      <c r="K1351" s="2"/>
      <c r="L1351" s="15"/>
      <c r="M1351" s="34">
        <f t="shared" si="86"/>
        <v>0</v>
      </c>
    </row>
    <row r="1352" spans="1:13" x14ac:dyDescent="0.25">
      <c r="A1352" s="31"/>
      <c r="B1352" s="16" t="str">
        <f>IFERROR(VLOOKUP(A1352,Consolidado!$B$1:$L$1500,2,FALSE),"")</f>
        <v/>
      </c>
      <c r="C1352" s="16">
        <f>IFERROR(SUMIF(Consolidado!$B$1:$B$1500,VLOOKUP(RegistroPago!A1352,Consolidado!$B$1:$L$1500,1,FALSE),Consolidado!$G$1:$G$1500),"")</f>
        <v>0</v>
      </c>
      <c r="D1352" s="3"/>
      <c r="E1352" s="3"/>
      <c r="F1352" s="5" t="str">
        <f t="shared" si="87"/>
        <v/>
      </c>
      <c r="G1352" s="16" t="str">
        <f>IF(D1352&lt;&gt;"",D1352-VLOOKUP(A1352,Consolidado!$B$1:$L$1500,8,FALSE),"")</f>
        <v/>
      </c>
      <c r="H1352" s="31"/>
      <c r="I1352" s="32">
        <f t="shared" si="84"/>
        <v>0</v>
      </c>
      <c r="J1352" s="33" t="str">
        <f t="shared" si="85"/>
        <v/>
      </c>
      <c r="K1352" s="2"/>
      <c r="L1352" s="15"/>
      <c r="M1352" s="34">
        <f t="shared" si="86"/>
        <v>0</v>
      </c>
    </row>
    <row r="1353" spans="1:13" x14ac:dyDescent="0.25">
      <c r="A1353" s="31"/>
      <c r="B1353" s="16" t="str">
        <f>IFERROR(VLOOKUP(A1353,Consolidado!$B$1:$L$1500,2,FALSE),"")</f>
        <v/>
      </c>
      <c r="C1353" s="16">
        <f>IFERROR(SUMIF(Consolidado!$B$1:$B$1500,VLOOKUP(RegistroPago!A1353,Consolidado!$B$1:$L$1500,1,FALSE),Consolidado!$G$1:$G$1500),"")</f>
        <v>0</v>
      </c>
      <c r="D1353" s="3"/>
      <c r="E1353" s="3"/>
      <c r="F1353" s="5" t="str">
        <f t="shared" si="87"/>
        <v/>
      </c>
      <c r="G1353" s="16" t="str">
        <f>IF(D1353&lt;&gt;"",D1353-VLOOKUP(A1353,Consolidado!$B$1:$L$1500,8,FALSE),"")</f>
        <v/>
      </c>
      <c r="H1353" s="31"/>
      <c r="I1353" s="32">
        <f t="shared" si="84"/>
        <v>0</v>
      </c>
      <c r="J1353" s="33" t="str">
        <f t="shared" si="85"/>
        <v/>
      </c>
      <c r="K1353" s="2"/>
      <c r="L1353" s="15"/>
      <c r="M1353" s="34">
        <f t="shared" si="86"/>
        <v>0</v>
      </c>
    </row>
    <row r="1354" spans="1:13" x14ac:dyDescent="0.25">
      <c r="A1354" s="31"/>
      <c r="B1354" s="16" t="str">
        <f>IFERROR(VLOOKUP(A1354,Consolidado!$B$1:$L$1500,2,FALSE),"")</f>
        <v/>
      </c>
      <c r="C1354" s="16">
        <f>IFERROR(SUMIF(Consolidado!$B$1:$B$1500,VLOOKUP(RegistroPago!A1354,Consolidado!$B$1:$L$1500,1,FALSE),Consolidado!$G$1:$G$1500),"")</f>
        <v>0</v>
      </c>
      <c r="D1354" s="3"/>
      <c r="E1354" s="3"/>
      <c r="F1354" s="5" t="str">
        <f t="shared" si="87"/>
        <v/>
      </c>
      <c r="G1354" s="16" t="str">
        <f>IF(D1354&lt;&gt;"",D1354-VLOOKUP(A1354,Consolidado!$B$1:$L$1500,8,FALSE),"")</f>
        <v/>
      </c>
      <c r="H1354" s="31"/>
      <c r="I1354" s="32">
        <f t="shared" si="84"/>
        <v>0</v>
      </c>
      <c r="J1354" s="33" t="str">
        <f t="shared" si="85"/>
        <v/>
      </c>
      <c r="K1354" s="2"/>
      <c r="L1354" s="15"/>
      <c r="M1354" s="34">
        <f t="shared" si="86"/>
        <v>0</v>
      </c>
    </row>
    <row r="1355" spans="1:13" x14ac:dyDescent="0.25">
      <c r="A1355" s="31"/>
      <c r="B1355" s="16" t="str">
        <f>IFERROR(VLOOKUP(A1355,Consolidado!$B$1:$L$1500,2,FALSE),"")</f>
        <v/>
      </c>
      <c r="C1355" s="16">
        <f>IFERROR(SUMIF(Consolidado!$B$1:$B$1500,VLOOKUP(RegistroPago!A1355,Consolidado!$B$1:$L$1500,1,FALSE),Consolidado!$G$1:$G$1500),"")</f>
        <v>0</v>
      </c>
      <c r="D1355" s="3"/>
      <c r="E1355" s="3"/>
      <c r="F1355" s="5" t="str">
        <f t="shared" si="87"/>
        <v/>
      </c>
      <c r="G1355" s="16" t="str">
        <f>IF(D1355&lt;&gt;"",D1355-VLOOKUP(A1355,Consolidado!$B$1:$L$1500,8,FALSE),"")</f>
        <v/>
      </c>
      <c r="H1355" s="31"/>
      <c r="I1355" s="32">
        <f t="shared" si="84"/>
        <v>0</v>
      </c>
      <c r="J1355" s="33" t="str">
        <f t="shared" si="85"/>
        <v/>
      </c>
      <c r="K1355" s="2"/>
      <c r="L1355" s="15"/>
      <c r="M1355" s="34">
        <f t="shared" si="86"/>
        <v>0</v>
      </c>
    </row>
    <row r="1356" spans="1:13" x14ac:dyDescent="0.25">
      <c r="A1356" s="31"/>
      <c r="B1356" s="16" t="str">
        <f>IFERROR(VLOOKUP(A1356,Consolidado!$B$1:$L$1500,2,FALSE),"")</f>
        <v/>
      </c>
      <c r="C1356" s="16">
        <f>IFERROR(SUMIF(Consolidado!$B$1:$B$1500,VLOOKUP(RegistroPago!A1356,Consolidado!$B$1:$L$1500,1,FALSE),Consolidado!$G$1:$G$1500),"")</f>
        <v>0</v>
      </c>
      <c r="D1356" s="3"/>
      <c r="E1356" s="3"/>
      <c r="F1356" s="5" t="str">
        <f t="shared" si="87"/>
        <v/>
      </c>
      <c r="G1356" s="16" t="str">
        <f>IF(D1356&lt;&gt;"",D1356-VLOOKUP(A1356,Consolidado!$B$1:$L$1500,8,FALSE),"")</f>
        <v/>
      </c>
      <c r="H1356" s="31"/>
      <c r="I1356" s="32">
        <f t="shared" si="84"/>
        <v>0</v>
      </c>
      <c r="J1356" s="33" t="str">
        <f t="shared" si="85"/>
        <v/>
      </c>
      <c r="K1356" s="2"/>
      <c r="L1356" s="15"/>
      <c r="M1356" s="34">
        <f t="shared" si="86"/>
        <v>0</v>
      </c>
    </row>
    <row r="1357" spans="1:13" x14ac:dyDescent="0.25">
      <c r="A1357" s="31"/>
      <c r="B1357" s="16" t="str">
        <f>IFERROR(VLOOKUP(A1357,Consolidado!$B$1:$L$1500,2,FALSE),"")</f>
        <v/>
      </c>
      <c r="C1357" s="16">
        <f>IFERROR(SUMIF(Consolidado!$B$1:$B$1500,VLOOKUP(RegistroPago!A1357,Consolidado!$B$1:$L$1500,1,FALSE),Consolidado!$G$1:$G$1500),"")</f>
        <v>0</v>
      </c>
      <c r="D1357" s="3"/>
      <c r="E1357" s="3"/>
      <c r="F1357" s="5" t="str">
        <f t="shared" si="87"/>
        <v/>
      </c>
      <c r="G1357" s="16" t="str">
        <f>IF(D1357&lt;&gt;"",D1357-VLOOKUP(A1357,Consolidado!$B$1:$L$1500,8,FALSE),"")</f>
        <v/>
      </c>
      <c r="H1357" s="31"/>
      <c r="I1357" s="32">
        <f t="shared" si="84"/>
        <v>0</v>
      </c>
      <c r="J1357" s="33" t="str">
        <f t="shared" si="85"/>
        <v/>
      </c>
      <c r="K1357" s="2"/>
      <c r="L1357" s="15"/>
      <c r="M1357" s="34">
        <f t="shared" si="86"/>
        <v>0</v>
      </c>
    </row>
    <row r="1358" spans="1:13" x14ac:dyDescent="0.25">
      <c r="A1358" s="31"/>
      <c r="B1358" s="16" t="str">
        <f>IFERROR(VLOOKUP(A1358,Consolidado!$B$1:$L$1500,2,FALSE),"")</f>
        <v/>
      </c>
      <c r="C1358" s="16">
        <f>IFERROR(SUMIF(Consolidado!$B$1:$B$1500,VLOOKUP(RegistroPago!A1358,Consolidado!$B$1:$L$1500,1,FALSE),Consolidado!$G$1:$G$1500),"")</f>
        <v>0</v>
      </c>
      <c r="D1358" s="3"/>
      <c r="E1358" s="3"/>
      <c r="F1358" s="5" t="str">
        <f t="shared" si="87"/>
        <v/>
      </c>
      <c r="G1358" s="16" t="str">
        <f>IF(D1358&lt;&gt;"",D1358-VLOOKUP(A1358,Consolidado!$B$1:$L$1500,8,FALSE),"")</f>
        <v/>
      </c>
      <c r="H1358" s="31"/>
      <c r="I1358" s="32">
        <f t="shared" si="84"/>
        <v>0</v>
      </c>
      <c r="J1358" s="33" t="str">
        <f t="shared" si="85"/>
        <v/>
      </c>
      <c r="K1358" s="2"/>
      <c r="L1358" s="15"/>
      <c r="M1358" s="34">
        <f t="shared" si="86"/>
        <v>0</v>
      </c>
    </row>
    <row r="1359" spans="1:13" x14ac:dyDescent="0.25">
      <c r="A1359" s="31"/>
      <c r="B1359" s="16" t="str">
        <f>IFERROR(VLOOKUP(A1359,Consolidado!$B$1:$L$1500,2,FALSE),"")</f>
        <v/>
      </c>
      <c r="C1359" s="16">
        <f>IFERROR(SUMIF(Consolidado!$B$1:$B$1500,VLOOKUP(RegistroPago!A1359,Consolidado!$B$1:$L$1500,1,FALSE),Consolidado!$G$1:$G$1500),"")</f>
        <v>0</v>
      </c>
      <c r="D1359" s="3"/>
      <c r="E1359" s="3"/>
      <c r="F1359" s="5" t="str">
        <f t="shared" si="87"/>
        <v/>
      </c>
      <c r="G1359" s="16" t="str">
        <f>IF(D1359&lt;&gt;"",D1359-VLOOKUP(A1359,Consolidado!$B$1:$L$1500,8,FALSE),"")</f>
        <v/>
      </c>
      <c r="H1359" s="31"/>
      <c r="I1359" s="32">
        <f t="shared" si="84"/>
        <v>0</v>
      </c>
      <c r="J1359" s="33" t="str">
        <f t="shared" si="85"/>
        <v/>
      </c>
      <c r="K1359" s="2"/>
      <c r="L1359" s="15"/>
      <c r="M1359" s="34">
        <f t="shared" si="86"/>
        <v>0</v>
      </c>
    </row>
    <row r="1360" spans="1:13" x14ac:dyDescent="0.25">
      <c r="A1360" s="31"/>
      <c r="B1360" s="16" t="str">
        <f>IFERROR(VLOOKUP(A1360,Consolidado!$B$1:$L$1500,2,FALSE),"")</f>
        <v/>
      </c>
      <c r="C1360" s="16">
        <f>IFERROR(SUMIF(Consolidado!$B$1:$B$1500,VLOOKUP(RegistroPago!A1360,Consolidado!$B$1:$L$1500,1,FALSE),Consolidado!$G$1:$G$1500),"")</f>
        <v>0</v>
      </c>
      <c r="D1360" s="3"/>
      <c r="E1360" s="3"/>
      <c r="F1360" s="5" t="str">
        <f t="shared" si="87"/>
        <v/>
      </c>
      <c r="G1360" s="16" t="str">
        <f>IF(D1360&lt;&gt;"",D1360-VLOOKUP(A1360,Consolidado!$B$1:$L$1500,8,FALSE),"")</f>
        <v/>
      </c>
      <c r="H1360" s="31"/>
      <c r="I1360" s="32">
        <f t="shared" si="84"/>
        <v>0</v>
      </c>
      <c r="J1360" s="33" t="str">
        <f t="shared" si="85"/>
        <v/>
      </c>
      <c r="K1360" s="2"/>
      <c r="L1360" s="15"/>
      <c r="M1360" s="34">
        <f t="shared" si="86"/>
        <v>0</v>
      </c>
    </row>
    <row r="1361" spans="1:13" x14ac:dyDescent="0.25">
      <c r="A1361" s="31"/>
      <c r="B1361" s="16" t="str">
        <f>IFERROR(VLOOKUP(A1361,Consolidado!$B$1:$L$1500,2,FALSE),"")</f>
        <v/>
      </c>
      <c r="C1361" s="16">
        <f>IFERROR(SUMIF(Consolidado!$B$1:$B$1500,VLOOKUP(RegistroPago!A1361,Consolidado!$B$1:$L$1500,1,FALSE),Consolidado!$G$1:$G$1500),"")</f>
        <v>0</v>
      </c>
      <c r="D1361" s="3"/>
      <c r="E1361" s="3"/>
      <c r="F1361" s="5" t="str">
        <f t="shared" si="87"/>
        <v/>
      </c>
      <c r="G1361" s="16" t="str">
        <f>IF(D1361&lt;&gt;"",D1361-VLOOKUP(A1361,Consolidado!$B$1:$L$1500,8,FALSE),"")</f>
        <v/>
      </c>
      <c r="H1361" s="31"/>
      <c r="I1361" s="32">
        <f t="shared" si="84"/>
        <v>0</v>
      </c>
      <c r="J1361" s="33" t="str">
        <f t="shared" si="85"/>
        <v/>
      </c>
      <c r="K1361" s="2"/>
      <c r="L1361" s="15"/>
      <c r="M1361" s="34">
        <f t="shared" si="86"/>
        <v>0</v>
      </c>
    </row>
    <row r="1362" spans="1:13" x14ac:dyDescent="0.25">
      <c r="A1362" s="31"/>
      <c r="B1362" s="16" t="str">
        <f>IFERROR(VLOOKUP(A1362,Consolidado!$B$1:$L$1500,2,FALSE),"")</f>
        <v/>
      </c>
      <c r="C1362" s="16">
        <f>IFERROR(SUMIF(Consolidado!$B$1:$B$1500,VLOOKUP(RegistroPago!A1362,Consolidado!$B$1:$L$1500,1,FALSE),Consolidado!$G$1:$G$1500),"")</f>
        <v>0</v>
      </c>
      <c r="D1362" s="3"/>
      <c r="E1362" s="3"/>
      <c r="F1362" s="5" t="str">
        <f t="shared" si="87"/>
        <v/>
      </c>
      <c r="G1362" s="16" t="str">
        <f>IF(D1362&lt;&gt;"",D1362-VLOOKUP(A1362,Consolidado!$B$1:$L$1500,8,FALSE),"")</f>
        <v/>
      </c>
      <c r="H1362" s="31"/>
      <c r="I1362" s="32">
        <f t="shared" si="84"/>
        <v>0</v>
      </c>
      <c r="J1362" s="33" t="str">
        <f t="shared" si="85"/>
        <v/>
      </c>
      <c r="K1362" s="2"/>
      <c r="L1362" s="15"/>
      <c r="M1362" s="34">
        <f t="shared" si="86"/>
        <v>0</v>
      </c>
    </row>
    <row r="1363" spans="1:13" x14ac:dyDescent="0.25">
      <c r="A1363" s="31"/>
      <c r="B1363" s="16" t="str">
        <f>IFERROR(VLOOKUP(A1363,Consolidado!$B$1:$L$1500,2,FALSE),"")</f>
        <v/>
      </c>
      <c r="C1363" s="16">
        <f>IFERROR(SUMIF(Consolidado!$B$1:$B$1500,VLOOKUP(RegistroPago!A1363,Consolidado!$B$1:$L$1500,1,FALSE),Consolidado!$G$1:$G$1500),"")</f>
        <v>0</v>
      </c>
      <c r="D1363" s="3"/>
      <c r="E1363" s="3"/>
      <c r="F1363" s="5" t="str">
        <f t="shared" si="87"/>
        <v/>
      </c>
      <c r="G1363" s="16" t="str">
        <f>IF(D1363&lt;&gt;"",D1363-VLOOKUP(A1363,Consolidado!$B$1:$L$1500,8,FALSE),"")</f>
        <v/>
      </c>
      <c r="H1363" s="31"/>
      <c r="I1363" s="32">
        <f t="shared" si="84"/>
        <v>0</v>
      </c>
      <c r="J1363" s="33" t="str">
        <f t="shared" si="85"/>
        <v/>
      </c>
      <c r="K1363" s="2"/>
      <c r="L1363" s="15"/>
      <c r="M1363" s="34">
        <f t="shared" si="86"/>
        <v>0</v>
      </c>
    </row>
    <row r="1364" spans="1:13" x14ac:dyDescent="0.25">
      <c r="A1364" s="31"/>
      <c r="B1364" s="16" t="str">
        <f>IFERROR(VLOOKUP(A1364,Consolidado!$B$1:$L$1500,2,FALSE),"")</f>
        <v/>
      </c>
      <c r="C1364" s="16">
        <f>IFERROR(SUMIF(Consolidado!$B$1:$B$1500,VLOOKUP(RegistroPago!A1364,Consolidado!$B$1:$L$1500,1,FALSE),Consolidado!$G$1:$G$1500),"")</f>
        <v>0</v>
      </c>
      <c r="D1364" s="3"/>
      <c r="E1364" s="3"/>
      <c r="F1364" s="5" t="str">
        <f t="shared" si="87"/>
        <v/>
      </c>
      <c r="G1364" s="16" t="str">
        <f>IF(D1364&lt;&gt;"",D1364-VLOOKUP(A1364,Consolidado!$B$1:$L$1500,8,FALSE),"")</f>
        <v/>
      </c>
      <c r="H1364" s="31"/>
      <c r="I1364" s="32">
        <f t="shared" si="84"/>
        <v>0</v>
      </c>
      <c r="J1364" s="33" t="str">
        <f t="shared" si="85"/>
        <v/>
      </c>
      <c r="K1364" s="2"/>
      <c r="L1364" s="15"/>
      <c r="M1364" s="34">
        <f t="shared" si="86"/>
        <v>0</v>
      </c>
    </row>
    <row r="1365" spans="1:13" x14ac:dyDescent="0.25">
      <c r="A1365" s="31"/>
      <c r="B1365" s="16" t="str">
        <f>IFERROR(VLOOKUP(A1365,Consolidado!$B$1:$L$1500,2,FALSE),"")</f>
        <v/>
      </c>
      <c r="C1365" s="16">
        <f>IFERROR(SUMIF(Consolidado!$B$1:$B$1500,VLOOKUP(RegistroPago!A1365,Consolidado!$B$1:$L$1500,1,FALSE),Consolidado!$G$1:$G$1500),"")</f>
        <v>0</v>
      </c>
      <c r="D1365" s="3"/>
      <c r="E1365" s="3"/>
      <c r="F1365" s="5" t="str">
        <f t="shared" si="87"/>
        <v/>
      </c>
      <c r="G1365" s="16" t="str">
        <f>IF(D1365&lt;&gt;"",D1365-VLOOKUP(A1365,Consolidado!$B$1:$L$1500,8,FALSE),"")</f>
        <v/>
      </c>
      <c r="H1365" s="31"/>
      <c r="I1365" s="32">
        <f t="shared" si="84"/>
        <v>0</v>
      </c>
      <c r="J1365" s="33" t="str">
        <f t="shared" si="85"/>
        <v/>
      </c>
      <c r="K1365" s="2"/>
      <c r="L1365" s="15"/>
      <c r="M1365" s="34">
        <f t="shared" si="86"/>
        <v>0</v>
      </c>
    </row>
    <row r="1366" spans="1:13" x14ac:dyDescent="0.25">
      <c r="A1366" s="31"/>
      <c r="B1366" s="16" t="str">
        <f>IFERROR(VLOOKUP(A1366,Consolidado!$B$1:$L$1500,2,FALSE),"")</f>
        <v/>
      </c>
      <c r="C1366" s="16">
        <f>IFERROR(SUMIF(Consolidado!$B$1:$B$1500,VLOOKUP(RegistroPago!A1366,Consolidado!$B$1:$L$1500,1,FALSE),Consolidado!$G$1:$G$1500),"")</f>
        <v>0</v>
      </c>
      <c r="D1366" s="3"/>
      <c r="E1366" s="3"/>
      <c r="F1366" s="5" t="str">
        <f t="shared" si="87"/>
        <v/>
      </c>
      <c r="G1366" s="16" t="str">
        <f>IF(D1366&lt;&gt;"",D1366-VLOOKUP(A1366,Consolidado!$B$1:$L$1500,8,FALSE),"")</f>
        <v/>
      </c>
      <c r="H1366" s="31"/>
      <c r="I1366" s="32">
        <f t="shared" si="84"/>
        <v>0</v>
      </c>
      <c r="J1366" s="33" t="str">
        <f t="shared" si="85"/>
        <v/>
      </c>
      <c r="K1366" s="2"/>
      <c r="L1366" s="15"/>
      <c r="M1366" s="34">
        <f t="shared" si="86"/>
        <v>0</v>
      </c>
    </row>
    <row r="1367" spans="1:13" x14ac:dyDescent="0.25">
      <c r="A1367" s="31"/>
      <c r="B1367" s="16" t="str">
        <f>IFERROR(VLOOKUP(A1367,Consolidado!$B$1:$L$1500,2,FALSE),"")</f>
        <v/>
      </c>
      <c r="C1367" s="16">
        <f>IFERROR(SUMIF(Consolidado!$B$1:$B$1500,VLOOKUP(RegistroPago!A1367,Consolidado!$B$1:$L$1500,1,FALSE),Consolidado!$G$1:$G$1500),"")</f>
        <v>0</v>
      </c>
      <c r="D1367" s="3"/>
      <c r="E1367" s="3"/>
      <c r="F1367" s="5" t="str">
        <f t="shared" si="87"/>
        <v/>
      </c>
      <c r="G1367" s="16" t="str">
        <f>IF(D1367&lt;&gt;"",D1367-VLOOKUP(A1367,Consolidado!$B$1:$L$1500,8,FALSE),"")</f>
        <v/>
      </c>
      <c r="H1367" s="31"/>
      <c r="I1367" s="32">
        <f t="shared" si="84"/>
        <v>0</v>
      </c>
      <c r="J1367" s="33" t="str">
        <f t="shared" si="85"/>
        <v/>
      </c>
      <c r="K1367" s="2"/>
      <c r="L1367" s="15"/>
      <c r="M1367" s="34">
        <f t="shared" si="86"/>
        <v>0</v>
      </c>
    </row>
    <row r="1368" spans="1:13" x14ac:dyDescent="0.25">
      <c r="A1368" s="31"/>
      <c r="B1368" s="16" t="str">
        <f>IFERROR(VLOOKUP(A1368,Consolidado!$B$1:$L$1500,2,FALSE),"")</f>
        <v/>
      </c>
      <c r="C1368" s="16">
        <f>IFERROR(SUMIF(Consolidado!$B$1:$B$1500,VLOOKUP(RegistroPago!A1368,Consolidado!$B$1:$L$1500,1,FALSE),Consolidado!$G$1:$G$1500),"")</f>
        <v>0</v>
      </c>
      <c r="D1368" s="3"/>
      <c r="E1368" s="3"/>
      <c r="F1368" s="5" t="str">
        <f t="shared" si="87"/>
        <v/>
      </c>
      <c r="G1368" s="16" t="str">
        <f>IF(D1368&lt;&gt;"",D1368-VLOOKUP(A1368,Consolidado!$B$1:$L$1500,8,FALSE),"")</f>
        <v/>
      </c>
      <c r="H1368" s="31"/>
      <c r="I1368" s="32">
        <f t="shared" si="84"/>
        <v>0</v>
      </c>
      <c r="J1368" s="33" t="str">
        <f t="shared" si="85"/>
        <v/>
      </c>
      <c r="K1368" s="2"/>
      <c r="L1368" s="15"/>
      <c r="M1368" s="34">
        <f t="shared" si="86"/>
        <v>0</v>
      </c>
    </row>
    <row r="1369" spans="1:13" x14ac:dyDescent="0.25">
      <c r="A1369" s="31"/>
      <c r="B1369" s="16" t="str">
        <f>IFERROR(VLOOKUP(A1369,Consolidado!$B$1:$L$1500,2,FALSE),"")</f>
        <v/>
      </c>
      <c r="C1369" s="16">
        <f>IFERROR(SUMIF(Consolidado!$B$1:$B$1500,VLOOKUP(RegistroPago!A1369,Consolidado!$B$1:$L$1500,1,FALSE),Consolidado!$G$1:$G$1500),"")</f>
        <v>0</v>
      </c>
      <c r="D1369" s="3"/>
      <c r="E1369" s="3"/>
      <c r="F1369" s="5" t="str">
        <f t="shared" si="87"/>
        <v/>
      </c>
      <c r="G1369" s="16" t="str">
        <f>IF(D1369&lt;&gt;"",D1369-VLOOKUP(A1369,Consolidado!$B$1:$L$1500,8,FALSE),"")</f>
        <v/>
      </c>
      <c r="H1369" s="31"/>
      <c r="I1369" s="32">
        <f t="shared" si="84"/>
        <v>0</v>
      </c>
      <c r="J1369" s="33" t="str">
        <f t="shared" si="85"/>
        <v/>
      </c>
      <c r="K1369" s="2"/>
      <c r="L1369" s="15"/>
      <c r="M1369" s="34">
        <f t="shared" si="86"/>
        <v>0</v>
      </c>
    </row>
    <row r="1370" spans="1:13" x14ac:dyDescent="0.25">
      <c r="A1370" s="31"/>
      <c r="B1370" s="16" t="str">
        <f>IFERROR(VLOOKUP(A1370,Consolidado!$B$1:$L$1500,2,FALSE),"")</f>
        <v/>
      </c>
      <c r="C1370" s="16">
        <f>IFERROR(SUMIF(Consolidado!$B$1:$B$1500,VLOOKUP(RegistroPago!A1370,Consolidado!$B$1:$L$1500,1,FALSE),Consolidado!$G$1:$G$1500),"")</f>
        <v>0</v>
      </c>
      <c r="D1370" s="3"/>
      <c r="E1370" s="3"/>
      <c r="F1370" s="5" t="str">
        <f t="shared" si="87"/>
        <v/>
      </c>
      <c r="G1370" s="16" t="str">
        <f>IF(D1370&lt;&gt;"",D1370-VLOOKUP(A1370,Consolidado!$B$1:$L$1500,8,FALSE),"")</f>
        <v/>
      </c>
      <c r="H1370" s="31"/>
      <c r="I1370" s="32">
        <f t="shared" si="84"/>
        <v>0</v>
      </c>
      <c r="J1370" s="33" t="str">
        <f t="shared" si="85"/>
        <v/>
      </c>
      <c r="K1370" s="2"/>
      <c r="L1370" s="15"/>
      <c r="M1370" s="34">
        <f t="shared" si="86"/>
        <v>0</v>
      </c>
    </row>
    <row r="1371" spans="1:13" x14ac:dyDescent="0.25">
      <c r="A1371" s="31"/>
      <c r="B1371" s="16" t="str">
        <f>IFERROR(VLOOKUP(A1371,Consolidado!$B$1:$L$1500,2,FALSE),"")</f>
        <v/>
      </c>
      <c r="C1371" s="16">
        <f>IFERROR(SUMIF(Consolidado!$B$1:$B$1500,VLOOKUP(RegistroPago!A1371,Consolidado!$B$1:$L$1500,1,FALSE),Consolidado!$G$1:$G$1500),"")</f>
        <v>0</v>
      </c>
      <c r="D1371" s="3"/>
      <c r="E1371" s="3"/>
      <c r="F1371" s="5" t="str">
        <f t="shared" si="87"/>
        <v/>
      </c>
      <c r="G1371" s="16" t="str">
        <f>IF(D1371&lt;&gt;"",D1371-VLOOKUP(A1371,Consolidado!$B$1:$L$1500,8,FALSE),"")</f>
        <v/>
      </c>
      <c r="H1371" s="31"/>
      <c r="I1371" s="32">
        <f t="shared" si="84"/>
        <v>0</v>
      </c>
      <c r="J1371" s="33" t="str">
        <f t="shared" si="85"/>
        <v/>
      </c>
      <c r="K1371" s="2"/>
      <c r="L1371" s="15"/>
      <c r="M1371" s="34">
        <f t="shared" si="86"/>
        <v>0</v>
      </c>
    </row>
    <row r="1372" spans="1:13" x14ac:dyDescent="0.25">
      <c r="A1372" s="31"/>
      <c r="B1372" s="16" t="str">
        <f>IFERROR(VLOOKUP(A1372,Consolidado!$B$1:$L$1500,2,FALSE),"")</f>
        <v/>
      </c>
      <c r="C1372" s="16">
        <f>IFERROR(SUMIF(Consolidado!$B$1:$B$1500,VLOOKUP(RegistroPago!A1372,Consolidado!$B$1:$L$1500,1,FALSE),Consolidado!$G$1:$G$1500),"")</f>
        <v>0</v>
      </c>
      <c r="D1372" s="3"/>
      <c r="E1372" s="3"/>
      <c r="F1372" s="5" t="str">
        <f t="shared" si="87"/>
        <v/>
      </c>
      <c r="G1372" s="16" t="str">
        <f>IF(D1372&lt;&gt;"",D1372-VLOOKUP(A1372,Consolidado!$B$1:$L$1500,8,FALSE),"")</f>
        <v/>
      </c>
      <c r="H1372" s="31"/>
      <c r="I1372" s="32">
        <f t="shared" si="84"/>
        <v>0</v>
      </c>
      <c r="J1372" s="33" t="str">
        <f t="shared" si="85"/>
        <v/>
      </c>
      <c r="K1372" s="2"/>
      <c r="L1372" s="15"/>
      <c r="M1372" s="34">
        <f t="shared" si="86"/>
        <v>0</v>
      </c>
    </row>
    <row r="1373" spans="1:13" x14ac:dyDescent="0.25">
      <c r="A1373" s="31"/>
      <c r="B1373" s="16" t="str">
        <f>IFERROR(VLOOKUP(A1373,Consolidado!$B$1:$L$1500,2,FALSE),"")</f>
        <v/>
      </c>
      <c r="C1373" s="16">
        <f>IFERROR(SUMIF(Consolidado!$B$1:$B$1500,VLOOKUP(RegistroPago!A1373,Consolidado!$B$1:$L$1500,1,FALSE),Consolidado!$G$1:$G$1500),"")</f>
        <v>0</v>
      </c>
      <c r="D1373" s="3"/>
      <c r="E1373" s="3"/>
      <c r="F1373" s="5" t="str">
        <f t="shared" si="87"/>
        <v/>
      </c>
      <c r="G1373" s="16" t="str">
        <f>IF(D1373&lt;&gt;"",D1373-VLOOKUP(A1373,Consolidado!$B$1:$L$1500,8,FALSE),"")</f>
        <v/>
      </c>
      <c r="H1373" s="31"/>
      <c r="I1373" s="32">
        <f t="shared" si="84"/>
        <v>0</v>
      </c>
      <c r="J1373" s="33" t="str">
        <f t="shared" si="85"/>
        <v/>
      </c>
      <c r="K1373" s="2"/>
      <c r="L1373" s="15"/>
      <c r="M1373" s="34">
        <f t="shared" si="86"/>
        <v>0</v>
      </c>
    </row>
    <row r="1374" spans="1:13" x14ac:dyDescent="0.25">
      <c r="A1374" s="31"/>
      <c r="B1374" s="16" t="str">
        <f>IFERROR(VLOOKUP(A1374,Consolidado!$B$1:$L$1500,2,FALSE),"")</f>
        <v/>
      </c>
      <c r="C1374" s="16">
        <f>IFERROR(SUMIF(Consolidado!$B$1:$B$1500,VLOOKUP(RegistroPago!A1374,Consolidado!$B$1:$L$1500,1,FALSE),Consolidado!$G$1:$G$1500),"")</f>
        <v>0</v>
      </c>
      <c r="D1374" s="3"/>
      <c r="E1374" s="3"/>
      <c r="F1374" s="5" t="str">
        <f t="shared" si="87"/>
        <v/>
      </c>
      <c r="G1374" s="16" t="str">
        <f>IF(D1374&lt;&gt;"",D1374-VLOOKUP(A1374,Consolidado!$B$1:$L$1500,8,FALSE),"")</f>
        <v/>
      </c>
      <c r="H1374" s="31"/>
      <c r="I1374" s="32">
        <f t="shared" si="84"/>
        <v>0</v>
      </c>
      <c r="J1374" s="33" t="str">
        <f t="shared" si="85"/>
        <v/>
      </c>
      <c r="K1374" s="2"/>
      <c r="L1374" s="15"/>
      <c r="M1374" s="34">
        <f t="shared" si="86"/>
        <v>0</v>
      </c>
    </row>
    <row r="1375" spans="1:13" x14ac:dyDescent="0.25">
      <c r="A1375" s="31"/>
      <c r="B1375" s="16" t="str">
        <f>IFERROR(VLOOKUP(A1375,Consolidado!$B$1:$L$1500,2,FALSE),"")</f>
        <v/>
      </c>
      <c r="C1375" s="16">
        <f>IFERROR(SUMIF(Consolidado!$B$1:$B$1500,VLOOKUP(RegistroPago!A1375,Consolidado!$B$1:$L$1500,1,FALSE),Consolidado!$G$1:$G$1500),"")</f>
        <v>0</v>
      </c>
      <c r="D1375" s="3"/>
      <c r="E1375" s="3"/>
      <c r="F1375" s="5" t="str">
        <f t="shared" si="87"/>
        <v/>
      </c>
      <c r="G1375" s="16" t="str">
        <f>IF(D1375&lt;&gt;"",D1375-VLOOKUP(A1375,Consolidado!$B$1:$L$1500,8,FALSE),"")</f>
        <v/>
      </c>
      <c r="H1375" s="31"/>
      <c r="I1375" s="32">
        <f t="shared" si="84"/>
        <v>0</v>
      </c>
      <c r="J1375" s="33" t="str">
        <f t="shared" si="85"/>
        <v/>
      </c>
      <c r="K1375" s="2"/>
      <c r="L1375" s="15"/>
      <c r="M1375" s="34">
        <f t="shared" si="86"/>
        <v>0</v>
      </c>
    </row>
    <row r="1376" spans="1:13" x14ac:dyDescent="0.25">
      <c r="A1376" s="31"/>
      <c r="B1376" s="16" t="str">
        <f>IFERROR(VLOOKUP(A1376,Consolidado!$B$1:$L$1500,2,FALSE),"")</f>
        <v/>
      </c>
      <c r="C1376" s="16">
        <f>IFERROR(SUMIF(Consolidado!$B$1:$B$1500,VLOOKUP(RegistroPago!A1376,Consolidado!$B$1:$L$1500,1,FALSE),Consolidado!$G$1:$G$1500),"")</f>
        <v>0</v>
      </c>
      <c r="D1376" s="3"/>
      <c r="E1376" s="3"/>
      <c r="F1376" s="5" t="str">
        <f t="shared" si="87"/>
        <v/>
      </c>
      <c r="G1376" s="16" t="str">
        <f>IF(D1376&lt;&gt;"",D1376-VLOOKUP(A1376,Consolidado!$B$1:$L$1500,8,FALSE),"")</f>
        <v/>
      </c>
      <c r="H1376" s="31"/>
      <c r="I1376" s="32">
        <f t="shared" si="84"/>
        <v>0</v>
      </c>
      <c r="J1376" s="33" t="str">
        <f t="shared" si="85"/>
        <v/>
      </c>
      <c r="K1376" s="2"/>
      <c r="L1376" s="15"/>
      <c r="M1376" s="34">
        <f t="shared" si="86"/>
        <v>0</v>
      </c>
    </row>
    <row r="1377" spans="1:13" x14ac:dyDescent="0.25">
      <c r="A1377" s="31"/>
      <c r="B1377" s="16" t="str">
        <f>IFERROR(VLOOKUP(A1377,Consolidado!$B$1:$L$1500,2,FALSE),"")</f>
        <v/>
      </c>
      <c r="C1377" s="16">
        <f>IFERROR(SUMIF(Consolidado!$B$1:$B$1500,VLOOKUP(RegistroPago!A1377,Consolidado!$B$1:$L$1500,1,FALSE),Consolidado!$G$1:$G$1500),"")</f>
        <v>0</v>
      </c>
      <c r="D1377" s="3"/>
      <c r="E1377" s="3"/>
      <c r="F1377" s="5" t="str">
        <f t="shared" si="87"/>
        <v/>
      </c>
      <c r="G1377" s="16" t="str">
        <f>IF(D1377&lt;&gt;"",D1377-VLOOKUP(A1377,Consolidado!$B$1:$L$1500,8,FALSE),"")</f>
        <v/>
      </c>
      <c r="H1377" s="31"/>
      <c r="I1377" s="32">
        <f t="shared" si="84"/>
        <v>0</v>
      </c>
      <c r="J1377" s="33" t="str">
        <f t="shared" si="85"/>
        <v/>
      </c>
      <c r="K1377" s="2"/>
      <c r="L1377" s="15"/>
      <c r="M1377" s="34">
        <f t="shared" si="86"/>
        <v>0</v>
      </c>
    </row>
    <row r="1378" spans="1:13" x14ac:dyDescent="0.25">
      <c r="A1378" s="31"/>
      <c r="B1378" s="16" t="str">
        <f>IFERROR(VLOOKUP(A1378,Consolidado!$B$1:$L$1500,2,FALSE),"")</f>
        <v/>
      </c>
      <c r="C1378" s="16">
        <f>IFERROR(SUMIF(Consolidado!$B$1:$B$1500,VLOOKUP(RegistroPago!A1378,Consolidado!$B$1:$L$1500,1,FALSE),Consolidado!$G$1:$G$1500),"")</f>
        <v>0</v>
      </c>
      <c r="D1378" s="3"/>
      <c r="E1378" s="3"/>
      <c r="F1378" s="5" t="str">
        <f t="shared" si="87"/>
        <v/>
      </c>
      <c r="G1378" s="16" t="str">
        <f>IF(D1378&lt;&gt;"",D1378-VLOOKUP(A1378,Consolidado!$B$1:$L$1500,8,FALSE),"")</f>
        <v/>
      </c>
      <c r="H1378" s="31"/>
      <c r="I1378" s="32">
        <f t="shared" si="84"/>
        <v>0</v>
      </c>
      <c r="J1378" s="33" t="str">
        <f t="shared" si="85"/>
        <v/>
      </c>
      <c r="K1378" s="2"/>
      <c r="L1378" s="15"/>
      <c r="M1378" s="34">
        <f t="shared" si="86"/>
        <v>0</v>
      </c>
    </row>
    <row r="1379" spans="1:13" x14ac:dyDescent="0.25">
      <c r="A1379" s="31"/>
      <c r="B1379" s="16" t="str">
        <f>IFERROR(VLOOKUP(A1379,Consolidado!$B$1:$L$1500,2,FALSE),"")</f>
        <v/>
      </c>
      <c r="C1379" s="16">
        <f>IFERROR(SUMIF(Consolidado!$B$1:$B$1500,VLOOKUP(RegistroPago!A1379,Consolidado!$B$1:$L$1500,1,FALSE),Consolidado!$G$1:$G$1500),"")</f>
        <v>0</v>
      </c>
      <c r="D1379" s="3"/>
      <c r="E1379" s="3"/>
      <c r="F1379" s="5" t="str">
        <f t="shared" si="87"/>
        <v/>
      </c>
      <c r="G1379" s="16" t="str">
        <f>IF(D1379&lt;&gt;"",D1379-VLOOKUP(A1379,Consolidado!$B$1:$L$1500,8,FALSE),"")</f>
        <v/>
      </c>
      <c r="H1379" s="31"/>
      <c r="I1379" s="32">
        <f t="shared" si="84"/>
        <v>0</v>
      </c>
      <c r="J1379" s="33" t="str">
        <f t="shared" si="85"/>
        <v/>
      </c>
      <c r="K1379" s="2"/>
      <c r="L1379" s="15"/>
      <c r="M1379" s="34">
        <f t="shared" si="86"/>
        <v>0</v>
      </c>
    </row>
    <row r="1380" spans="1:13" x14ac:dyDescent="0.25">
      <c r="A1380" s="31"/>
      <c r="B1380" s="16" t="str">
        <f>IFERROR(VLOOKUP(A1380,Consolidado!$B$1:$L$1500,2,FALSE),"")</f>
        <v/>
      </c>
      <c r="C1380" s="16">
        <f>IFERROR(SUMIF(Consolidado!$B$1:$B$1500,VLOOKUP(RegistroPago!A1380,Consolidado!$B$1:$L$1500,1,FALSE),Consolidado!$G$1:$G$1500),"")</f>
        <v>0</v>
      </c>
      <c r="D1380" s="3"/>
      <c r="E1380" s="3"/>
      <c r="F1380" s="5" t="str">
        <f t="shared" si="87"/>
        <v/>
      </c>
      <c r="G1380" s="16" t="str">
        <f>IF(D1380&lt;&gt;"",D1380-VLOOKUP(A1380,Consolidado!$B$1:$L$1500,8,FALSE),"")</f>
        <v/>
      </c>
      <c r="H1380" s="31"/>
      <c r="I1380" s="32">
        <f t="shared" si="84"/>
        <v>0</v>
      </c>
      <c r="J1380" s="33" t="str">
        <f t="shared" si="85"/>
        <v/>
      </c>
      <c r="K1380" s="2"/>
      <c r="L1380" s="15"/>
      <c r="M1380" s="34">
        <f t="shared" si="86"/>
        <v>0</v>
      </c>
    </row>
    <row r="1381" spans="1:13" x14ac:dyDescent="0.25">
      <c r="A1381" s="31"/>
      <c r="B1381" s="16" t="str">
        <f>IFERROR(VLOOKUP(A1381,Consolidado!$B$1:$L$1500,2,FALSE),"")</f>
        <v/>
      </c>
      <c r="C1381" s="16">
        <f>IFERROR(SUMIF(Consolidado!$B$1:$B$1500,VLOOKUP(RegistroPago!A1381,Consolidado!$B$1:$L$1500,1,FALSE),Consolidado!$G$1:$G$1500),"")</f>
        <v>0</v>
      </c>
      <c r="D1381" s="3"/>
      <c r="E1381" s="3"/>
      <c r="F1381" s="5" t="str">
        <f t="shared" si="87"/>
        <v/>
      </c>
      <c r="G1381" s="16" t="str">
        <f>IF(D1381&lt;&gt;"",D1381-VLOOKUP(A1381,Consolidado!$B$1:$L$1500,8,FALSE),"")</f>
        <v/>
      </c>
      <c r="H1381" s="31"/>
      <c r="I1381" s="32">
        <f t="shared" si="84"/>
        <v>0</v>
      </c>
      <c r="J1381" s="33" t="str">
        <f t="shared" si="85"/>
        <v/>
      </c>
      <c r="K1381" s="2"/>
      <c r="L1381" s="15"/>
      <c r="M1381" s="34">
        <f t="shared" si="86"/>
        <v>0</v>
      </c>
    </row>
    <row r="1382" spans="1:13" x14ac:dyDescent="0.25">
      <c r="A1382" s="31"/>
      <c r="B1382" s="16" t="str">
        <f>IFERROR(VLOOKUP(A1382,Consolidado!$B$1:$L$1500,2,FALSE),"")</f>
        <v/>
      </c>
      <c r="C1382" s="16">
        <f>IFERROR(SUMIF(Consolidado!$B$1:$B$1500,VLOOKUP(RegistroPago!A1382,Consolidado!$B$1:$L$1500,1,FALSE),Consolidado!$G$1:$G$1500),"")</f>
        <v>0</v>
      </c>
      <c r="D1382" s="3"/>
      <c r="E1382" s="3"/>
      <c r="F1382" s="5" t="str">
        <f t="shared" si="87"/>
        <v/>
      </c>
      <c r="G1382" s="16" t="str">
        <f>IF(D1382&lt;&gt;"",D1382-VLOOKUP(A1382,Consolidado!$B$1:$L$1500,8,FALSE),"")</f>
        <v/>
      </c>
      <c r="H1382" s="31"/>
      <c r="I1382" s="32">
        <f t="shared" si="84"/>
        <v>0</v>
      </c>
      <c r="J1382" s="33" t="str">
        <f t="shared" si="85"/>
        <v/>
      </c>
      <c r="K1382" s="2"/>
      <c r="L1382" s="15"/>
      <c r="M1382" s="34">
        <f t="shared" si="86"/>
        <v>0</v>
      </c>
    </row>
    <row r="1383" spans="1:13" x14ac:dyDescent="0.25">
      <c r="A1383" s="31"/>
      <c r="B1383" s="16" t="str">
        <f>IFERROR(VLOOKUP(A1383,Consolidado!$B$1:$L$1500,2,FALSE),"")</f>
        <v/>
      </c>
      <c r="C1383" s="16">
        <f>IFERROR(SUMIF(Consolidado!$B$1:$B$1500,VLOOKUP(RegistroPago!A1383,Consolidado!$B$1:$L$1500,1,FALSE),Consolidado!$G$1:$G$1500),"")</f>
        <v>0</v>
      </c>
      <c r="D1383" s="3"/>
      <c r="E1383" s="3"/>
      <c r="F1383" s="5" t="str">
        <f t="shared" si="87"/>
        <v/>
      </c>
      <c r="G1383" s="16" t="str">
        <f>IF(D1383&lt;&gt;"",D1383-VLOOKUP(A1383,Consolidado!$B$1:$L$1500,8,FALSE),"")</f>
        <v/>
      </c>
      <c r="H1383" s="31"/>
      <c r="I1383" s="32">
        <f t="shared" si="84"/>
        <v>0</v>
      </c>
      <c r="J1383" s="33" t="str">
        <f t="shared" si="85"/>
        <v/>
      </c>
      <c r="K1383" s="2"/>
      <c r="L1383" s="15"/>
      <c r="M1383" s="34">
        <f t="shared" si="86"/>
        <v>0</v>
      </c>
    </row>
    <row r="1384" spans="1:13" x14ac:dyDescent="0.25">
      <c r="A1384" s="31"/>
      <c r="B1384" s="16" t="str">
        <f>IFERROR(VLOOKUP(A1384,Consolidado!$B$1:$L$1500,2,FALSE),"")</f>
        <v/>
      </c>
      <c r="C1384" s="16">
        <f>IFERROR(SUMIF(Consolidado!$B$1:$B$1500,VLOOKUP(RegistroPago!A1384,Consolidado!$B$1:$L$1500,1,FALSE),Consolidado!$G$1:$G$1500),"")</f>
        <v>0</v>
      </c>
      <c r="D1384" s="3"/>
      <c r="E1384" s="3"/>
      <c r="F1384" s="5" t="str">
        <f t="shared" si="87"/>
        <v/>
      </c>
      <c r="G1384" s="16" t="str">
        <f>IF(D1384&lt;&gt;"",D1384-VLOOKUP(A1384,Consolidado!$B$1:$L$1500,8,FALSE),"")</f>
        <v/>
      </c>
      <c r="H1384" s="31"/>
      <c r="I1384" s="32">
        <f t="shared" si="84"/>
        <v>0</v>
      </c>
      <c r="J1384" s="33" t="str">
        <f t="shared" si="85"/>
        <v/>
      </c>
      <c r="K1384" s="2"/>
      <c r="L1384" s="15"/>
      <c r="M1384" s="34">
        <f t="shared" si="86"/>
        <v>0</v>
      </c>
    </row>
    <row r="1385" spans="1:13" x14ac:dyDescent="0.25">
      <c r="A1385" s="31"/>
      <c r="B1385" s="16" t="str">
        <f>IFERROR(VLOOKUP(A1385,Consolidado!$B$1:$L$1500,2,FALSE),"")</f>
        <v/>
      </c>
      <c r="C1385" s="16">
        <f>IFERROR(SUMIF(Consolidado!$B$1:$B$1500,VLOOKUP(RegistroPago!A1385,Consolidado!$B$1:$L$1500,1,FALSE),Consolidado!$G$1:$G$1500),"")</f>
        <v>0</v>
      </c>
      <c r="D1385" s="3"/>
      <c r="E1385" s="3"/>
      <c r="F1385" s="5" t="str">
        <f t="shared" si="87"/>
        <v/>
      </c>
      <c r="G1385" s="16" t="str">
        <f>IF(D1385&lt;&gt;"",D1385-VLOOKUP(A1385,Consolidado!$B$1:$L$1500,8,FALSE),"")</f>
        <v/>
      </c>
      <c r="H1385" s="31"/>
      <c r="I1385" s="32">
        <f t="shared" ref="I1385:I1448" si="88">IFERROR(SUMIF($E$1:$E$2000,H1385,$C$1:$C$2000)-SUMIF($E$1:$E$2000,H1385,$F$1:$F$2000),"")</f>
        <v>0</v>
      </c>
      <c r="J1385" s="33" t="str">
        <f t="shared" ref="J1385:J1448" si="89">IFERROR(I1385/SUMIF($E$1:$E$2000,H1385,$C$1:$C$2000),"")</f>
        <v/>
      </c>
      <c r="K1385" s="2"/>
      <c r="L1385" s="15"/>
      <c r="M1385" s="34">
        <f t="shared" ref="M1385:M1448" si="90">IFERROR(L1385*SUMIF($E$1:$E$2000,H1385,$F$1:$F$2000),"")</f>
        <v>0</v>
      </c>
    </row>
    <row r="1386" spans="1:13" x14ac:dyDescent="0.25">
      <c r="A1386" s="31"/>
      <c r="B1386" s="16" t="str">
        <f>IFERROR(VLOOKUP(A1386,Consolidado!$B$1:$L$1500,2,FALSE),"")</f>
        <v/>
      </c>
      <c r="C1386" s="16">
        <f>IFERROR(SUMIF(Consolidado!$B$1:$B$1500,VLOOKUP(RegistroPago!A1386,Consolidado!$B$1:$L$1500,1,FALSE),Consolidado!$G$1:$G$1500),"")</f>
        <v>0</v>
      </c>
      <c r="D1386" s="3"/>
      <c r="E1386" s="3"/>
      <c r="F1386" s="5" t="str">
        <f t="shared" si="87"/>
        <v/>
      </c>
      <c r="G1386" s="16" t="str">
        <f>IF(D1386&lt;&gt;"",D1386-VLOOKUP(A1386,Consolidado!$B$1:$L$1500,8,FALSE),"")</f>
        <v/>
      </c>
      <c r="H1386" s="31"/>
      <c r="I1386" s="32">
        <f t="shared" si="88"/>
        <v>0</v>
      </c>
      <c r="J1386" s="33" t="str">
        <f t="shared" si="89"/>
        <v/>
      </c>
      <c r="K1386" s="2"/>
      <c r="L1386" s="15"/>
      <c r="M1386" s="34">
        <f t="shared" si="90"/>
        <v>0</v>
      </c>
    </row>
    <row r="1387" spans="1:13" x14ac:dyDescent="0.25">
      <c r="A1387" s="31"/>
      <c r="B1387" s="16" t="str">
        <f>IFERROR(VLOOKUP(A1387,Consolidado!$B$1:$L$1500,2,FALSE),"")</f>
        <v/>
      </c>
      <c r="C1387" s="16">
        <f>IFERROR(SUMIF(Consolidado!$B$1:$B$1500,VLOOKUP(RegistroPago!A1387,Consolidado!$B$1:$L$1500,1,FALSE),Consolidado!$G$1:$G$1500),"")</f>
        <v>0</v>
      </c>
      <c r="D1387" s="3"/>
      <c r="E1387" s="3"/>
      <c r="F1387" s="5" t="str">
        <f t="shared" si="87"/>
        <v/>
      </c>
      <c r="G1387" s="16" t="str">
        <f>IF(D1387&lt;&gt;"",D1387-VLOOKUP(A1387,Consolidado!$B$1:$L$1500,8,FALSE),"")</f>
        <v/>
      </c>
      <c r="H1387" s="31"/>
      <c r="I1387" s="32">
        <f t="shared" si="88"/>
        <v>0</v>
      </c>
      <c r="J1387" s="33" t="str">
        <f t="shared" si="89"/>
        <v/>
      </c>
      <c r="K1387" s="2"/>
      <c r="L1387" s="15"/>
      <c r="M1387" s="34">
        <f t="shared" si="90"/>
        <v>0</v>
      </c>
    </row>
    <row r="1388" spans="1:13" x14ac:dyDescent="0.25">
      <c r="A1388" s="31"/>
      <c r="B1388" s="16" t="str">
        <f>IFERROR(VLOOKUP(A1388,Consolidado!$B$1:$L$1500,2,FALSE),"")</f>
        <v/>
      </c>
      <c r="C1388" s="16">
        <f>IFERROR(SUMIF(Consolidado!$B$1:$B$1500,VLOOKUP(RegistroPago!A1388,Consolidado!$B$1:$L$1500,1,FALSE),Consolidado!$G$1:$G$1500),"")</f>
        <v>0</v>
      </c>
      <c r="D1388" s="3"/>
      <c r="E1388" s="3"/>
      <c r="F1388" s="5" t="str">
        <f t="shared" si="87"/>
        <v/>
      </c>
      <c r="G1388" s="16" t="str">
        <f>IF(D1388&lt;&gt;"",D1388-VLOOKUP(A1388,Consolidado!$B$1:$L$1500,8,FALSE),"")</f>
        <v/>
      </c>
      <c r="H1388" s="31"/>
      <c r="I1388" s="32">
        <f t="shared" si="88"/>
        <v>0</v>
      </c>
      <c r="J1388" s="33" t="str">
        <f t="shared" si="89"/>
        <v/>
      </c>
      <c r="K1388" s="2"/>
      <c r="L1388" s="15"/>
      <c r="M1388" s="34">
        <f t="shared" si="90"/>
        <v>0</v>
      </c>
    </row>
    <row r="1389" spans="1:13" x14ac:dyDescent="0.25">
      <c r="A1389" s="31"/>
      <c r="B1389" s="16" t="str">
        <f>IFERROR(VLOOKUP(A1389,Consolidado!$B$1:$L$1500,2,FALSE),"")</f>
        <v/>
      </c>
      <c r="C1389" s="16">
        <f>IFERROR(SUMIF(Consolidado!$B$1:$B$1500,VLOOKUP(RegistroPago!A1389,Consolidado!$B$1:$L$1500,1,FALSE),Consolidado!$G$1:$G$1500),"")</f>
        <v>0</v>
      </c>
      <c r="D1389" s="3"/>
      <c r="E1389" s="3"/>
      <c r="F1389" s="5" t="str">
        <f t="shared" si="87"/>
        <v/>
      </c>
      <c r="G1389" s="16" t="str">
        <f>IF(D1389&lt;&gt;"",D1389-VLOOKUP(A1389,Consolidado!$B$1:$L$1500,8,FALSE),"")</f>
        <v/>
      </c>
      <c r="H1389" s="31"/>
      <c r="I1389" s="32">
        <f t="shared" si="88"/>
        <v>0</v>
      </c>
      <c r="J1389" s="33" t="str">
        <f t="shared" si="89"/>
        <v/>
      </c>
      <c r="K1389" s="2"/>
      <c r="L1389" s="15"/>
      <c r="M1389" s="34">
        <f t="shared" si="90"/>
        <v>0</v>
      </c>
    </row>
    <row r="1390" spans="1:13" x14ac:dyDescent="0.25">
      <c r="A1390" s="31"/>
      <c r="B1390" s="16" t="str">
        <f>IFERROR(VLOOKUP(A1390,Consolidado!$B$1:$L$1500,2,FALSE),"")</f>
        <v/>
      </c>
      <c r="C1390" s="16">
        <f>IFERROR(SUMIF(Consolidado!$B$1:$B$1500,VLOOKUP(RegistroPago!A1390,Consolidado!$B$1:$L$1500,1,FALSE),Consolidado!$G$1:$G$1500),"")</f>
        <v>0</v>
      </c>
      <c r="D1390" s="3"/>
      <c r="E1390" s="3"/>
      <c r="F1390" s="5" t="str">
        <f t="shared" si="87"/>
        <v/>
      </c>
      <c r="G1390" s="16" t="str">
        <f>IF(D1390&lt;&gt;"",D1390-VLOOKUP(A1390,Consolidado!$B$1:$L$1500,8,FALSE),"")</f>
        <v/>
      </c>
      <c r="H1390" s="31"/>
      <c r="I1390" s="32">
        <f t="shared" si="88"/>
        <v>0</v>
      </c>
      <c r="J1390" s="33" t="str">
        <f t="shared" si="89"/>
        <v/>
      </c>
      <c r="K1390" s="2"/>
      <c r="L1390" s="15"/>
      <c r="M1390" s="34">
        <f t="shared" si="90"/>
        <v>0</v>
      </c>
    </row>
    <row r="1391" spans="1:13" x14ac:dyDescent="0.25">
      <c r="A1391" s="31"/>
      <c r="B1391" s="16" t="str">
        <f>IFERROR(VLOOKUP(A1391,Consolidado!$B$1:$L$1500,2,FALSE),"")</f>
        <v/>
      </c>
      <c r="C1391" s="16">
        <f>IFERROR(SUMIF(Consolidado!$B$1:$B$1500,VLOOKUP(RegistroPago!A1391,Consolidado!$B$1:$L$1500,1,FALSE),Consolidado!$G$1:$G$1500),"")</f>
        <v>0</v>
      </c>
      <c r="D1391" s="3"/>
      <c r="E1391" s="3"/>
      <c r="F1391" s="5" t="str">
        <f t="shared" si="87"/>
        <v/>
      </c>
      <c r="G1391" s="16" t="str">
        <f>IF(D1391&lt;&gt;"",D1391-VLOOKUP(A1391,Consolidado!$B$1:$L$1500,8,FALSE),"")</f>
        <v/>
      </c>
      <c r="H1391" s="31"/>
      <c r="I1391" s="32">
        <f t="shared" si="88"/>
        <v>0</v>
      </c>
      <c r="J1391" s="33" t="str">
        <f t="shared" si="89"/>
        <v/>
      </c>
      <c r="K1391" s="2"/>
      <c r="L1391" s="15"/>
      <c r="M1391" s="34">
        <f t="shared" si="90"/>
        <v>0</v>
      </c>
    </row>
    <row r="1392" spans="1:13" x14ac:dyDescent="0.25">
      <c r="A1392" s="31"/>
      <c r="B1392" s="16" t="str">
        <f>IFERROR(VLOOKUP(A1392,Consolidado!$B$1:$L$1500,2,FALSE),"")</f>
        <v/>
      </c>
      <c r="C1392" s="16">
        <f>IFERROR(SUMIF(Consolidado!$B$1:$B$1500,VLOOKUP(RegistroPago!A1392,Consolidado!$B$1:$L$1500,1,FALSE),Consolidado!$G$1:$G$1500),"")</f>
        <v>0</v>
      </c>
      <c r="D1392" s="3"/>
      <c r="E1392" s="3"/>
      <c r="F1392" s="5" t="str">
        <f t="shared" si="87"/>
        <v/>
      </c>
      <c r="G1392" s="16" t="str">
        <f>IF(D1392&lt;&gt;"",D1392-VLOOKUP(A1392,Consolidado!$B$1:$L$1500,8,FALSE),"")</f>
        <v/>
      </c>
      <c r="H1392" s="31"/>
      <c r="I1392" s="32">
        <f t="shared" si="88"/>
        <v>0</v>
      </c>
      <c r="J1392" s="33" t="str">
        <f t="shared" si="89"/>
        <v/>
      </c>
      <c r="K1392" s="2"/>
      <c r="L1392" s="15"/>
      <c r="M1392" s="34">
        <f t="shared" si="90"/>
        <v>0</v>
      </c>
    </row>
    <row r="1393" spans="1:13" x14ac:dyDescent="0.25">
      <c r="A1393" s="31"/>
      <c r="B1393" s="16" t="str">
        <f>IFERROR(VLOOKUP(A1393,Consolidado!$B$1:$L$1500,2,FALSE),"")</f>
        <v/>
      </c>
      <c r="C1393" s="16">
        <f>IFERROR(SUMIF(Consolidado!$B$1:$B$1500,VLOOKUP(RegistroPago!A1393,Consolidado!$B$1:$L$1500,1,FALSE),Consolidado!$G$1:$G$1500),"")</f>
        <v>0</v>
      </c>
      <c r="D1393" s="3"/>
      <c r="E1393" s="3"/>
      <c r="F1393" s="5" t="str">
        <f t="shared" si="87"/>
        <v/>
      </c>
      <c r="G1393" s="16" t="str">
        <f>IF(D1393&lt;&gt;"",D1393-VLOOKUP(A1393,Consolidado!$B$1:$L$1500,8,FALSE),"")</f>
        <v/>
      </c>
      <c r="H1393" s="31"/>
      <c r="I1393" s="32">
        <f t="shared" si="88"/>
        <v>0</v>
      </c>
      <c r="J1393" s="33" t="str">
        <f t="shared" si="89"/>
        <v/>
      </c>
      <c r="K1393" s="2"/>
      <c r="L1393" s="15"/>
      <c r="M1393" s="34">
        <f t="shared" si="90"/>
        <v>0</v>
      </c>
    </row>
    <row r="1394" spans="1:13" x14ac:dyDescent="0.25">
      <c r="A1394" s="31"/>
      <c r="B1394" s="16" t="str">
        <f>IFERROR(VLOOKUP(A1394,Consolidado!$B$1:$L$1500,2,FALSE),"")</f>
        <v/>
      </c>
      <c r="C1394" s="16">
        <f>IFERROR(SUMIF(Consolidado!$B$1:$B$1500,VLOOKUP(RegistroPago!A1394,Consolidado!$B$1:$L$1500,1,FALSE),Consolidado!$G$1:$G$1500),"")</f>
        <v>0</v>
      </c>
      <c r="D1394" s="3"/>
      <c r="E1394" s="3"/>
      <c r="F1394" s="5" t="str">
        <f t="shared" si="87"/>
        <v/>
      </c>
      <c r="G1394" s="16" t="str">
        <f>IF(D1394&lt;&gt;"",D1394-VLOOKUP(A1394,Consolidado!$B$1:$L$1500,8,FALSE),"")</f>
        <v/>
      </c>
      <c r="H1394" s="31"/>
      <c r="I1394" s="32">
        <f t="shared" si="88"/>
        <v>0</v>
      </c>
      <c r="J1394" s="33" t="str">
        <f t="shared" si="89"/>
        <v/>
      </c>
      <c r="K1394" s="2"/>
      <c r="L1394" s="15"/>
      <c r="M1394" s="34">
        <f t="shared" si="90"/>
        <v>0</v>
      </c>
    </row>
    <row r="1395" spans="1:13" x14ac:dyDescent="0.25">
      <c r="A1395" s="31"/>
      <c r="B1395" s="16" t="str">
        <f>IFERROR(VLOOKUP(A1395,Consolidado!$B$1:$L$1500,2,FALSE),"")</f>
        <v/>
      </c>
      <c r="C1395" s="16">
        <f>IFERROR(SUMIF(Consolidado!$B$1:$B$1500,VLOOKUP(RegistroPago!A1395,Consolidado!$B$1:$L$1500,1,FALSE),Consolidado!$G$1:$G$1500),"")</f>
        <v>0</v>
      </c>
      <c r="D1395" s="3"/>
      <c r="E1395" s="3"/>
      <c r="F1395" s="5" t="str">
        <f t="shared" si="87"/>
        <v/>
      </c>
      <c r="G1395" s="16" t="str">
        <f>IF(D1395&lt;&gt;"",D1395-VLOOKUP(A1395,Consolidado!$B$1:$L$1500,8,FALSE),"")</f>
        <v/>
      </c>
      <c r="H1395" s="31"/>
      <c r="I1395" s="32">
        <f t="shared" si="88"/>
        <v>0</v>
      </c>
      <c r="J1395" s="33" t="str">
        <f t="shared" si="89"/>
        <v/>
      </c>
      <c r="K1395" s="2"/>
      <c r="L1395" s="15"/>
      <c r="M1395" s="34">
        <f t="shared" si="90"/>
        <v>0</v>
      </c>
    </row>
    <row r="1396" spans="1:13" x14ac:dyDescent="0.25">
      <c r="A1396" s="31"/>
      <c r="B1396" s="16" t="str">
        <f>IFERROR(VLOOKUP(A1396,Consolidado!$B$1:$L$1500,2,FALSE),"")</f>
        <v/>
      </c>
      <c r="C1396" s="16">
        <f>IFERROR(SUMIF(Consolidado!$B$1:$B$1500,VLOOKUP(RegistroPago!A1396,Consolidado!$B$1:$L$1500,1,FALSE),Consolidado!$G$1:$G$1500),"")</f>
        <v>0</v>
      </c>
      <c r="D1396" s="3"/>
      <c r="E1396" s="3"/>
      <c r="F1396" s="5" t="str">
        <f t="shared" si="87"/>
        <v/>
      </c>
      <c r="G1396" s="16" t="str">
        <f>IF(D1396&lt;&gt;"",D1396-VLOOKUP(A1396,Consolidado!$B$1:$L$1500,8,FALSE),"")</f>
        <v/>
      </c>
      <c r="H1396" s="31"/>
      <c r="I1396" s="32">
        <f t="shared" si="88"/>
        <v>0</v>
      </c>
      <c r="J1396" s="33" t="str">
        <f t="shared" si="89"/>
        <v/>
      </c>
      <c r="K1396" s="2"/>
      <c r="L1396" s="15"/>
      <c r="M1396" s="34">
        <f t="shared" si="90"/>
        <v>0</v>
      </c>
    </row>
    <row r="1397" spans="1:13" x14ac:dyDescent="0.25">
      <c r="A1397" s="31"/>
      <c r="B1397" s="16" t="str">
        <f>IFERROR(VLOOKUP(A1397,Consolidado!$B$1:$L$1500,2,FALSE),"")</f>
        <v/>
      </c>
      <c r="C1397" s="16">
        <f>IFERROR(SUMIF(Consolidado!$B$1:$B$1500,VLOOKUP(RegistroPago!A1397,Consolidado!$B$1:$L$1500,1,FALSE),Consolidado!$G$1:$G$1500),"")</f>
        <v>0</v>
      </c>
      <c r="D1397" s="3"/>
      <c r="E1397" s="3"/>
      <c r="F1397" s="5" t="str">
        <f t="shared" si="87"/>
        <v/>
      </c>
      <c r="G1397" s="16" t="str">
        <f>IF(D1397&lt;&gt;"",D1397-VLOOKUP(A1397,Consolidado!$B$1:$L$1500,8,FALSE),"")</f>
        <v/>
      </c>
      <c r="H1397" s="31"/>
      <c r="I1397" s="32">
        <f t="shared" si="88"/>
        <v>0</v>
      </c>
      <c r="J1397" s="33" t="str">
        <f t="shared" si="89"/>
        <v/>
      </c>
      <c r="K1397" s="2"/>
      <c r="L1397" s="15"/>
      <c r="M1397" s="34">
        <f t="shared" si="90"/>
        <v>0</v>
      </c>
    </row>
    <row r="1398" spans="1:13" x14ac:dyDescent="0.25">
      <c r="A1398" s="31"/>
      <c r="B1398" s="16" t="str">
        <f>IFERROR(VLOOKUP(A1398,Consolidado!$B$1:$L$1500,2,FALSE),"")</f>
        <v/>
      </c>
      <c r="C1398" s="16">
        <f>IFERROR(SUMIF(Consolidado!$B$1:$B$1500,VLOOKUP(RegistroPago!A1398,Consolidado!$B$1:$L$1500,1,FALSE),Consolidado!$G$1:$G$1500),"")</f>
        <v>0</v>
      </c>
      <c r="D1398" s="3"/>
      <c r="E1398" s="3"/>
      <c r="F1398" s="5" t="str">
        <f t="shared" si="87"/>
        <v/>
      </c>
      <c r="G1398" s="16" t="str">
        <f>IF(D1398&lt;&gt;"",D1398-VLOOKUP(A1398,Consolidado!$B$1:$L$1500,8,FALSE),"")</f>
        <v/>
      </c>
      <c r="H1398" s="31"/>
      <c r="I1398" s="32">
        <f t="shared" si="88"/>
        <v>0</v>
      </c>
      <c r="J1398" s="33" t="str">
        <f t="shared" si="89"/>
        <v/>
      </c>
      <c r="K1398" s="2"/>
      <c r="L1398" s="15"/>
      <c r="M1398" s="34">
        <f t="shared" si="90"/>
        <v>0</v>
      </c>
    </row>
    <row r="1399" spans="1:13" x14ac:dyDescent="0.25">
      <c r="A1399" s="31"/>
      <c r="B1399" s="16" t="str">
        <f>IFERROR(VLOOKUP(A1399,Consolidado!$B$1:$L$1500,2,FALSE),"")</f>
        <v/>
      </c>
      <c r="C1399" s="16">
        <f>IFERROR(SUMIF(Consolidado!$B$1:$B$1500,VLOOKUP(RegistroPago!A1399,Consolidado!$B$1:$L$1500,1,FALSE),Consolidado!$G$1:$G$1500),"")</f>
        <v>0</v>
      </c>
      <c r="D1399" s="3"/>
      <c r="E1399" s="3"/>
      <c r="F1399" s="5" t="str">
        <f t="shared" si="87"/>
        <v/>
      </c>
      <c r="G1399" s="16" t="str">
        <f>IF(D1399&lt;&gt;"",D1399-VLOOKUP(A1399,Consolidado!$B$1:$L$1500,8,FALSE),"")</f>
        <v/>
      </c>
      <c r="H1399" s="31"/>
      <c r="I1399" s="32">
        <f t="shared" si="88"/>
        <v>0</v>
      </c>
      <c r="J1399" s="33" t="str">
        <f t="shared" si="89"/>
        <v/>
      </c>
      <c r="K1399" s="2"/>
      <c r="L1399" s="15"/>
      <c r="M1399" s="34">
        <f t="shared" si="90"/>
        <v>0</v>
      </c>
    </row>
    <row r="1400" spans="1:13" x14ac:dyDescent="0.25">
      <c r="A1400" s="31"/>
      <c r="B1400" s="16" t="str">
        <f>IFERROR(VLOOKUP(A1400,Consolidado!$B$1:$L$1500,2,FALSE),"")</f>
        <v/>
      </c>
      <c r="C1400" s="16">
        <f>IFERROR(SUMIF(Consolidado!$B$1:$B$1500,VLOOKUP(RegistroPago!A1400,Consolidado!$B$1:$L$1500,1,FALSE),Consolidado!$G$1:$G$1500),"")</f>
        <v>0</v>
      </c>
      <c r="D1400" s="3"/>
      <c r="E1400" s="3"/>
      <c r="F1400" s="5" t="str">
        <f t="shared" si="87"/>
        <v/>
      </c>
      <c r="G1400" s="16" t="str">
        <f>IF(D1400&lt;&gt;"",D1400-VLOOKUP(A1400,Consolidado!$B$1:$L$1500,8,FALSE),"")</f>
        <v/>
      </c>
      <c r="H1400" s="31"/>
      <c r="I1400" s="32">
        <f t="shared" si="88"/>
        <v>0</v>
      </c>
      <c r="J1400" s="33" t="str">
        <f t="shared" si="89"/>
        <v/>
      </c>
      <c r="K1400" s="2"/>
      <c r="L1400" s="15"/>
      <c r="M1400" s="34">
        <f t="shared" si="90"/>
        <v>0</v>
      </c>
    </row>
    <row r="1401" spans="1:13" x14ac:dyDescent="0.25">
      <c r="A1401" s="31"/>
      <c r="B1401" s="16" t="str">
        <f>IFERROR(VLOOKUP(A1401,Consolidado!$B$1:$L$1500,2,FALSE),"")</f>
        <v/>
      </c>
      <c r="C1401" s="16">
        <f>IFERROR(SUMIF(Consolidado!$B$1:$B$1500,VLOOKUP(RegistroPago!A1401,Consolidado!$B$1:$L$1500,1,FALSE),Consolidado!$G$1:$G$1500),"")</f>
        <v>0</v>
      </c>
      <c r="D1401" s="3"/>
      <c r="E1401" s="3"/>
      <c r="F1401" s="5" t="str">
        <f t="shared" si="87"/>
        <v/>
      </c>
      <c r="G1401" s="16" t="str">
        <f>IF(D1401&lt;&gt;"",D1401-VLOOKUP(A1401,Consolidado!$B$1:$L$1500,8,FALSE),"")</f>
        <v/>
      </c>
      <c r="H1401" s="31"/>
      <c r="I1401" s="32">
        <f t="shared" si="88"/>
        <v>0</v>
      </c>
      <c r="J1401" s="33" t="str">
        <f t="shared" si="89"/>
        <v/>
      </c>
      <c r="K1401" s="2"/>
      <c r="L1401" s="15"/>
      <c r="M1401" s="34">
        <f t="shared" si="90"/>
        <v>0</v>
      </c>
    </row>
    <row r="1402" spans="1:13" x14ac:dyDescent="0.25">
      <c r="A1402" s="31"/>
      <c r="B1402" s="16" t="str">
        <f>IFERROR(VLOOKUP(A1402,Consolidado!$B$1:$L$1500,2,FALSE),"")</f>
        <v/>
      </c>
      <c r="C1402" s="16">
        <f>IFERROR(SUMIF(Consolidado!$B$1:$B$1500,VLOOKUP(RegistroPago!A1402,Consolidado!$B$1:$L$1500,1,FALSE),Consolidado!$G$1:$G$1500),"")</f>
        <v>0</v>
      </c>
      <c r="D1402" s="3"/>
      <c r="E1402" s="3"/>
      <c r="F1402" s="5" t="str">
        <f t="shared" si="87"/>
        <v/>
      </c>
      <c r="G1402" s="16" t="str">
        <f>IF(D1402&lt;&gt;"",D1402-VLOOKUP(A1402,Consolidado!$B$1:$L$1500,8,FALSE),"")</f>
        <v/>
      </c>
      <c r="H1402" s="31"/>
      <c r="I1402" s="32">
        <f t="shared" si="88"/>
        <v>0</v>
      </c>
      <c r="J1402" s="33" t="str">
        <f t="shared" si="89"/>
        <v/>
      </c>
      <c r="K1402" s="2"/>
      <c r="L1402" s="15"/>
      <c r="M1402" s="34">
        <f t="shared" si="90"/>
        <v>0</v>
      </c>
    </row>
    <row r="1403" spans="1:13" x14ac:dyDescent="0.25">
      <c r="A1403" s="31"/>
      <c r="B1403" s="16" t="str">
        <f>IFERROR(VLOOKUP(A1403,Consolidado!$B$1:$L$1500,2,FALSE),"")</f>
        <v/>
      </c>
      <c r="C1403" s="16">
        <f>IFERROR(SUMIF(Consolidado!$B$1:$B$1500,VLOOKUP(RegistroPago!A1403,Consolidado!$B$1:$L$1500,1,FALSE),Consolidado!$G$1:$G$1500),"")</f>
        <v>0</v>
      </c>
      <c r="D1403" s="3"/>
      <c r="E1403" s="3"/>
      <c r="F1403" s="5" t="str">
        <f t="shared" si="87"/>
        <v/>
      </c>
      <c r="G1403" s="16" t="str">
        <f>IF(D1403&lt;&gt;"",D1403-VLOOKUP(A1403,Consolidado!$B$1:$L$1500,8,FALSE),"")</f>
        <v/>
      </c>
      <c r="H1403" s="31"/>
      <c r="I1403" s="32">
        <f t="shared" si="88"/>
        <v>0</v>
      </c>
      <c r="J1403" s="33" t="str">
        <f t="shared" si="89"/>
        <v/>
      </c>
      <c r="K1403" s="2"/>
      <c r="L1403" s="15"/>
      <c r="M1403" s="34">
        <f t="shared" si="90"/>
        <v>0</v>
      </c>
    </row>
    <row r="1404" spans="1:13" x14ac:dyDescent="0.25">
      <c r="A1404" s="31"/>
      <c r="B1404" s="16" t="str">
        <f>IFERROR(VLOOKUP(A1404,Consolidado!$B$1:$L$1500,2,FALSE),"")</f>
        <v/>
      </c>
      <c r="C1404" s="16">
        <f>IFERROR(SUMIF(Consolidado!$B$1:$B$1500,VLOOKUP(RegistroPago!A1404,Consolidado!$B$1:$L$1500,1,FALSE),Consolidado!$G$1:$G$1500),"")</f>
        <v>0</v>
      </c>
      <c r="D1404" s="3"/>
      <c r="E1404" s="3"/>
      <c r="F1404" s="5" t="str">
        <f t="shared" si="87"/>
        <v/>
      </c>
      <c r="G1404" s="16" t="str">
        <f>IF(D1404&lt;&gt;"",D1404-VLOOKUP(A1404,Consolidado!$B$1:$L$1500,8,FALSE),"")</f>
        <v/>
      </c>
      <c r="H1404" s="31"/>
      <c r="I1404" s="32">
        <f t="shared" si="88"/>
        <v>0</v>
      </c>
      <c r="J1404" s="33" t="str">
        <f t="shared" si="89"/>
        <v/>
      </c>
      <c r="K1404" s="2"/>
      <c r="L1404" s="15"/>
      <c r="M1404" s="34">
        <f t="shared" si="90"/>
        <v>0</v>
      </c>
    </row>
    <row r="1405" spans="1:13" x14ac:dyDescent="0.25">
      <c r="A1405" s="31"/>
      <c r="B1405" s="16" t="str">
        <f>IFERROR(VLOOKUP(A1405,Consolidado!$B$1:$L$1500,2,FALSE),"")</f>
        <v/>
      </c>
      <c r="C1405" s="16">
        <f>IFERROR(SUMIF(Consolidado!$B$1:$B$1500,VLOOKUP(RegistroPago!A1405,Consolidado!$B$1:$L$1500,1,FALSE),Consolidado!$G$1:$G$1500),"")</f>
        <v>0</v>
      </c>
      <c r="D1405" s="3"/>
      <c r="E1405" s="3"/>
      <c r="F1405" s="5" t="str">
        <f t="shared" si="87"/>
        <v/>
      </c>
      <c r="G1405" s="16" t="str">
        <f>IF(D1405&lt;&gt;"",D1405-VLOOKUP(A1405,Consolidado!$B$1:$L$1500,8,FALSE),"")</f>
        <v/>
      </c>
      <c r="H1405" s="31"/>
      <c r="I1405" s="32">
        <f t="shared" si="88"/>
        <v>0</v>
      </c>
      <c r="J1405" s="33" t="str">
        <f t="shared" si="89"/>
        <v/>
      </c>
      <c r="K1405" s="2"/>
      <c r="L1405" s="15"/>
      <c r="M1405" s="34">
        <f t="shared" si="90"/>
        <v>0</v>
      </c>
    </row>
    <row r="1406" spans="1:13" x14ac:dyDescent="0.25">
      <c r="A1406" s="31"/>
      <c r="B1406" s="16" t="str">
        <f>IFERROR(VLOOKUP(A1406,Consolidado!$B$1:$L$1500,2,FALSE),"")</f>
        <v/>
      </c>
      <c r="C1406" s="16">
        <f>IFERROR(SUMIF(Consolidado!$B$1:$B$1500,VLOOKUP(RegistroPago!A1406,Consolidado!$B$1:$L$1500,1,FALSE),Consolidado!$G$1:$G$1500),"")</f>
        <v>0</v>
      </c>
      <c r="D1406" s="3"/>
      <c r="E1406" s="3"/>
      <c r="F1406" s="5" t="str">
        <f t="shared" si="87"/>
        <v/>
      </c>
      <c r="G1406" s="16" t="str">
        <f>IF(D1406&lt;&gt;"",D1406-VLOOKUP(A1406,Consolidado!$B$1:$L$1500,8,FALSE),"")</f>
        <v/>
      </c>
      <c r="H1406" s="31"/>
      <c r="I1406" s="32">
        <f t="shared" si="88"/>
        <v>0</v>
      </c>
      <c r="J1406" s="33" t="str">
        <f t="shared" si="89"/>
        <v/>
      </c>
      <c r="K1406" s="2"/>
      <c r="L1406" s="15"/>
      <c r="M1406" s="34">
        <f t="shared" si="90"/>
        <v>0</v>
      </c>
    </row>
    <row r="1407" spans="1:13" x14ac:dyDescent="0.25">
      <c r="A1407" s="31"/>
      <c r="B1407" s="16" t="str">
        <f>IFERROR(VLOOKUP(A1407,Consolidado!$B$1:$L$1500,2,FALSE),"")</f>
        <v/>
      </c>
      <c r="C1407" s="16">
        <f>IFERROR(SUMIF(Consolidado!$B$1:$B$1500,VLOOKUP(RegistroPago!A1407,Consolidado!$B$1:$L$1500,1,FALSE),Consolidado!$G$1:$G$1500),"")</f>
        <v>0</v>
      </c>
      <c r="D1407" s="3"/>
      <c r="E1407" s="3"/>
      <c r="F1407" s="5" t="str">
        <f t="shared" si="87"/>
        <v/>
      </c>
      <c r="G1407" s="16" t="str">
        <f>IF(D1407&lt;&gt;"",D1407-VLOOKUP(A1407,Consolidado!$B$1:$L$1500,8,FALSE),"")</f>
        <v/>
      </c>
      <c r="H1407" s="31"/>
      <c r="I1407" s="32">
        <f t="shared" si="88"/>
        <v>0</v>
      </c>
      <c r="J1407" s="33" t="str">
        <f t="shared" si="89"/>
        <v/>
      </c>
      <c r="K1407" s="2"/>
      <c r="L1407" s="15"/>
      <c r="M1407" s="34">
        <f t="shared" si="90"/>
        <v>0</v>
      </c>
    </row>
    <row r="1408" spans="1:13" x14ac:dyDescent="0.25">
      <c r="A1408" s="31"/>
      <c r="B1408" s="16" t="str">
        <f>IFERROR(VLOOKUP(A1408,Consolidado!$B$1:$L$1500,2,FALSE),"")</f>
        <v/>
      </c>
      <c r="C1408" s="16">
        <f>IFERROR(SUMIF(Consolidado!$B$1:$B$1500,VLOOKUP(RegistroPago!A1408,Consolidado!$B$1:$L$1500,1,FALSE),Consolidado!$G$1:$G$1500),"")</f>
        <v>0</v>
      </c>
      <c r="D1408" s="3"/>
      <c r="E1408" s="3"/>
      <c r="F1408" s="5" t="str">
        <f t="shared" si="87"/>
        <v/>
      </c>
      <c r="G1408" s="16" t="str">
        <f>IF(D1408&lt;&gt;"",D1408-VLOOKUP(A1408,Consolidado!$B$1:$L$1500,8,FALSE),"")</f>
        <v/>
      </c>
      <c r="H1408" s="31"/>
      <c r="I1408" s="32">
        <f t="shared" si="88"/>
        <v>0</v>
      </c>
      <c r="J1408" s="33" t="str">
        <f t="shared" si="89"/>
        <v/>
      </c>
      <c r="K1408" s="2"/>
      <c r="L1408" s="15"/>
      <c r="M1408" s="34">
        <f t="shared" si="90"/>
        <v>0</v>
      </c>
    </row>
    <row r="1409" spans="1:13" x14ac:dyDescent="0.25">
      <c r="A1409" s="31"/>
      <c r="B1409" s="16" t="str">
        <f>IFERROR(VLOOKUP(A1409,Consolidado!$B$1:$L$1500,2,FALSE),"")</f>
        <v/>
      </c>
      <c r="C1409" s="16">
        <f>IFERROR(SUMIF(Consolidado!$B$1:$B$1500,VLOOKUP(RegistroPago!A1409,Consolidado!$B$1:$L$1500,1,FALSE),Consolidado!$G$1:$G$1500),"")</f>
        <v>0</v>
      </c>
      <c r="D1409" s="3"/>
      <c r="E1409" s="3"/>
      <c r="F1409" s="5" t="str">
        <f t="shared" si="87"/>
        <v/>
      </c>
      <c r="G1409" s="16" t="str">
        <f>IF(D1409&lt;&gt;"",D1409-VLOOKUP(A1409,Consolidado!$B$1:$L$1500,8,FALSE),"")</f>
        <v/>
      </c>
      <c r="H1409" s="31"/>
      <c r="I1409" s="32">
        <f t="shared" si="88"/>
        <v>0</v>
      </c>
      <c r="J1409" s="33" t="str">
        <f t="shared" si="89"/>
        <v/>
      </c>
      <c r="K1409" s="2"/>
      <c r="L1409" s="15"/>
      <c r="M1409" s="34">
        <f t="shared" si="90"/>
        <v>0</v>
      </c>
    </row>
    <row r="1410" spans="1:13" x14ac:dyDescent="0.25">
      <c r="A1410" s="31"/>
      <c r="B1410" s="16" t="str">
        <f>IFERROR(VLOOKUP(A1410,Consolidado!$B$1:$L$1500,2,FALSE),"")</f>
        <v/>
      </c>
      <c r="C1410" s="16">
        <f>IFERROR(SUMIF(Consolidado!$B$1:$B$1500,VLOOKUP(RegistroPago!A1410,Consolidado!$B$1:$L$1500,1,FALSE),Consolidado!$G$1:$G$1500),"")</f>
        <v>0</v>
      </c>
      <c r="D1410" s="3"/>
      <c r="E1410" s="3"/>
      <c r="F1410" s="5" t="str">
        <f t="shared" si="87"/>
        <v/>
      </c>
      <c r="G1410" s="16" t="str">
        <f>IF(D1410&lt;&gt;"",D1410-VLOOKUP(A1410,Consolidado!$B$1:$L$1500,8,FALSE),"")</f>
        <v/>
      </c>
      <c r="H1410" s="31"/>
      <c r="I1410" s="32">
        <f t="shared" si="88"/>
        <v>0</v>
      </c>
      <c r="J1410" s="33" t="str">
        <f t="shared" si="89"/>
        <v/>
      </c>
      <c r="K1410" s="2"/>
      <c r="L1410" s="15"/>
      <c r="M1410" s="34">
        <f t="shared" si="90"/>
        <v>0</v>
      </c>
    </row>
    <row r="1411" spans="1:13" x14ac:dyDescent="0.25">
      <c r="A1411" s="31"/>
      <c r="B1411" s="16" t="str">
        <f>IFERROR(VLOOKUP(A1411,Consolidado!$B$1:$L$1500,2,FALSE),"")</f>
        <v/>
      </c>
      <c r="C1411" s="16">
        <f>IFERROR(SUMIF(Consolidado!$B$1:$B$1500,VLOOKUP(RegistroPago!A1411,Consolidado!$B$1:$L$1500,1,FALSE),Consolidado!$G$1:$G$1500),"")</f>
        <v>0</v>
      </c>
      <c r="D1411" s="3"/>
      <c r="E1411" s="3"/>
      <c r="F1411" s="5" t="str">
        <f t="shared" ref="F1411:F1474" si="91">IF(COUNTIF($E$2:$E$2000,E1411)&gt;1,"Ya registrado","")</f>
        <v/>
      </c>
      <c r="G1411" s="16" t="str">
        <f>IF(D1411&lt;&gt;"",D1411-VLOOKUP(A1411,Consolidado!$B$1:$L$1500,8,FALSE),"")</f>
        <v/>
      </c>
      <c r="H1411" s="31"/>
      <c r="I1411" s="32">
        <f t="shared" si="88"/>
        <v>0</v>
      </c>
      <c r="J1411" s="33" t="str">
        <f t="shared" si="89"/>
        <v/>
      </c>
      <c r="K1411" s="2"/>
      <c r="L1411" s="15"/>
      <c r="M1411" s="34">
        <f t="shared" si="90"/>
        <v>0</v>
      </c>
    </row>
    <row r="1412" spans="1:13" x14ac:dyDescent="0.25">
      <c r="A1412" s="31"/>
      <c r="B1412" s="16" t="str">
        <f>IFERROR(VLOOKUP(A1412,Consolidado!$B$1:$L$1500,2,FALSE),"")</f>
        <v/>
      </c>
      <c r="C1412" s="16">
        <f>IFERROR(SUMIF(Consolidado!$B$1:$B$1500,VLOOKUP(RegistroPago!A1412,Consolidado!$B$1:$L$1500,1,FALSE),Consolidado!$G$1:$G$1500),"")</f>
        <v>0</v>
      </c>
      <c r="D1412" s="3"/>
      <c r="E1412" s="3"/>
      <c r="F1412" s="5" t="str">
        <f t="shared" si="91"/>
        <v/>
      </c>
      <c r="G1412" s="16" t="str">
        <f>IF(D1412&lt;&gt;"",D1412-VLOOKUP(A1412,Consolidado!$B$1:$L$1500,8,FALSE),"")</f>
        <v/>
      </c>
      <c r="H1412" s="31"/>
      <c r="I1412" s="32">
        <f t="shared" si="88"/>
        <v>0</v>
      </c>
      <c r="J1412" s="33" t="str">
        <f t="shared" si="89"/>
        <v/>
      </c>
      <c r="K1412" s="2"/>
      <c r="L1412" s="15"/>
      <c r="M1412" s="34">
        <f t="shared" si="90"/>
        <v>0</v>
      </c>
    </row>
    <row r="1413" spans="1:13" x14ac:dyDescent="0.25">
      <c r="A1413" s="31"/>
      <c r="B1413" s="16" t="str">
        <f>IFERROR(VLOOKUP(A1413,Consolidado!$B$1:$L$1500,2,FALSE),"")</f>
        <v/>
      </c>
      <c r="C1413" s="16">
        <f>IFERROR(SUMIF(Consolidado!$B$1:$B$1500,VLOOKUP(RegistroPago!A1413,Consolidado!$B$1:$L$1500,1,FALSE),Consolidado!$G$1:$G$1500),"")</f>
        <v>0</v>
      </c>
      <c r="D1413" s="3"/>
      <c r="E1413" s="3"/>
      <c r="F1413" s="5" t="str">
        <f t="shared" si="91"/>
        <v/>
      </c>
      <c r="G1413" s="16" t="str">
        <f>IF(D1413&lt;&gt;"",D1413-VLOOKUP(A1413,Consolidado!$B$1:$L$1500,8,FALSE),"")</f>
        <v/>
      </c>
      <c r="H1413" s="31"/>
      <c r="I1413" s="32">
        <f t="shared" si="88"/>
        <v>0</v>
      </c>
      <c r="J1413" s="33" t="str">
        <f t="shared" si="89"/>
        <v/>
      </c>
      <c r="K1413" s="2"/>
      <c r="L1413" s="15"/>
      <c r="M1413" s="34">
        <f t="shared" si="90"/>
        <v>0</v>
      </c>
    </row>
    <row r="1414" spans="1:13" x14ac:dyDescent="0.25">
      <c r="A1414" s="31"/>
      <c r="B1414" s="16" t="str">
        <f>IFERROR(VLOOKUP(A1414,Consolidado!$B$1:$L$1500,2,FALSE),"")</f>
        <v/>
      </c>
      <c r="C1414" s="16">
        <f>IFERROR(SUMIF(Consolidado!$B$1:$B$1500,VLOOKUP(RegistroPago!A1414,Consolidado!$B$1:$L$1500,1,FALSE),Consolidado!$G$1:$G$1500),"")</f>
        <v>0</v>
      </c>
      <c r="D1414" s="3"/>
      <c r="E1414" s="3"/>
      <c r="F1414" s="5" t="str">
        <f t="shared" si="91"/>
        <v/>
      </c>
      <c r="G1414" s="16" t="str">
        <f>IF(D1414&lt;&gt;"",D1414-VLOOKUP(A1414,Consolidado!$B$1:$L$1500,8,FALSE),"")</f>
        <v/>
      </c>
      <c r="H1414" s="31"/>
      <c r="I1414" s="32">
        <f t="shared" si="88"/>
        <v>0</v>
      </c>
      <c r="J1414" s="33" t="str">
        <f t="shared" si="89"/>
        <v/>
      </c>
      <c r="K1414" s="2"/>
      <c r="L1414" s="15"/>
      <c r="M1414" s="34">
        <f t="shared" si="90"/>
        <v>0</v>
      </c>
    </row>
    <row r="1415" spans="1:13" x14ac:dyDescent="0.25">
      <c r="A1415" s="31"/>
      <c r="B1415" s="16" t="str">
        <f>IFERROR(VLOOKUP(A1415,Consolidado!$B$1:$L$1500,2,FALSE),"")</f>
        <v/>
      </c>
      <c r="C1415" s="16">
        <f>IFERROR(SUMIF(Consolidado!$B$1:$B$1500,VLOOKUP(RegistroPago!A1415,Consolidado!$B$1:$L$1500,1,FALSE),Consolidado!$G$1:$G$1500),"")</f>
        <v>0</v>
      </c>
      <c r="D1415" s="3"/>
      <c r="E1415" s="3"/>
      <c r="F1415" s="5" t="str">
        <f t="shared" si="91"/>
        <v/>
      </c>
      <c r="G1415" s="16" t="str">
        <f>IF(D1415&lt;&gt;"",D1415-VLOOKUP(A1415,Consolidado!$B$1:$L$1500,8,FALSE),"")</f>
        <v/>
      </c>
      <c r="H1415" s="31"/>
      <c r="I1415" s="32">
        <f t="shared" si="88"/>
        <v>0</v>
      </c>
      <c r="J1415" s="33" t="str">
        <f t="shared" si="89"/>
        <v/>
      </c>
      <c r="K1415" s="2"/>
      <c r="L1415" s="15"/>
      <c r="M1415" s="34">
        <f t="shared" si="90"/>
        <v>0</v>
      </c>
    </row>
    <row r="1416" spans="1:13" x14ac:dyDescent="0.25">
      <c r="A1416" s="31"/>
      <c r="B1416" s="16" t="str">
        <f>IFERROR(VLOOKUP(A1416,Consolidado!$B$1:$L$1500,2,FALSE),"")</f>
        <v/>
      </c>
      <c r="C1416" s="16">
        <f>IFERROR(SUMIF(Consolidado!$B$1:$B$1500,VLOOKUP(RegistroPago!A1416,Consolidado!$B$1:$L$1500,1,FALSE),Consolidado!$G$1:$G$1500),"")</f>
        <v>0</v>
      </c>
      <c r="D1416" s="3"/>
      <c r="E1416" s="3"/>
      <c r="F1416" s="5" t="str">
        <f t="shared" si="91"/>
        <v/>
      </c>
      <c r="G1416" s="16" t="str">
        <f>IF(D1416&lt;&gt;"",D1416-VLOOKUP(A1416,Consolidado!$B$1:$L$1500,8,FALSE),"")</f>
        <v/>
      </c>
      <c r="H1416" s="31"/>
      <c r="I1416" s="32">
        <f t="shared" si="88"/>
        <v>0</v>
      </c>
      <c r="J1416" s="33" t="str">
        <f t="shared" si="89"/>
        <v/>
      </c>
      <c r="K1416" s="2"/>
      <c r="L1416" s="15"/>
      <c r="M1416" s="34">
        <f t="shared" si="90"/>
        <v>0</v>
      </c>
    </row>
    <row r="1417" spans="1:13" x14ac:dyDescent="0.25">
      <c r="A1417" s="31"/>
      <c r="B1417" s="16" t="str">
        <f>IFERROR(VLOOKUP(A1417,Consolidado!$B$1:$L$1500,2,FALSE),"")</f>
        <v/>
      </c>
      <c r="C1417" s="16">
        <f>IFERROR(SUMIF(Consolidado!$B$1:$B$1500,VLOOKUP(RegistroPago!A1417,Consolidado!$B$1:$L$1500,1,FALSE),Consolidado!$G$1:$G$1500),"")</f>
        <v>0</v>
      </c>
      <c r="D1417" s="3"/>
      <c r="E1417" s="3"/>
      <c r="F1417" s="5" t="str">
        <f t="shared" si="91"/>
        <v/>
      </c>
      <c r="G1417" s="16" t="str">
        <f>IF(D1417&lt;&gt;"",D1417-VLOOKUP(A1417,Consolidado!$B$1:$L$1500,8,FALSE),"")</f>
        <v/>
      </c>
      <c r="H1417" s="31"/>
      <c r="I1417" s="32">
        <f t="shared" si="88"/>
        <v>0</v>
      </c>
      <c r="J1417" s="33" t="str">
        <f t="shared" si="89"/>
        <v/>
      </c>
      <c r="K1417" s="2"/>
      <c r="L1417" s="15"/>
      <c r="M1417" s="34">
        <f t="shared" si="90"/>
        <v>0</v>
      </c>
    </row>
    <row r="1418" spans="1:13" x14ac:dyDescent="0.25">
      <c r="A1418" s="31"/>
      <c r="B1418" s="16" t="str">
        <f>IFERROR(VLOOKUP(A1418,Consolidado!$B$1:$L$1500,2,FALSE),"")</f>
        <v/>
      </c>
      <c r="C1418" s="16">
        <f>IFERROR(SUMIF(Consolidado!$B$1:$B$1500,VLOOKUP(RegistroPago!A1418,Consolidado!$B$1:$L$1500,1,FALSE),Consolidado!$G$1:$G$1500),"")</f>
        <v>0</v>
      </c>
      <c r="D1418" s="3"/>
      <c r="E1418" s="3"/>
      <c r="F1418" s="5" t="str">
        <f t="shared" si="91"/>
        <v/>
      </c>
      <c r="G1418" s="16" t="str">
        <f>IF(D1418&lt;&gt;"",D1418-VLOOKUP(A1418,Consolidado!$B$1:$L$1500,8,FALSE),"")</f>
        <v/>
      </c>
      <c r="H1418" s="31"/>
      <c r="I1418" s="32">
        <f t="shared" si="88"/>
        <v>0</v>
      </c>
      <c r="J1418" s="33" t="str">
        <f t="shared" si="89"/>
        <v/>
      </c>
      <c r="K1418" s="2"/>
      <c r="L1418" s="15"/>
      <c r="M1418" s="34">
        <f t="shared" si="90"/>
        <v>0</v>
      </c>
    </row>
    <row r="1419" spans="1:13" x14ac:dyDescent="0.25">
      <c r="A1419" s="31"/>
      <c r="B1419" s="16" t="str">
        <f>IFERROR(VLOOKUP(A1419,Consolidado!$B$1:$L$1500,2,FALSE),"")</f>
        <v/>
      </c>
      <c r="C1419" s="16">
        <f>IFERROR(SUMIF(Consolidado!$B$1:$B$1500,VLOOKUP(RegistroPago!A1419,Consolidado!$B$1:$L$1500,1,FALSE),Consolidado!$G$1:$G$1500),"")</f>
        <v>0</v>
      </c>
      <c r="D1419" s="3"/>
      <c r="E1419" s="3"/>
      <c r="F1419" s="5" t="str">
        <f t="shared" si="91"/>
        <v/>
      </c>
      <c r="G1419" s="16" t="str">
        <f>IF(D1419&lt;&gt;"",D1419-VLOOKUP(A1419,Consolidado!$B$1:$L$1500,8,FALSE),"")</f>
        <v/>
      </c>
      <c r="H1419" s="31"/>
      <c r="I1419" s="32">
        <f t="shared" si="88"/>
        <v>0</v>
      </c>
      <c r="J1419" s="33" t="str">
        <f t="shared" si="89"/>
        <v/>
      </c>
      <c r="K1419" s="2"/>
      <c r="L1419" s="15"/>
      <c r="M1419" s="34">
        <f t="shared" si="90"/>
        <v>0</v>
      </c>
    </row>
    <row r="1420" spans="1:13" x14ac:dyDescent="0.25">
      <c r="A1420" s="31"/>
      <c r="B1420" s="16" t="str">
        <f>IFERROR(VLOOKUP(A1420,Consolidado!$B$1:$L$1500,2,FALSE),"")</f>
        <v/>
      </c>
      <c r="C1420" s="16">
        <f>IFERROR(SUMIF(Consolidado!$B$1:$B$1500,VLOOKUP(RegistroPago!A1420,Consolidado!$B$1:$L$1500,1,FALSE),Consolidado!$G$1:$G$1500),"")</f>
        <v>0</v>
      </c>
      <c r="D1420" s="3"/>
      <c r="E1420" s="3"/>
      <c r="F1420" s="5" t="str">
        <f t="shared" si="91"/>
        <v/>
      </c>
      <c r="G1420" s="16" t="str">
        <f>IF(D1420&lt;&gt;"",D1420-VLOOKUP(A1420,Consolidado!$B$1:$L$1500,8,FALSE),"")</f>
        <v/>
      </c>
      <c r="H1420" s="31"/>
      <c r="I1420" s="32">
        <f t="shared" si="88"/>
        <v>0</v>
      </c>
      <c r="J1420" s="33" t="str">
        <f t="shared" si="89"/>
        <v/>
      </c>
      <c r="K1420" s="2"/>
      <c r="L1420" s="15"/>
      <c r="M1420" s="34">
        <f t="shared" si="90"/>
        <v>0</v>
      </c>
    </row>
    <row r="1421" spans="1:13" x14ac:dyDescent="0.25">
      <c r="A1421" s="31"/>
      <c r="B1421" s="16" t="str">
        <f>IFERROR(VLOOKUP(A1421,Consolidado!$B$1:$L$1500,2,FALSE),"")</f>
        <v/>
      </c>
      <c r="C1421" s="16">
        <f>IFERROR(SUMIF(Consolidado!$B$1:$B$1500,VLOOKUP(RegistroPago!A1421,Consolidado!$B$1:$L$1500,1,FALSE),Consolidado!$G$1:$G$1500),"")</f>
        <v>0</v>
      </c>
      <c r="D1421" s="3"/>
      <c r="E1421" s="3"/>
      <c r="F1421" s="5" t="str">
        <f t="shared" si="91"/>
        <v/>
      </c>
      <c r="G1421" s="16" t="str">
        <f>IF(D1421&lt;&gt;"",D1421-VLOOKUP(A1421,Consolidado!$B$1:$L$1500,8,FALSE),"")</f>
        <v/>
      </c>
      <c r="H1421" s="31"/>
      <c r="I1421" s="32">
        <f t="shared" si="88"/>
        <v>0</v>
      </c>
      <c r="J1421" s="33" t="str">
        <f t="shared" si="89"/>
        <v/>
      </c>
      <c r="K1421" s="2"/>
      <c r="L1421" s="15"/>
      <c r="M1421" s="34">
        <f t="shared" si="90"/>
        <v>0</v>
      </c>
    </row>
    <row r="1422" spans="1:13" x14ac:dyDescent="0.25">
      <c r="A1422" s="31"/>
      <c r="B1422" s="16" t="str">
        <f>IFERROR(VLOOKUP(A1422,Consolidado!$B$1:$L$1500,2,FALSE),"")</f>
        <v/>
      </c>
      <c r="C1422" s="16">
        <f>IFERROR(SUMIF(Consolidado!$B$1:$B$1500,VLOOKUP(RegistroPago!A1422,Consolidado!$B$1:$L$1500,1,FALSE),Consolidado!$G$1:$G$1500),"")</f>
        <v>0</v>
      </c>
      <c r="D1422" s="3"/>
      <c r="E1422" s="3"/>
      <c r="F1422" s="5" t="str">
        <f t="shared" si="91"/>
        <v/>
      </c>
      <c r="G1422" s="16" t="str">
        <f>IF(D1422&lt;&gt;"",D1422-VLOOKUP(A1422,Consolidado!$B$1:$L$1500,8,FALSE),"")</f>
        <v/>
      </c>
      <c r="H1422" s="31"/>
      <c r="I1422" s="32">
        <f t="shared" si="88"/>
        <v>0</v>
      </c>
      <c r="J1422" s="33" t="str">
        <f t="shared" si="89"/>
        <v/>
      </c>
      <c r="K1422" s="2"/>
      <c r="L1422" s="15"/>
      <c r="M1422" s="34">
        <f t="shared" si="90"/>
        <v>0</v>
      </c>
    </row>
    <row r="1423" spans="1:13" x14ac:dyDescent="0.25">
      <c r="A1423" s="31"/>
      <c r="B1423" s="16" t="str">
        <f>IFERROR(VLOOKUP(A1423,Consolidado!$B$1:$L$1500,2,FALSE),"")</f>
        <v/>
      </c>
      <c r="C1423" s="16">
        <f>IFERROR(SUMIF(Consolidado!$B$1:$B$1500,VLOOKUP(RegistroPago!A1423,Consolidado!$B$1:$L$1500,1,FALSE),Consolidado!$G$1:$G$1500),"")</f>
        <v>0</v>
      </c>
      <c r="D1423" s="3"/>
      <c r="E1423" s="3"/>
      <c r="F1423" s="5" t="str">
        <f t="shared" si="91"/>
        <v/>
      </c>
      <c r="G1423" s="16" t="str">
        <f>IF(D1423&lt;&gt;"",D1423-VLOOKUP(A1423,Consolidado!$B$1:$L$1500,8,FALSE),"")</f>
        <v/>
      </c>
      <c r="H1423" s="31"/>
      <c r="I1423" s="32">
        <f t="shared" si="88"/>
        <v>0</v>
      </c>
      <c r="J1423" s="33" t="str">
        <f t="shared" si="89"/>
        <v/>
      </c>
      <c r="K1423" s="2"/>
      <c r="L1423" s="15"/>
      <c r="M1423" s="34">
        <f t="shared" si="90"/>
        <v>0</v>
      </c>
    </row>
    <row r="1424" spans="1:13" x14ac:dyDescent="0.25">
      <c r="A1424" s="31"/>
      <c r="B1424" s="16" t="str">
        <f>IFERROR(VLOOKUP(A1424,Consolidado!$B$1:$L$1500,2,FALSE),"")</f>
        <v/>
      </c>
      <c r="C1424" s="16">
        <f>IFERROR(SUMIF(Consolidado!$B$1:$B$1500,VLOOKUP(RegistroPago!A1424,Consolidado!$B$1:$L$1500,1,FALSE),Consolidado!$G$1:$G$1500),"")</f>
        <v>0</v>
      </c>
      <c r="D1424" s="3"/>
      <c r="E1424" s="3"/>
      <c r="F1424" s="5" t="str">
        <f t="shared" si="91"/>
        <v/>
      </c>
      <c r="G1424" s="16" t="str">
        <f>IF(D1424&lt;&gt;"",D1424-VLOOKUP(A1424,Consolidado!$B$1:$L$1500,8,FALSE),"")</f>
        <v/>
      </c>
      <c r="H1424" s="31"/>
      <c r="I1424" s="32">
        <f t="shared" si="88"/>
        <v>0</v>
      </c>
      <c r="J1424" s="33" t="str">
        <f t="shared" si="89"/>
        <v/>
      </c>
      <c r="K1424" s="2"/>
      <c r="L1424" s="15"/>
      <c r="M1424" s="34">
        <f t="shared" si="90"/>
        <v>0</v>
      </c>
    </row>
    <row r="1425" spans="1:13" x14ac:dyDescent="0.25">
      <c r="A1425" s="31"/>
      <c r="B1425" s="16" t="str">
        <f>IFERROR(VLOOKUP(A1425,Consolidado!$B$1:$L$1500,2,FALSE),"")</f>
        <v/>
      </c>
      <c r="C1425" s="16">
        <f>IFERROR(SUMIF(Consolidado!$B$1:$B$1500,VLOOKUP(RegistroPago!A1425,Consolidado!$B$1:$L$1500,1,FALSE),Consolidado!$G$1:$G$1500),"")</f>
        <v>0</v>
      </c>
      <c r="D1425" s="3"/>
      <c r="E1425" s="3"/>
      <c r="F1425" s="5" t="str">
        <f t="shared" si="91"/>
        <v/>
      </c>
      <c r="G1425" s="16" t="str">
        <f>IF(D1425&lt;&gt;"",D1425-VLOOKUP(A1425,Consolidado!$B$1:$L$1500,8,FALSE),"")</f>
        <v/>
      </c>
      <c r="H1425" s="31"/>
      <c r="I1425" s="32">
        <f t="shared" si="88"/>
        <v>0</v>
      </c>
      <c r="J1425" s="33" t="str">
        <f t="shared" si="89"/>
        <v/>
      </c>
      <c r="K1425" s="2"/>
      <c r="L1425" s="15"/>
      <c r="M1425" s="34">
        <f t="shared" si="90"/>
        <v>0</v>
      </c>
    </row>
    <row r="1426" spans="1:13" x14ac:dyDescent="0.25">
      <c r="A1426" s="31"/>
      <c r="B1426" s="16" t="str">
        <f>IFERROR(VLOOKUP(A1426,Consolidado!$B$1:$L$1500,2,FALSE),"")</f>
        <v/>
      </c>
      <c r="C1426" s="16">
        <f>IFERROR(SUMIF(Consolidado!$B$1:$B$1500,VLOOKUP(RegistroPago!A1426,Consolidado!$B$1:$L$1500,1,FALSE),Consolidado!$G$1:$G$1500),"")</f>
        <v>0</v>
      </c>
      <c r="D1426" s="3"/>
      <c r="E1426" s="3"/>
      <c r="F1426" s="5" t="str">
        <f t="shared" si="91"/>
        <v/>
      </c>
      <c r="G1426" s="16" t="str">
        <f>IF(D1426&lt;&gt;"",D1426-VLOOKUP(A1426,Consolidado!$B$1:$L$1500,8,FALSE),"")</f>
        <v/>
      </c>
      <c r="H1426" s="31"/>
      <c r="I1426" s="32">
        <f t="shared" si="88"/>
        <v>0</v>
      </c>
      <c r="J1426" s="33" t="str">
        <f t="shared" si="89"/>
        <v/>
      </c>
      <c r="K1426" s="2"/>
      <c r="L1426" s="15"/>
      <c r="M1426" s="34">
        <f t="shared" si="90"/>
        <v>0</v>
      </c>
    </row>
    <row r="1427" spans="1:13" x14ac:dyDescent="0.25">
      <c r="A1427" s="31"/>
      <c r="B1427" s="16" t="str">
        <f>IFERROR(VLOOKUP(A1427,Consolidado!$B$1:$L$1500,2,FALSE),"")</f>
        <v/>
      </c>
      <c r="C1427" s="16">
        <f>IFERROR(SUMIF(Consolidado!$B$1:$B$1500,VLOOKUP(RegistroPago!A1427,Consolidado!$B$1:$L$1500,1,FALSE),Consolidado!$G$1:$G$1500),"")</f>
        <v>0</v>
      </c>
      <c r="D1427" s="3"/>
      <c r="E1427" s="3"/>
      <c r="F1427" s="5" t="str">
        <f t="shared" si="91"/>
        <v/>
      </c>
      <c r="G1427" s="16" t="str">
        <f>IF(D1427&lt;&gt;"",D1427-VLOOKUP(A1427,Consolidado!$B$1:$L$1500,8,FALSE),"")</f>
        <v/>
      </c>
      <c r="H1427" s="31"/>
      <c r="I1427" s="32">
        <f t="shared" si="88"/>
        <v>0</v>
      </c>
      <c r="J1427" s="33" t="str">
        <f t="shared" si="89"/>
        <v/>
      </c>
      <c r="K1427" s="2"/>
      <c r="L1427" s="15"/>
      <c r="M1427" s="34">
        <f t="shared" si="90"/>
        <v>0</v>
      </c>
    </row>
    <row r="1428" spans="1:13" x14ac:dyDescent="0.25">
      <c r="A1428" s="31"/>
      <c r="B1428" s="16" t="str">
        <f>IFERROR(VLOOKUP(A1428,Consolidado!$B$1:$L$1500,2,FALSE),"")</f>
        <v/>
      </c>
      <c r="C1428" s="16">
        <f>IFERROR(SUMIF(Consolidado!$B$1:$B$1500,VLOOKUP(RegistroPago!A1428,Consolidado!$B$1:$L$1500,1,FALSE),Consolidado!$G$1:$G$1500),"")</f>
        <v>0</v>
      </c>
      <c r="D1428" s="3"/>
      <c r="E1428" s="3"/>
      <c r="F1428" s="5" t="str">
        <f t="shared" si="91"/>
        <v/>
      </c>
      <c r="G1428" s="16" t="str">
        <f>IF(D1428&lt;&gt;"",D1428-VLOOKUP(A1428,Consolidado!$B$1:$L$1500,8,FALSE),"")</f>
        <v/>
      </c>
      <c r="H1428" s="31"/>
      <c r="I1428" s="32">
        <f t="shared" si="88"/>
        <v>0</v>
      </c>
      <c r="J1428" s="33" t="str">
        <f t="shared" si="89"/>
        <v/>
      </c>
      <c r="K1428" s="2"/>
      <c r="L1428" s="15"/>
      <c r="M1428" s="34">
        <f t="shared" si="90"/>
        <v>0</v>
      </c>
    </row>
    <row r="1429" spans="1:13" x14ac:dyDescent="0.25">
      <c r="A1429" s="31"/>
      <c r="B1429" s="16" t="str">
        <f>IFERROR(VLOOKUP(A1429,Consolidado!$B$1:$L$1500,2,FALSE),"")</f>
        <v/>
      </c>
      <c r="C1429" s="16">
        <f>IFERROR(SUMIF(Consolidado!$B$1:$B$1500,VLOOKUP(RegistroPago!A1429,Consolidado!$B$1:$L$1500,1,FALSE),Consolidado!$G$1:$G$1500),"")</f>
        <v>0</v>
      </c>
      <c r="D1429" s="3"/>
      <c r="E1429" s="3"/>
      <c r="F1429" s="5" t="str">
        <f t="shared" si="91"/>
        <v/>
      </c>
      <c r="G1429" s="16" t="str">
        <f>IF(D1429&lt;&gt;"",D1429-VLOOKUP(A1429,Consolidado!$B$1:$L$1500,8,FALSE),"")</f>
        <v/>
      </c>
      <c r="H1429" s="31"/>
      <c r="I1429" s="32">
        <f t="shared" si="88"/>
        <v>0</v>
      </c>
      <c r="J1429" s="33" t="str">
        <f t="shared" si="89"/>
        <v/>
      </c>
      <c r="K1429" s="2"/>
      <c r="L1429" s="15"/>
      <c r="M1429" s="34">
        <f t="shared" si="90"/>
        <v>0</v>
      </c>
    </row>
    <row r="1430" spans="1:13" x14ac:dyDescent="0.25">
      <c r="A1430" s="31"/>
      <c r="B1430" s="16" t="str">
        <f>IFERROR(VLOOKUP(A1430,Consolidado!$B$1:$L$1500,2,FALSE),"")</f>
        <v/>
      </c>
      <c r="C1430" s="16">
        <f>IFERROR(SUMIF(Consolidado!$B$1:$B$1500,VLOOKUP(RegistroPago!A1430,Consolidado!$B$1:$L$1500,1,FALSE),Consolidado!$G$1:$G$1500),"")</f>
        <v>0</v>
      </c>
      <c r="D1430" s="3"/>
      <c r="E1430" s="3"/>
      <c r="F1430" s="5" t="str">
        <f t="shared" si="91"/>
        <v/>
      </c>
      <c r="G1430" s="16" t="str">
        <f>IF(D1430&lt;&gt;"",D1430-VLOOKUP(A1430,Consolidado!$B$1:$L$1500,8,FALSE),"")</f>
        <v/>
      </c>
      <c r="H1430" s="31"/>
      <c r="I1430" s="32">
        <f t="shared" si="88"/>
        <v>0</v>
      </c>
      <c r="J1430" s="33" t="str">
        <f t="shared" si="89"/>
        <v/>
      </c>
      <c r="K1430" s="2"/>
      <c r="L1430" s="15"/>
      <c r="M1430" s="34">
        <f t="shared" si="90"/>
        <v>0</v>
      </c>
    </row>
    <row r="1431" spans="1:13" x14ac:dyDescent="0.25">
      <c r="A1431" s="31"/>
      <c r="B1431" s="16" t="str">
        <f>IFERROR(VLOOKUP(A1431,Consolidado!$B$1:$L$1500,2,FALSE),"")</f>
        <v/>
      </c>
      <c r="C1431" s="16">
        <f>IFERROR(SUMIF(Consolidado!$B$1:$B$1500,VLOOKUP(RegistroPago!A1431,Consolidado!$B$1:$L$1500,1,FALSE),Consolidado!$G$1:$G$1500),"")</f>
        <v>0</v>
      </c>
      <c r="D1431" s="3"/>
      <c r="E1431" s="3"/>
      <c r="F1431" s="5" t="str">
        <f t="shared" si="91"/>
        <v/>
      </c>
      <c r="G1431" s="16" t="str">
        <f>IF(D1431&lt;&gt;"",D1431-VLOOKUP(A1431,Consolidado!$B$1:$L$1500,8,FALSE),"")</f>
        <v/>
      </c>
      <c r="H1431" s="31"/>
      <c r="I1431" s="32">
        <f t="shared" si="88"/>
        <v>0</v>
      </c>
      <c r="J1431" s="33" t="str">
        <f t="shared" si="89"/>
        <v/>
      </c>
      <c r="K1431" s="2"/>
      <c r="L1431" s="15"/>
      <c r="M1431" s="34">
        <f t="shared" si="90"/>
        <v>0</v>
      </c>
    </row>
    <row r="1432" spans="1:13" x14ac:dyDescent="0.25">
      <c r="A1432" s="31"/>
      <c r="B1432" s="16" t="str">
        <f>IFERROR(VLOOKUP(A1432,Consolidado!$B$1:$L$1500,2,FALSE),"")</f>
        <v/>
      </c>
      <c r="C1432" s="16">
        <f>IFERROR(SUMIF(Consolidado!$B$1:$B$1500,VLOOKUP(RegistroPago!A1432,Consolidado!$B$1:$L$1500,1,FALSE),Consolidado!$G$1:$G$1500),"")</f>
        <v>0</v>
      </c>
      <c r="D1432" s="3"/>
      <c r="E1432" s="3"/>
      <c r="F1432" s="5" t="str">
        <f t="shared" si="91"/>
        <v/>
      </c>
      <c r="G1432" s="16" t="str">
        <f>IF(D1432&lt;&gt;"",D1432-VLOOKUP(A1432,Consolidado!$B$1:$L$1500,8,FALSE),"")</f>
        <v/>
      </c>
      <c r="H1432" s="31"/>
      <c r="I1432" s="32">
        <f t="shared" si="88"/>
        <v>0</v>
      </c>
      <c r="J1432" s="33" t="str">
        <f t="shared" si="89"/>
        <v/>
      </c>
      <c r="K1432" s="2"/>
      <c r="L1432" s="15"/>
      <c r="M1432" s="34">
        <f t="shared" si="90"/>
        <v>0</v>
      </c>
    </row>
    <row r="1433" spans="1:13" x14ac:dyDescent="0.25">
      <c r="A1433" s="31"/>
      <c r="B1433" s="16" t="str">
        <f>IFERROR(VLOOKUP(A1433,Consolidado!$B$1:$L$1500,2,FALSE),"")</f>
        <v/>
      </c>
      <c r="C1433" s="16">
        <f>IFERROR(SUMIF(Consolidado!$B$1:$B$1500,VLOOKUP(RegistroPago!A1433,Consolidado!$B$1:$L$1500,1,FALSE),Consolidado!$G$1:$G$1500),"")</f>
        <v>0</v>
      </c>
      <c r="D1433" s="3"/>
      <c r="E1433" s="3"/>
      <c r="F1433" s="5" t="str">
        <f t="shared" si="91"/>
        <v/>
      </c>
      <c r="G1433" s="16" t="str">
        <f>IF(D1433&lt;&gt;"",D1433-VLOOKUP(A1433,Consolidado!$B$1:$L$1500,8,FALSE),"")</f>
        <v/>
      </c>
      <c r="H1433" s="31"/>
      <c r="I1433" s="32">
        <f t="shared" si="88"/>
        <v>0</v>
      </c>
      <c r="J1433" s="33" t="str">
        <f t="shared" si="89"/>
        <v/>
      </c>
      <c r="K1433" s="2"/>
      <c r="L1433" s="15"/>
      <c r="M1433" s="34">
        <f t="shared" si="90"/>
        <v>0</v>
      </c>
    </row>
    <row r="1434" spans="1:13" x14ac:dyDescent="0.25">
      <c r="A1434" s="31"/>
      <c r="B1434" s="16" t="str">
        <f>IFERROR(VLOOKUP(A1434,Consolidado!$B$1:$L$1500,2,FALSE),"")</f>
        <v/>
      </c>
      <c r="C1434" s="16">
        <f>IFERROR(SUMIF(Consolidado!$B$1:$B$1500,VLOOKUP(RegistroPago!A1434,Consolidado!$B$1:$L$1500,1,FALSE),Consolidado!$G$1:$G$1500),"")</f>
        <v>0</v>
      </c>
      <c r="D1434" s="3"/>
      <c r="E1434" s="3"/>
      <c r="F1434" s="5" t="str">
        <f t="shared" si="91"/>
        <v/>
      </c>
      <c r="G1434" s="16" t="str">
        <f>IF(D1434&lt;&gt;"",D1434-VLOOKUP(A1434,Consolidado!$B$1:$L$1500,8,FALSE),"")</f>
        <v/>
      </c>
      <c r="H1434" s="31"/>
      <c r="I1434" s="32">
        <f t="shared" si="88"/>
        <v>0</v>
      </c>
      <c r="J1434" s="33" t="str">
        <f t="shared" si="89"/>
        <v/>
      </c>
      <c r="K1434" s="2"/>
      <c r="L1434" s="15"/>
      <c r="M1434" s="34">
        <f t="shared" si="90"/>
        <v>0</v>
      </c>
    </row>
    <row r="1435" spans="1:13" x14ac:dyDescent="0.25">
      <c r="A1435" s="31"/>
      <c r="B1435" s="16" t="str">
        <f>IFERROR(VLOOKUP(A1435,Consolidado!$B$1:$L$1500,2,FALSE),"")</f>
        <v/>
      </c>
      <c r="C1435" s="16">
        <f>IFERROR(SUMIF(Consolidado!$B$1:$B$1500,VLOOKUP(RegistroPago!A1435,Consolidado!$B$1:$L$1500,1,FALSE),Consolidado!$G$1:$G$1500),"")</f>
        <v>0</v>
      </c>
      <c r="D1435" s="3"/>
      <c r="E1435" s="3"/>
      <c r="F1435" s="5" t="str">
        <f t="shared" si="91"/>
        <v/>
      </c>
      <c r="G1435" s="16" t="str">
        <f>IF(D1435&lt;&gt;"",D1435-VLOOKUP(A1435,Consolidado!$B$1:$L$1500,8,FALSE),"")</f>
        <v/>
      </c>
      <c r="H1435" s="31"/>
      <c r="I1435" s="32">
        <f t="shared" si="88"/>
        <v>0</v>
      </c>
      <c r="J1435" s="33" t="str">
        <f t="shared" si="89"/>
        <v/>
      </c>
      <c r="K1435" s="2"/>
      <c r="L1435" s="15"/>
      <c r="M1435" s="34">
        <f t="shared" si="90"/>
        <v>0</v>
      </c>
    </row>
    <row r="1436" spans="1:13" x14ac:dyDescent="0.25">
      <c r="A1436" s="31"/>
      <c r="B1436" s="16" t="str">
        <f>IFERROR(VLOOKUP(A1436,Consolidado!$B$1:$L$1500,2,FALSE),"")</f>
        <v/>
      </c>
      <c r="C1436" s="16">
        <f>IFERROR(SUMIF(Consolidado!$B$1:$B$1500,VLOOKUP(RegistroPago!A1436,Consolidado!$B$1:$L$1500,1,FALSE),Consolidado!$G$1:$G$1500),"")</f>
        <v>0</v>
      </c>
      <c r="D1436" s="3"/>
      <c r="E1436" s="3"/>
      <c r="F1436" s="5" t="str">
        <f t="shared" si="91"/>
        <v/>
      </c>
      <c r="G1436" s="16" t="str">
        <f>IF(D1436&lt;&gt;"",D1436-VLOOKUP(A1436,Consolidado!$B$1:$L$1500,8,FALSE),"")</f>
        <v/>
      </c>
      <c r="H1436" s="31"/>
      <c r="I1436" s="32">
        <f t="shared" si="88"/>
        <v>0</v>
      </c>
      <c r="J1436" s="33" t="str">
        <f t="shared" si="89"/>
        <v/>
      </c>
      <c r="K1436" s="2"/>
      <c r="L1436" s="15"/>
      <c r="M1436" s="34">
        <f t="shared" si="90"/>
        <v>0</v>
      </c>
    </row>
    <row r="1437" spans="1:13" x14ac:dyDescent="0.25">
      <c r="A1437" s="31"/>
      <c r="B1437" s="16" t="str">
        <f>IFERROR(VLOOKUP(A1437,Consolidado!$B$1:$L$1500,2,FALSE),"")</f>
        <v/>
      </c>
      <c r="C1437" s="16">
        <f>IFERROR(SUMIF(Consolidado!$B$1:$B$1500,VLOOKUP(RegistroPago!A1437,Consolidado!$B$1:$L$1500,1,FALSE),Consolidado!$G$1:$G$1500),"")</f>
        <v>0</v>
      </c>
      <c r="D1437" s="3"/>
      <c r="E1437" s="3"/>
      <c r="F1437" s="5" t="str">
        <f t="shared" si="91"/>
        <v/>
      </c>
      <c r="G1437" s="16" t="str">
        <f>IF(D1437&lt;&gt;"",D1437-VLOOKUP(A1437,Consolidado!$B$1:$L$1500,8,FALSE),"")</f>
        <v/>
      </c>
      <c r="H1437" s="31"/>
      <c r="I1437" s="32">
        <f t="shared" si="88"/>
        <v>0</v>
      </c>
      <c r="J1437" s="33" t="str">
        <f t="shared" si="89"/>
        <v/>
      </c>
      <c r="K1437" s="2"/>
      <c r="L1437" s="15"/>
      <c r="M1437" s="34">
        <f t="shared" si="90"/>
        <v>0</v>
      </c>
    </row>
    <row r="1438" spans="1:13" x14ac:dyDescent="0.25">
      <c r="A1438" s="31"/>
      <c r="B1438" s="16" t="str">
        <f>IFERROR(VLOOKUP(A1438,Consolidado!$B$1:$L$1500,2,FALSE),"")</f>
        <v/>
      </c>
      <c r="C1438" s="16">
        <f>IFERROR(SUMIF(Consolidado!$B$1:$B$1500,VLOOKUP(RegistroPago!A1438,Consolidado!$B$1:$L$1500,1,FALSE),Consolidado!$G$1:$G$1500),"")</f>
        <v>0</v>
      </c>
      <c r="D1438" s="3"/>
      <c r="E1438" s="3"/>
      <c r="F1438" s="5" t="str">
        <f t="shared" si="91"/>
        <v/>
      </c>
      <c r="G1438" s="16" t="str">
        <f>IF(D1438&lt;&gt;"",D1438-VLOOKUP(A1438,Consolidado!$B$1:$L$1500,8,FALSE),"")</f>
        <v/>
      </c>
      <c r="H1438" s="31"/>
      <c r="I1438" s="32">
        <f t="shared" si="88"/>
        <v>0</v>
      </c>
      <c r="J1438" s="33" t="str">
        <f t="shared" si="89"/>
        <v/>
      </c>
      <c r="K1438" s="2"/>
      <c r="L1438" s="15"/>
      <c r="M1438" s="34">
        <f t="shared" si="90"/>
        <v>0</v>
      </c>
    </row>
    <row r="1439" spans="1:13" x14ac:dyDescent="0.25">
      <c r="A1439" s="31"/>
      <c r="B1439" s="16" t="str">
        <f>IFERROR(VLOOKUP(A1439,Consolidado!$B$1:$L$1500,2,FALSE),"")</f>
        <v/>
      </c>
      <c r="C1439" s="16">
        <f>IFERROR(SUMIF(Consolidado!$B$1:$B$1500,VLOOKUP(RegistroPago!A1439,Consolidado!$B$1:$L$1500,1,FALSE),Consolidado!$G$1:$G$1500),"")</f>
        <v>0</v>
      </c>
      <c r="D1439" s="3"/>
      <c r="E1439" s="3"/>
      <c r="F1439" s="5" t="str">
        <f t="shared" si="91"/>
        <v/>
      </c>
      <c r="G1439" s="16" t="str">
        <f>IF(D1439&lt;&gt;"",D1439-VLOOKUP(A1439,Consolidado!$B$1:$L$1500,8,FALSE),"")</f>
        <v/>
      </c>
      <c r="H1439" s="31"/>
      <c r="I1439" s="32">
        <f t="shared" si="88"/>
        <v>0</v>
      </c>
      <c r="J1439" s="33" t="str">
        <f t="shared" si="89"/>
        <v/>
      </c>
      <c r="K1439" s="2"/>
      <c r="L1439" s="15"/>
      <c r="M1439" s="34">
        <f t="shared" si="90"/>
        <v>0</v>
      </c>
    </row>
    <row r="1440" spans="1:13" x14ac:dyDescent="0.25">
      <c r="A1440" s="31"/>
      <c r="B1440" s="16" t="str">
        <f>IFERROR(VLOOKUP(A1440,Consolidado!$B$1:$L$1500,2,FALSE),"")</f>
        <v/>
      </c>
      <c r="C1440" s="16">
        <f>IFERROR(SUMIF(Consolidado!$B$1:$B$1500,VLOOKUP(RegistroPago!A1440,Consolidado!$B$1:$L$1500,1,FALSE),Consolidado!$G$1:$G$1500),"")</f>
        <v>0</v>
      </c>
      <c r="D1440" s="3"/>
      <c r="E1440" s="3"/>
      <c r="F1440" s="5" t="str">
        <f t="shared" si="91"/>
        <v/>
      </c>
      <c r="G1440" s="16" t="str">
        <f>IF(D1440&lt;&gt;"",D1440-VLOOKUP(A1440,Consolidado!$B$1:$L$1500,8,FALSE),"")</f>
        <v/>
      </c>
      <c r="H1440" s="31"/>
      <c r="I1440" s="32">
        <f t="shared" si="88"/>
        <v>0</v>
      </c>
      <c r="J1440" s="33" t="str">
        <f t="shared" si="89"/>
        <v/>
      </c>
      <c r="K1440" s="2"/>
      <c r="L1440" s="15"/>
      <c r="M1440" s="34">
        <f t="shared" si="90"/>
        <v>0</v>
      </c>
    </row>
    <row r="1441" spans="1:13" x14ac:dyDescent="0.25">
      <c r="A1441" s="31"/>
      <c r="B1441" s="16" t="str">
        <f>IFERROR(VLOOKUP(A1441,Consolidado!$B$1:$L$1500,2,FALSE),"")</f>
        <v/>
      </c>
      <c r="C1441" s="16">
        <f>IFERROR(SUMIF(Consolidado!$B$1:$B$1500,VLOOKUP(RegistroPago!A1441,Consolidado!$B$1:$L$1500,1,FALSE),Consolidado!$G$1:$G$1500),"")</f>
        <v>0</v>
      </c>
      <c r="D1441" s="3"/>
      <c r="E1441" s="3"/>
      <c r="F1441" s="5" t="str">
        <f t="shared" si="91"/>
        <v/>
      </c>
      <c r="G1441" s="16" t="str">
        <f>IF(D1441&lt;&gt;"",D1441-VLOOKUP(A1441,Consolidado!$B$1:$L$1500,8,FALSE),"")</f>
        <v/>
      </c>
      <c r="H1441" s="31"/>
      <c r="I1441" s="32">
        <f t="shared" si="88"/>
        <v>0</v>
      </c>
      <c r="J1441" s="33" t="str">
        <f t="shared" si="89"/>
        <v/>
      </c>
      <c r="K1441" s="2"/>
      <c r="L1441" s="15"/>
      <c r="M1441" s="34">
        <f t="shared" si="90"/>
        <v>0</v>
      </c>
    </row>
    <row r="1442" spans="1:13" x14ac:dyDescent="0.25">
      <c r="A1442" s="31"/>
      <c r="B1442" s="16" t="str">
        <f>IFERROR(VLOOKUP(A1442,Consolidado!$B$1:$L$1500,2,FALSE),"")</f>
        <v/>
      </c>
      <c r="C1442" s="16">
        <f>IFERROR(SUMIF(Consolidado!$B$1:$B$1500,VLOOKUP(RegistroPago!A1442,Consolidado!$B$1:$L$1500,1,FALSE),Consolidado!$G$1:$G$1500),"")</f>
        <v>0</v>
      </c>
      <c r="D1442" s="3"/>
      <c r="E1442" s="3"/>
      <c r="F1442" s="5" t="str">
        <f t="shared" si="91"/>
        <v/>
      </c>
      <c r="G1442" s="16" t="str">
        <f>IF(D1442&lt;&gt;"",D1442-VLOOKUP(A1442,Consolidado!$B$1:$L$1500,8,FALSE),"")</f>
        <v/>
      </c>
      <c r="H1442" s="31"/>
      <c r="I1442" s="32">
        <f t="shared" si="88"/>
        <v>0</v>
      </c>
      <c r="J1442" s="33" t="str">
        <f t="shared" si="89"/>
        <v/>
      </c>
      <c r="K1442" s="2"/>
      <c r="L1442" s="15"/>
      <c r="M1442" s="34">
        <f t="shared" si="90"/>
        <v>0</v>
      </c>
    </row>
    <row r="1443" spans="1:13" x14ac:dyDescent="0.25">
      <c r="A1443" s="31"/>
      <c r="B1443" s="16" t="str">
        <f>IFERROR(VLOOKUP(A1443,Consolidado!$B$1:$L$1500,2,FALSE),"")</f>
        <v/>
      </c>
      <c r="C1443" s="16">
        <f>IFERROR(SUMIF(Consolidado!$B$1:$B$1500,VLOOKUP(RegistroPago!A1443,Consolidado!$B$1:$L$1500,1,FALSE),Consolidado!$G$1:$G$1500),"")</f>
        <v>0</v>
      </c>
      <c r="D1443" s="3"/>
      <c r="E1443" s="3"/>
      <c r="F1443" s="5" t="str">
        <f t="shared" si="91"/>
        <v/>
      </c>
      <c r="G1443" s="16" t="str">
        <f>IF(D1443&lt;&gt;"",D1443-VLOOKUP(A1443,Consolidado!$B$1:$L$1500,8,FALSE),"")</f>
        <v/>
      </c>
      <c r="H1443" s="31"/>
      <c r="I1443" s="32">
        <f t="shared" si="88"/>
        <v>0</v>
      </c>
      <c r="J1443" s="33" t="str">
        <f t="shared" si="89"/>
        <v/>
      </c>
      <c r="K1443" s="2"/>
      <c r="L1443" s="15"/>
      <c r="M1443" s="34">
        <f t="shared" si="90"/>
        <v>0</v>
      </c>
    </row>
    <row r="1444" spans="1:13" x14ac:dyDescent="0.25">
      <c r="A1444" s="31"/>
      <c r="B1444" s="16" t="str">
        <f>IFERROR(VLOOKUP(A1444,Consolidado!$B$1:$L$1500,2,FALSE),"")</f>
        <v/>
      </c>
      <c r="C1444" s="16">
        <f>IFERROR(SUMIF(Consolidado!$B$1:$B$1500,VLOOKUP(RegistroPago!A1444,Consolidado!$B$1:$L$1500,1,FALSE),Consolidado!$G$1:$G$1500),"")</f>
        <v>0</v>
      </c>
      <c r="D1444" s="3"/>
      <c r="E1444" s="3"/>
      <c r="F1444" s="5" t="str">
        <f t="shared" si="91"/>
        <v/>
      </c>
      <c r="G1444" s="16" t="str">
        <f>IF(D1444&lt;&gt;"",D1444-VLOOKUP(A1444,Consolidado!$B$1:$L$1500,8,FALSE),"")</f>
        <v/>
      </c>
      <c r="H1444" s="31"/>
      <c r="I1444" s="32">
        <f t="shared" si="88"/>
        <v>0</v>
      </c>
      <c r="J1444" s="33" t="str">
        <f t="shared" si="89"/>
        <v/>
      </c>
      <c r="K1444" s="2"/>
      <c r="L1444" s="15"/>
      <c r="M1444" s="34">
        <f t="shared" si="90"/>
        <v>0</v>
      </c>
    </row>
    <row r="1445" spans="1:13" x14ac:dyDescent="0.25">
      <c r="A1445" s="31"/>
      <c r="B1445" s="16" t="str">
        <f>IFERROR(VLOOKUP(A1445,Consolidado!$B$1:$L$1500,2,FALSE),"")</f>
        <v/>
      </c>
      <c r="C1445" s="16">
        <f>IFERROR(SUMIF(Consolidado!$B$1:$B$1500,VLOOKUP(RegistroPago!A1445,Consolidado!$B$1:$L$1500,1,FALSE),Consolidado!$G$1:$G$1500),"")</f>
        <v>0</v>
      </c>
      <c r="D1445" s="3"/>
      <c r="E1445" s="3"/>
      <c r="F1445" s="5" t="str">
        <f t="shared" si="91"/>
        <v/>
      </c>
      <c r="G1445" s="16" t="str">
        <f>IF(D1445&lt;&gt;"",D1445-VLOOKUP(A1445,Consolidado!$B$1:$L$1500,8,FALSE),"")</f>
        <v/>
      </c>
      <c r="H1445" s="31"/>
      <c r="I1445" s="32">
        <f t="shared" si="88"/>
        <v>0</v>
      </c>
      <c r="J1445" s="33" t="str">
        <f t="shared" si="89"/>
        <v/>
      </c>
      <c r="K1445" s="2"/>
      <c r="L1445" s="15"/>
      <c r="M1445" s="34">
        <f t="shared" si="90"/>
        <v>0</v>
      </c>
    </row>
    <row r="1446" spans="1:13" x14ac:dyDescent="0.25">
      <c r="A1446" s="31"/>
      <c r="B1446" s="16" t="str">
        <f>IFERROR(VLOOKUP(A1446,Consolidado!$B$1:$L$1500,2,FALSE),"")</f>
        <v/>
      </c>
      <c r="C1446" s="16">
        <f>IFERROR(SUMIF(Consolidado!$B$1:$B$1500,VLOOKUP(RegistroPago!A1446,Consolidado!$B$1:$L$1500,1,FALSE),Consolidado!$G$1:$G$1500),"")</f>
        <v>0</v>
      </c>
      <c r="D1446" s="3"/>
      <c r="E1446" s="3"/>
      <c r="F1446" s="5" t="str">
        <f t="shared" si="91"/>
        <v/>
      </c>
      <c r="G1446" s="16" t="str">
        <f>IF(D1446&lt;&gt;"",D1446-VLOOKUP(A1446,Consolidado!$B$1:$L$1500,8,FALSE),"")</f>
        <v/>
      </c>
      <c r="H1446" s="31"/>
      <c r="I1446" s="32">
        <f t="shared" si="88"/>
        <v>0</v>
      </c>
      <c r="J1446" s="33" t="str">
        <f t="shared" si="89"/>
        <v/>
      </c>
      <c r="K1446" s="2"/>
      <c r="L1446" s="15"/>
      <c r="M1446" s="34">
        <f t="shared" si="90"/>
        <v>0</v>
      </c>
    </row>
    <row r="1447" spans="1:13" x14ac:dyDescent="0.25">
      <c r="A1447" s="31"/>
      <c r="B1447" s="16" t="str">
        <f>IFERROR(VLOOKUP(A1447,Consolidado!$B$1:$L$1500,2,FALSE),"")</f>
        <v/>
      </c>
      <c r="C1447" s="16">
        <f>IFERROR(SUMIF(Consolidado!$B$1:$B$1500,VLOOKUP(RegistroPago!A1447,Consolidado!$B$1:$L$1500,1,FALSE),Consolidado!$G$1:$G$1500),"")</f>
        <v>0</v>
      </c>
      <c r="D1447" s="3"/>
      <c r="E1447" s="3"/>
      <c r="F1447" s="5" t="str">
        <f t="shared" si="91"/>
        <v/>
      </c>
      <c r="G1447" s="16" t="str">
        <f>IF(D1447&lt;&gt;"",D1447-VLOOKUP(A1447,Consolidado!$B$1:$L$1500,8,FALSE),"")</f>
        <v/>
      </c>
      <c r="H1447" s="31"/>
      <c r="I1447" s="32">
        <f t="shared" si="88"/>
        <v>0</v>
      </c>
      <c r="J1447" s="33" t="str">
        <f t="shared" si="89"/>
        <v/>
      </c>
      <c r="K1447" s="2"/>
      <c r="L1447" s="15"/>
      <c r="M1447" s="34">
        <f t="shared" si="90"/>
        <v>0</v>
      </c>
    </row>
    <row r="1448" spans="1:13" x14ac:dyDescent="0.25">
      <c r="A1448" s="31"/>
      <c r="B1448" s="16" t="str">
        <f>IFERROR(VLOOKUP(A1448,Consolidado!$B$1:$L$1500,2,FALSE),"")</f>
        <v/>
      </c>
      <c r="C1448" s="16">
        <f>IFERROR(SUMIF(Consolidado!$B$1:$B$1500,VLOOKUP(RegistroPago!A1448,Consolidado!$B$1:$L$1500,1,FALSE),Consolidado!$G$1:$G$1500),"")</f>
        <v>0</v>
      </c>
      <c r="D1448" s="3"/>
      <c r="E1448" s="3"/>
      <c r="F1448" s="5" t="str">
        <f t="shared" si="91"/>
        <v/>
      </c>
      <c r="G1448" s="16" t="str">
        <f>IF(D1448&lt;&gt;"",D1448-VLOOKUP(A1448,Consolidado!$B$1:$L$1500,8,FALSE),"")</f>
        <v/>
      </c>
      <c r="H1448" s="31"/>
      <c r="I1448" s="32">
        <f t="shared" si="88"/>
        <v>0</v>
      </c>
      <c r="J1448" s="33" t="str">
        <f t="shared" si="89"/>
        <v/>
      </c>
      <c r="K1448" s="2"/>
      <c r="L1448" s="15"/>
      <c r="M1448" s="34">
        <f t="shared" si="90"/>
        <v>0</v>
      </c>
    </row>
    <row r="1449" spans="1:13" x14ac:dyDescent="0.25">
      <c r="A1449" s="31"/>
      <c r="B1449" s="16" t="str">
        <f>IFERROR(VLOOKUP(A1449,Consolidado!$B$1:$L$1500,2,FALSE),"")</f>
        <v/>
      </c>
      <c r="C1449" s="16">
        <f>IFERROR(SUMIF(Consolidado!$B$1:$B$1500,VLOOKUP(RegistroPago!A1449,Consolidado!$B$1:$L$1500,1,FALSE),Consolidado!$G$1:$G$1500),"")</f>
        <v>0</v>
      </c>
      <c r="D1449" s="3"/>
      <c r="E1449" s="3"/>
      <c r="F1449" s="5" t="str">
        <f t="shared" si="91"/>
        <v/>
      </c>
      <c r="G1449" s="16" t="str">
        <f>IF(D1449&lt;&gt;"",D1449-VLOOKUP(A1449,Consolidado!$B$1:$L$1500,8,FALSE),"")</f>
        <v/>
      </c>
      <c r="H1449" s="31"/>
      <c r="I1449" s="32">
        <f t="shared" ref="I1449:I1512" si="92">IFERROR(SUMIF($E$1:$E$2000,H1449,$C$1:$C$2000)-SUMIF($E$1:$E$2000,H1449,$F$1:$F$2000),"")</f>
        <v>0</v>
      </c>
      <c r="J1449" s="33" t="str">
        <f t="shared" ref="J1449:J1512" si="93">IFERROR(I1449/SUMIF($E$1:$E$2000,H1449,$C$1:$C$2000),"")</f>
        <v/>
      </c>
      <c r="K1449" s="2"/>
      <c r="L1449" s="15"/>
      <c r="M1449" s="34">
        <f t="shared" ref="M1449:M1512" si="94">IFERROR(L1449*SUMIF($E$1:$E$2000,H1449,$F$1:$F$2000),"")</f>
        <v>0</v>
      </c>
    </row>
    <row r="1450" spans="1:13" x14ac:dyDescent="0.25">
      <c r="A1450" s="31"/>
      <c r="B1450" s="16" t="str">
        <f>IFERROR(VLOOKUP(A1450,Consolidado!$B$1:$L$1500,2,FALSE),"")</f>
        <v/>
      </c>
      <c r="C1450" s="16">
        <f>IFERROR(SUMIF(Consolidado!$B$1:$B$1500,VLOOKUP(RegistroPago!A1450,Consolidado!$B$1:$L$1500,1,FALSE),Consolidado!$G$1:$G$1500),"")</f>
        <v>0</v>
      </c>
      <c r="D1450" s="3"/>
      <c r="E1450" s="3"/>
      <c r="F1450" s="5" t="str">
        <f t="shared" si="91"/>
        <v/>
      </c>
      <c r="G1450" s="16" t="str">
        <f>IF(D1450&lt;&gt;"",D1450-VLOOKUP(A1450,Consolidado!$B$1:$L$1500,8,FALSE),"")</f>
        <v/>
      </c>
      <c r="H1450" s="31"/>
      <c r="I1450" s="32">
        <f t="shared" si="92"/>
        <v>0</v>
      </c>
      <c r="J1450" s="33" t="str">
        <f t="shared" si="93"/>
        <v/>
      </c>
      <c r="K1450" s="2"/>
      <c r="L1450" s="15"/>
      <c r="M1450" s="34">
        <f t="shared" si="94"/>
        <v>0</v>
      </c>
    </row>
    <row r="1451" spans="1:13" x14ac:dyDescent="0.25">
      <c r="A1451" s="31"/>
      <c r="B1451" s="16" t="str">
        <f>IFERROR(VLOOKUP(A1451,Consolidado!$B$1:$L$1500,2,FALSE),"")</f>
        <v/>
      </c>
      <c r="C1451" s="16">
        <f>IFERROR(SUMIF(Consolidado!$B$1:$B$1500,VLOOKUP(RegistroPago!A1451,Consolidado!$B$1:$L$1500,1,FALSE),Consolidado!$G$1:$G$1500),"")</f>
        <v>0</v>
      </c>
      <c r="D1451" s="3"/>
      <c r="E1451" s="3"/>
      <c r="F1451" s="5" t="str">
        <f t="shared" si="91"/>
        <v/>
      </c>
      <c r="G1451" s="16" t="str">
        <f>IF(D1451&lt;&gt;"",D1451-VLOOKUP(A1451,Consolidado!$B$1:$L$1500,8,FALSE),"")</f>
        <v/>
      </c>
      <c r="H1451" s="31"/>
      <c r="I1451" s="32">
        <f t="shared" si="92"/>
        <v>0</v>
      </c>
      <c r="J1451" s="33" t="str">
        <f t="shared" si="93"/>
        <v/>
      </c>
      <c r="K1451" s="2"/>
      <c r="L1451" s="15"/>
      <c r="M1451" s="34">
        <f t="shared" si="94"/>
        <v>0</v>
      </c>
    </row>
    <row r="1452" spans="1:13" x14ac:dyDescent="0.25">
      <c r="A1452" s="31"/>
      <c r="B1452" s="16" t="str">
        <f>IFERROR(VLOOKUP(A1452,Consolidado!$B$1:$L$1500,2,FALSE),"")</f>
        <v/>
      </c>
      <c r="C1452" s="16">
        <f>IFERROR(SUMIF(Consolidado!$B$1:$B$1500,VLOOKUP(RegistroPago!A1452,Consolidado!$B$1:$L$1500,1,FALSE),Consolidado!$G$1:$G$1500),"")</f>
        <v>0</v>
      </c>
      <c r="D1452" s="3"/>
      <c r="E1452" s="3"/>
      <c r="F1452" s="5" t="str">
        <f t="shared" si="91"/>
        <v/>
      </c>
      <c r="G1452" s="16" t="str">
        <f>IF(D1452&lt;&gt;"",D1452-VLOOKUP(A1452,Consolidado!$B$1:$L$1500,8,FALSE),"")</f>
        <v/>
      </c>
      <c r="H1452" s="31"/>
      <c r="I1452" s="32">
        <f t="shared" si="92"/>
        <v>0</v>
      </c>
      <c r="J1452" s="33" t="str">
        <f t="shared" si="93"/>
        <v/>
      </c>
      <c r="K1452" s="2"/>
      <c r="L1452" s="15"/>
      <c r="M1452" s="34">
        <f t="shared" si="94"/>
        <v>0</v>
      </c>
    </row>
    <row r="1453" spans="1:13" x14ac:dyDescent="0.25">
      <c r="A1453" s="31"/>
      <c r="B1453" s="16" t="str">
        <f>IFERROR(VLOOKUP(A1453,Consolidado!$B$1:$L$1500,2,FALSE),"")</f>
        <v/>
      </c>
      <c r="C1453" s="16">
        <f>IFERROR(SUMIF(Consolidado!$B$1:$B$1500,VLOOKUP(RegistroPago!A1453,Consolidado!$B$1:$L$1500,1,FALSE),Consolidado!$G$1:$G$1500),"")</f>
        <v>0</v>
      </c>
      <c r="D1453" s="3"/>
      <c r="E1453" s="3"/>
      <c r="F1453" s="5" t="str">
        <f t="shared" si="91"/>
        <v/>
      </c>
      <c r="G1453" s="16" t="str">
        <f>IF(D1453&lt;&gt;"",D1453-VLOOKUP(A1453,Consolidado!$B$1:$L$1500,8,FALSE),"")</f>
        <v/>
      </c>
      <c r="H1453" s="31"/>
      <c r="I1453" s="32">
        <f t="shared" si="92"/>
        <v>0</v>
      </c>
      <c r="J1453" s="33" t="str">
        <f t="shared" si="93"/>
        <v/>
      </c>
      <c r="K1453" s="2"/>
      <c r="L1453" s="15"/>
      <c r="M1453" s="34">
        <f t="shared" si="94"/>
        <v>0</v>
      </c>
    </row>
    <row r="1454" spans="1:13" x14ac:dyDescent="0.25">
      <c r="A1454" s="31"/>
      <c r="B1454" s="16" t="str">
        <f>IFERROR(VLOOKUP(A1454,Consolidado!$B$1:$L$1500,2,FALSE),"")</f>
        <v/>
      </c>
      <c r="C1454" s="16">
        <f>IFERROR(SUMIF(Consolidado!$B$1:$B$1500,VLOOKUP(RegistroPago!A1454,Consolidado!$B$1:$L$1500,1,FALSE),Consolidado!$G$1:$G$1500),"")</f>
        <v>0</v>
      </c>
      <c r="D1454" s="3"/>
      <c r="E1454" s="3"/>
      <c r="F1454" s="5" t="str">
        <f t="shared" si="91"/>
        <v/>
      </c>
      <c r="G1454" s="16" t="str">
        <f>IF(D1454&lt;&gt;"",D1454-VLOOKUP(A1454,Consolidado!$B$1:$L$1500,8,FALSE),"")</f>
        <v/>
      </c>
      <c r="H1454" s="31"/>
      <c r="I1454" s="32">
        <f t="shared" si="92"/>
        <v>0</v>
      </c>
      <c r="J1454" s="33" t="str">
        <f t="shared" si="93"/>
        <v/>
      </c>
      <c r="K1454" s="2"/>
      <c r="L1454" s="15"/>
      <c r="M1454" s="34">
        <f t="shared" si="94"/>
        <v>0</v>
      </c>
    </row>
    <row r="1455" spans="1:13" x14ac:dyDescent="0.25">
      <c r="A1455" s="31"/>
      <c r="B1455" s="16" t="str">
        <f>IFERROR(VLOOKUP(A1455,Consolidado!$B$1:$L$1500,2,FALSE),"")</f>
        <v/>
      </c>
      <c r="C1455" s="16">
        <f>IFERROR(SUMIF(Consolidado!$B$1:$B$1500,VLOOKUP(RegistroPago!A1455,Consolidado!$B$1:$L$1500,1,FALSE),Consolidado!$G$1:$G$1500),"")</f>
        <v>0</v>
      </c>
      <c r="D1455" s="3"/>
      <c r="E1455" s="3"/>
      <c r="F1455" s="5" t="str">
        <f t="shared" si="91"/>
        <v/>
      </c>
      <c r="G1455" s="16" t="str">
        <f>IF(D1455&lt;&gt;"",D1455-VLOOKUP(A1455,Consolidado!$B$1:$L$1500,8,FALSE),"")</f>
        <v/>
      </c>
      <c r="H1455" s="31"/>
      <c r="I1455" s="32">
        <f t="shared" si="92"/>
        <v>0</v>
      </c>
      <c r="J1455" s="33" t="str">
        <f t="shared" si="93"/>
        <v/>
      </c>
      <c r="K1455" s="2"/>
      <c r="L1455" s="15"/>
      <c r="M1455" s="34">
        <f t="shared" si="94"/>
        <v>0</v>
      </c>
    </row>
    <row r="1456" spans="1:13" x14ac:dyDescent="0.25">
      <c r="A1456" s="31"/>
      <c r="B1456" s="16" t="str">
        <f>IFERROR(VLOOKUP(A1456,Consolidado!$B$1:$L$1500,2,FALSE),"")</f>
        <v/>
      </c>
      <c r="C1456" s="16">
        <f>IFERROR(SUMIF(Consolidado!$B$1:$B$1500,VLOOKUP(RegistroPago!A1456,Consolidado!$B$1:$L$1500,1,FALSE),Consolidado!$G$1:$G$1500),"")</f>
        <v>0</v>
      </c>
      <c r="D1456" s="3"/>
      <c r="E1456" s="3"/>
      <c r="F1456" s="5" t="str">
        <f t="shared" si="91"/>
        <v/>
      </c>
      <c r="G1456" s="16" t="str">
        <f>IF(D1456&lt;&gt;"",D1456-VLOOKUP(A1456,Consolidado!$B$1:$L$1500,8,FALSE),"")</f>
        <v/>
      </c>
      <c r="H1456" s="31"/>
      <c r="I1456" s="32">
        <f t="shared" si="92"/>
        <v>0</v>
      </c>
      <c r="J1456" s="33" t="str">
        <f t="shared" si="93"/>
        <v/>
      </c>
      <c r="K1456" s="2"/>
      <c r="L1456" s="15"/>
      <c r="M1456" s="34">
        <f t="shared" si="94"/>
        <v>0</v>
      </c>
    </row>
    <row r="1457" spans="1:13" x14ac:dyDescent="0.25">
      <c r="A1457" s="31"/>
      <c r="B1457" s="16" t="str">
        <f>IFERROR(VLOOKUP(A1457,Consolidado!$B$1:$L$1500,2,FALSE),"")</f>
        <v/>
      </c>
      <c r="C1457" s="16">
        <f>IFERROR(SUMIF(Consolidado!$B$1:$B$1500,VLOOKUP(RegistroPago!A1457,Consolidado!$B$1:$L$1500,1,FALSE),Consolidado!$G$1:$G$1500),"")</f>
        <v>0</v>
      </c>
      <c r="D1457" s="3"/>
      <c r="E1457" s="3"/>
      <c r="F1457" s="5" t="str">
        <f t="shared" si="91"/>
        <v/>
      </c>
      <c r="G1457" s="16" t="str">
        <f>IF(D1457&lt;&gt;"",D1457-VLOOKUP(A1457,Consolidado!$B$1:$L$1500,8,FALSE),"")</f>
        <v/>
      </c>
      <c r="H1457" s="31"/>
      <c r="I1457" s="32">
        <f t="shared" si="92"/>
        <v>0</v>
      </c>
      <c r="J1457" s="33" t="str">
        <f t="shared" si="93"/>
        <v/>
      </c>
      <c r="K1457" s="2"/>
      <c r="L1457" s="15"/>
      <c r="M1457" s="34">
        <f t="shared" si="94"/>
        <v>0</v>
      </c>
    </row>
    <row r="1458" spans="1:13" x14ac:dyDescent="0.25">
      <c r="A1458" s="31"/>
      <c r="B1458" s="16" t="str">
        <f>IFERROR(VLOOKUP(A1458,Consolidado!$B$1:$L$1500,2,FALSE),"")</f>
        <v/>
      </c>
      <c r="C1458" s="16">
        <f>IFERROR(SUMIF(Consolidado!$B$1:$B$1500,VLOOKUP(RegistroPago!A1458,Consolidado!$B$1:$L$1500,1,FALSE),Consolidado!$G$1:$G$1500),"")</f>
        <v>0</v>
      </c>
      <c r="D1458" s="3"/>
      <c r="E1458" s="3"/>
      <c r="F1458" s="5" t="str">
        <f t="shared" si="91"/>
        <v/>
      </c>
      <c r="G1458" s="16" t="str">
        <f>IF(D1458&lt;&gt;"",D1458-VLOOKUP(A1458,Consolidado!$B$1:$L$1500,8,FALSE),"")</f>
        <v/>
      </c>
      <c r="H1458" s="31"/>
      <c r="I1458" s="32">
        <f t="shared" si="92"/>
        <v>0</v>
      </c>
      <c r="J1458" s="33" t="str">
        <f t="shared" si="93"/>
        <v/>
      </c>
      <c r="K1458" s="2"/>
      <c r="L1458" s="15"/>
      <c r="M1458" s="34">
        <f t="shared" si="94"/>
        <v>0</v>
      </c>
    </row>
    <row r="1459" spans="1:13" x14ac:dyDescent="0.25">
      <c r="A1459" s="31"/>
      <c r="B1459" s="16" t="str">
        <f>IFERROR(VLOOKUP(A1459,Consolidado!$B$1:$L$1500,2,FALSE),"")</f>
        <v/>
      </c>
      <c r="C1459" s="16">
        <f>IFERROR(SUMIF(Consolidado!$B$1:$B$1500,VLOOKUP(RegistroPago!A1459,Consolidado!$B$1:$L$1500,1,FALSE),Consolidado!$G$1:$G$1500),"")</f>
        <v>0</v>
      </c>
      <c r="D1459" s="3"/>
      <c r="E1459" s="3"/>
      <c r="F1459" s="5" t="str">
        <f t="shared" si="91"/>
        <v/>
      </c>
      <c r="G1459" s="16" t="str">
        <f>IF(D1459&lt;&gt;"",D1459-VLOOKUP(A1459,Consolidado!$B$1:$L$1500,8,FALSE),"")</f>
        <v/>
      </c>
      <c r="H1459" s="31"/>
      <c r="I1459" s="32">
        <f t="shared" si="92"/>
        <v>0</v>
      </c>
      <c r="J1459" s="33" t="str">
        <f t="shared" si="93"/>
        <v/>
      </c>
      <c r="K1459" s="2"/>
      <c r="L1459" s="15"/>
      <c r="M1459" s="34">
        <f t="shared" si="94"/>
        <v>0</v>
      </c>
    </row>
    <row r="1460" spans="1:13" x14ac:dyDescent="0.25">
      <c r="A1460" s="31"/>
      <c r="B1460" s="16" t="str">
        <f>IFERROR(VLOOKUP(A1460,Consolidado!$B$1:$L$1500,2,FALSE),"")</f>
        <v/>
      </c>
      <c r="C1460" s="16">
        <f>IFERROR(SUMIF(Consolidado!$B$1:$B$1500,VLOOKUP(RegistroPago!A1460,Consolidado!$B$1:$L$1500,1,FALSE),Consolidado!$G$1:$G$1500),"")</f>
        <v>0</v>
      </c>
      <c r="D1460" s="3"/>
      <c r="E1460" s="3"/>
      <c r="F1460" s="5" t="str">
        <f t="shared" si="91"/>
        <v/>
      </c>
      <c r="G1460" s="16" t="str">
        <f>IF(D1460&lt;&gt;"",D1460-VLOOKUP(A1460,Consolidado!$B$1:$L$1500,8,FALSE),"")</f>
        <v/>
      </c>
      <c r="H1460" s="31"/>
      <c r="I1460" s="32">
        <f t="shared" si="92"/>
        <v>0</v>
      </c>
      <c r="J1460" s="33" t="str">
        <f t="shared" si="93"/>
        <v/>
      </c>
      <c r="K1460" s="2"/>
      <c r="L1460" s="15"/>
      <c r="M1460" s="34">
        <f t="shared" si="94"/>
        <v>0</v>
      </c>
    </row>
    <row r="1461" spans="1:13" x14ac:dyDescent="0.25">
      <c r="A1461" s="31"/>
      <c r="B1461" s="16" t="str">
        <f>IFERROR(VLOOKUP(A1461,Consolidado!$B$1:$L$1500,2,FALSE),"")</f>
        <v/>
      </c>
      <c r="C1461" s="16">
        <f>IFERROR(SUMIF(Consolidado!$B$1:$B$1500,VLOOKUP(RegistroPago!A1461,Consolidado!$B$1:$L$1500,1,FALSE),Consolidado!$G$1:$G$1500),"")</f>
        <v>0</v>
      </c>
      <c r="D1461" s="3"/>
      <c r="E1461" s="3"/>
      <c r="F1461" s="5" t="str">
        <f t="shared" si="91"/>
        <v/>
      </c>
      <c r="G1461" s="16" t="str">
        <f>IF(D1461&lt;&gt;"",D1461-VLOOKUP(A1461,Consolidado!$B$1:$L$1500,8,FALSE),"")</f>
        <v/>
      </c>
      <c r="H1461" s="31"/>
      <c r="I1461" s="32">
        <f t="shared" si="92"/>
        <v>0</v>
      </c>
      <c r="J1461" s="33" t="str">
        <f t="shared" si="93"/>
        <v/>
      </c>
      <c r="K1461" s="2"/>
      <c r="L1461" s="15"/>
      <c r="M1461" s="34">
        <f t="shared" si="94"/>
        <v>0</v>
      </c>
    </row>
    <row r="1462" spans="1:13" x14ac:dyDescent="0.25">
      <c r="A1462" s="31"/>
      <c r="B1462" s="16" t="str">
        <f>IFERROR(VLOOKUP(A1462,Consolidado!$B$1:$L$1500,2,FALSE),"")</f>
        <v/>
      </c>
      <c r="C1462" s="16">
        <f>IFERROR(SUMIF(Consolidado!$B$1:$B$1500,VLOOKUP(RegistroPago!A1462,Consolidado!$B$1:$L$1500,1,FALSE),Consolidado!$G$1:$G$1500),"")</f>
        <v>0</v>
      </c>
      <c r="D1462" s="3"/>
      <c r="E1462" s="3"/>
      <c r="F1462" s="5" t="str">
        <f t="shared" si="91"/>
        <v/>
      </c>
      <c r="G1462" s="16" t="str">
        <f>IF(D1462&lt;&gt;"",D1462-VLOOKUP(A1462,Consolidado!$B$1:$L$1500,8,FALSE),"")</f>
        <v/>
      </c>
      <c r="H1462" s="31"/>
      <c r="I1462" s="32">
        <f t="shared" si="92"/>
        <v>0</v>
      </c>
      <c r="J1462" s="33" t="str">
        <f t="shared" si="93"/>
        <v/>
      </c>
      <c r="K1462" s="2"/>
      <c r="L1462" s="15"/>
      <c r="M1462" s="34">
        <f t="shared" si="94"/>
        <v>0</v>
      </c>
    </row>
    <row r="1463" spans="1:13" x14ac:dyDescent="0.25">
      <c r="A1463" s="31"/>
      <c r="B1463" s="16" t="str">
        <f>IFERROR(VLOOKUP(A1463,Consolidado!$B$1:$L$1500,2,FALSE),"")</f>
        <v/>
      </c>
      <c r="C1463" s="16">
        <f>IFERROR(SUMIF(Consolidado!$B$1:$B$1500,VLOOKUP(RegistroPago!A1463,Consolidado!$B$1:$L$1500,1,FALSE),Consolidado!$G$1:$G$1500),"")</f>
        <v>0</v>
      </c>
      <c r="D1463" s="3"/>
      <c r="E1463" s="3"/>
      <c r="F1463" s="5" t="str">
        <f t="shared" si="91"/>
        <v/>
      </c>
      <c r="G1463" s="16" t="str">
        <f>IF(D1463&lt;&gt;"",D1463-VLOOKUP(A1463,Consolidado!$B$1:$L$1500,8,FALSE),"")</f>
        <v/>
      </c>
      <c r="H1463" s="31"/>
      <c r="I1463" s="32">
        <f t="shared" si="92"/>
        <v>0</v>
      </c>
      <c r="J1463" s="33" t="str">
        <f t="shared" si="93"/>
        <v/>
      </c>
      <c r="K1463" s="2"/>
      <c r="L1463" s="15"/>
      <c r="M1463" s="34">
        <f t="shared" si="94"/>
        <v>0</v>
      </c>
    </row>
    <row r="1464" spans="1:13" x14ac:dyDescent="0.25">
      <c r="A1464" s="31"/>
      <c r="B1464" s="16" t="str">
        <f>IFERROR(VLOOKUP(A1464,Consolidado!$B$1:$L$1500,2,FALSE),"")</f>
        <v/>
      </c>
      <c r="C1464" s="16">
        <f>IFERROR(SUMIF(Consolidado!$B$1:$B$1500,VLOOKUP(RegistroPago!A1464,Consolidado!$B$1:$L$1500,1,FALSE),Consolidado!$G$1:$G$1500),"")</f>
        <v>0</v>
      </c>
      <c r="D1464" s="3"/>
      <c r="E1464" s="3"/>
      <c r="F1464" s="5" t="str">
        <f t="shared" si="91"/>
        <v/>
      </c>
      <c r="G1464" s="16" t="str">
        <f>IF(D1464&lt;&gt;"",D1464-VLOOKUP(A1464,Consolidado!$B$1:$L$1500,8,FALSE),"")</f>
        <v/>
      </c>
      <c r="H1464" s="31"/>
      <c r="I1464" s="32">
        <f t="shared" si="92"/>
        <v>0</v>
      </c>
      <c r="J1464" s="33" t="str">
        <f t="shared" si="93"/>
        <v/>
      </c>
      <c r="K1464" s="2"/>
      <c r="L1464" s="15"/>
      <c r="M1464" s="34">
        <f t="shared" si="94"/>
        <v>0</v>
      </c>
    </row>
    <row r="1465" spans="1:13" x14ac:dyDescent="0.25">
      <c r="A1465" s="31"/>
      <c r="B1465" s="16" t="str">
        <f>IFERROR(VLOOKUP(A1465,Consolidado!$B$1:$L$1500,2,FALSE),"")</f>
        <v/>
      </c>
      <c r="C1465" s="16">
        <f>IFERROR(SUMIF(Consolidado!$B$1:$B$1500,VLOOKUP(RegistroPago!A1465,Consolidado!$B$1:$L$1500,1,FALSE),Consolidado!$G$1:$G$1500),"")</f>
        <v>0</v>
      </c>
      <c r="D1465" s="3"/>
      <c r="E1465" s="3"/>
      <c r="F1465" s="5" t="str">
        <f t="shared" si="91"/>
        <v/>
      </c>
      <c r="G1465" s="16" t="str">
        <f>IF(D1465&lt;&gt;"",D1465-VLOOKUP(A1465,Consolidado!$B$1:$L$1500,8,FALSE),"")</f>
        <v/>
      </c>
      <c r="H1465" s="31"/>
      <c r="I1465" s="32">
        <f t="shared" si="92"/>
        <v>0</v>
      </c>
      <c r="J1465" s="33" t="str">
        <f t="shared" si="93"/>
        <v/>
      </c>
      <c r="K1465" s="2"/>
      <c r="L1465" s="15"/>
      <c r="M1465" s="34">
        <f t="shared" si="94"/>
        <v>0</v>
      </c>
    </row>
    <row r="1466" spans="1:13" x14ac:dyDescent="0.25">
      <c r="A1466" s="31"/>
      <c r="B1466" s="16" t="str">
        <f>IFERROR(VLOOKUP(A1466,Consolidado!$B$1:$L$1500,2,FALSE),"")</f>
        <v/>
      </c>
      <c r="C1466" s="16">
        <f>IFERROR(SUMIF(Consolidado!$B$1:$B$1500,VLOOKUP(RegistroPago!A1466,Consolidado!$B$1:$L$1500,1,FALSE),Consolidado!$G$1:$G$1500),"")</f>
        <v>0</v>
      </c>
      <c r="D1466" s="3"/>
      <c r="E1466" s="3"/>
      <c r="F1466" s="5" t="str">
        <f t="shared" si="91"/>
        <v/>
      </c>
      <c r="G1466" s="16" t="str">
        <f>IF(D1466&lt;&gt;"",D1466-VLOOKUP(A1466,Consolidado!$B$1:$L$1500,8,FALSE),"")</f>
        <v/>
      </c>
      <c r="H1466" s="31"/>
      <c r="I1466" s="32">
        <f t="shared" si="92"/>
        <v>0</v>
      </c>
      <c r="J1466" s="33" t="str">
        <f t="shared" si="93"/>
        <v/>
      </c>
      <c r="K1466" s="2"/>
      <c r="L1466" s="15"/>
      <c r="M1466" s="34">
        <f t="shared" si="94"/>
        <v>0</v>
      </c>
    </row>
    <row r="1467" spans="1:13" x14ac:dyDescent="0.25">
      <c r="A1467" s="31"/>
      <c r="B1467" s="16" t="str">
        <f>IFERROR(VLOOKUP(A1467,Consolidado!$B$1:$L$1500,2,FALSE),"")</f>
        <v/>
      </c>
      <c r="C1467" s="16">
        <f>IFERROR(SUMIF(Consolidado!$B$1:$B$1500,VLOOKUP(RegistroPago!A1467,Consolidado!$B$1:$L$1500,1,FALSE),Consolidado!$G$1:$G$1500),"")</f>
        <v>0</v>
      </c>
      <c r="D1467" s="3"/>
      <c r="E1467" s="3"/>
      <c r="F1467" s="5" t="str">
        <f t="shared" si="91"/>
        <v/>
      </c>
      <c r="G1467" s="16" t="str">
        <f>IF(D1467&lt;&gt;"",D1467-VLOOKUP(A1467,Consolidado!$B$1:$L$1500,8,FALSE),"")</f>
        <v/>
      </c>
      <c r="H1467" s="31"/>
      <c r="I1467" s="32">
        <f t="shared" si="92"/>
        <v>0</v>
      </c>
      <c r="J1467" s="33" t="str">
        <f t="shared" si="93"/>
        <v/>
      </c>
      <c r="K1467" s="2"/>
      <c r="L1467" s="15"/>
      <c r="M1467" s="34">
        <f t="shared" si="94"/>
        <v>0</v>
      </c>
    </row>
    <row r="1468" spans="1:13" x14ac:dyDescent="0.25">
      <c r="A1468" s="31"/>
      <c r="B1468" s="16" t="str">
        <f>IFERROR(VLOOKUP(A1468,Consolidado!$B$1:$L$1500,2,FALSE),"")</f>
        <v/>
      </c>
      <c r="C1468" s="16">
        <f>IFERROR(SUMIF(Consolidado!$B$1:$B$1500,VLOOKUP(RegistroPago!A1468,Consolidado!$B$1:$L$1500,1,FALSE),Consolidado!$G$1:$G$1500),"")</f>
        <v>0</v>
      </c>
      <c r="D1468" s="3"/>
      <c r="E1468" s="3"/>
      <c r="F1468" s="5" t="str">
        <f t="shared" si="91"/>
        <v/>
      </c>
      <c r="G1468" s="16" t="str">
        <f>IF(D1468&lt;&gt;"",D1468-VLOOKUP(A1468,Consolidado!$B$1:$L$1500,8,FALSE),"")</f>
        <v/>
      </c>
      <c r="H1468" s="31"/>
      <c r="I1468" s="32">
        <f t="shared" si="92"/>
        <v>0</v>
      </c>
      <c r="J1468" s="33" t="str">
        <f t="shared" si="93"/>
        <v/>
      </c>
      <c r="K1468" s="2"/>
      <c r="L1468" s="15"/>
      <c r="M1468" s="34">
        <f t="shared" si="94"/>
        <v>0</v>
      </c>
    </row>
    <row r="1469" spans="1:13" x14ac:dyDescent="0.25">
      <c r="A1469" s="31"/>
      <c r="B1469" s="16" t="str">
        <f>IFERROR(VLOOKUP(A1469,Consolidado!$B$1:$L$1500,2,FALSE),"")</f>
        <v/>
      </c>
      <c r="C1469" s="16">
        <f>IFERROR(SUMIF(Consolidado!$B$1:$B$1500,VLOOKUP(RegistroPago!A1469,Consolidado!$B$1:$L$1500,1,FALSE),Consolidado!$G$1:$G$1500),"")</f>
        <v>0</v>
      </c>
      <c r="D1469" s="3"/>
      <c r="E1469" s="3"/>
      <c r="F1469" s="5" t="str">
        <f t="shared" si="91"/>
        <v/>
      </c>
      <c r="G1469" s="16" t="str">
        <f>IF(D1469&lt;&gt;"",D1469-VLOOKUP(A1469,Consolidado!$B$1:$L$1500,8,FALSE),"")</f>
        <v/>
      </c>
      <c r="H1469" s="31"/>
      <c r="I1469" s="32">
        <f t="shared" si="92"/>
        <v>0</v>
      </c>
      <c r="J1469" s="33" t="str">
        <f t="shared" si="93"/>
        <v/>
      </c>
      <c r="K1469" s="2"/>
      <c r="L1469" s="15"/>
      <c r="M1469" s="34">
        <f t="shared" si="94"/>
        <v>0</v>
      </c>
    </row>
    <row r="1470" spans="1:13" x14ac:dyDescent="0.25">
      <c r="A1470" s="31"/>
      <c r="B1470" s="16" t="str">
        <f>IFERROR(VLOOKUP(A1470,Consolidado!$B$1:$L$1500,2,FALSE),"")</f>
        <v/>
      </c>
      <c r="C1470" s="16">
        <f>IFERROR(SUMIF(Consolidado!$B$1:$B$1500,VLOOKUP(RegistroPago!A1470,Consolidado!$B$1:$L$1500,1,FALSE),Consolidado!$G$1:$G$1500),"")</f>
        <v>0</v>
      </c>
      <c r="D1470" s="3"/>
      <c r="E1470" s="3"/>
      <c r="F1470" s="5" t="str">
        <f t="shared" si="91"/>
        <v/>
      </c>
      <c r="G1470" s="16" t="str">
        <f>IF(D1470&lt;&gt;"",D1470-VLOOKUP(A1470,Consolidado!$B$1:$L$1500,8,FALSE),"")</f>
        <v/>
      </c>
      <c r="H1470" s="31"/>
      <c r="I1470" s="32">
        <f t="shared" si="92"/>
        <v>0</v>
      </c>
      <c r="J1470" s="33" t="str">
        <f t="shared" si="93"/>
        <v/>
      </c>
      <c r="K1470" s="2"/>
      <c r="L1470" s="15"/>
      <c r="M1470" s="34">
        <f t="shared" si="94"/>
        <v>0</v>
      </c>
    </row>
    <row r="1471" spans="1:13" x14ac:dyDescent="0.25">
      <c r="A1471" s="31"/>
      <c r="B1471" s="16" t="str">
        <f>IFERROR(VLOOKUP(A1471,Consolidado!$B$1:$L$1500,2,FALSE),"")</f>
        <v/>
      </c>
      <c r="C1471" s="16">
        <f>IFERROR(SUMIF(Consolidado!$B$1:$B$1500,VLOOKUP(RegistroPago!A1471,Consolidado!$B$1:$L$1500,1,FALSE),Consolidado!$G$1:$G$1500),"")</f>
        <v>0</v>
      </c>
      <c r="D1471" s="3"/>
      <c r="E1471" s="3"/>
      <c r="F1471" s="5" t="str">
        <f t="shared" si="91"/>
        <v/>
      </c>
      <c r="G1471" s="16" t="str">
        <f>IF(D1471&lt;&gt;"",D1471-VLOOKUP(A1471,Consolidado!$B$1:$L$1500,8,FALSE),"")</f>
        <v/>
      </c>
      <c r="H1471" s="31"/>
      <c r="I1471" s="32">
        <f t="shared" si="92"/>
        <v>0</v>
      </c>
      <c r="J1471" s="33" t="str">
        <f t="shared" si="93"/>
        <v/>
      </c>
      <c r="K1471" s="2"/>
      <c r="L1471" s="15"/>
      <c r="M1471" s="34">
        <f t="shared" si="94"/>
        <v>0</v>
      </c>
    </row>
    <row r="1472" spans="1:13" x14ac:dyDescent="0.25">
      <c r="A1472" s="31"/>
      <c r="B1472" s="16" t="str">
        <f>IFERROR(VLOOKUP(A1472,Consolidado!$B$1:$L$1500,2,FALSE),"")</f>
        <v/>
      </c>
      <c r="C1472" s="16">
        <f>IFERROR(SUMIF(Consolidado!$B$1:$B$1500,VLOOKUP(RegistroPago!A1472,Consolidado!$B$1:$L$1500,1,FALSE),Consolidado!$G$1:$G$1500),"")</f>
        <v>0</v>
      </c>
      <c r="D1472" s="3"/>
      <c r="E1472" s="3"/>
      <c r="F1472" s="5" t="str">
        <f t="shared" si="91"/>
        <v/>
      </c>
      <c r="G1472" s="16" t="str">
        <f>IF(D1472&lt;&gt;"",D1472-VLOOKUP(A1472,Consolidado!$B$1:$L$1500,8,FALSE),"")</f>
        <v/>
      </c>
      <c r="H1472" s="31"/>
      <c r="I1472" s="32">
        <f t="shared" si="92"/>
        <v>0</v>
      </c>
      <c r="J1472" s="33" t="str">
        <f t="shared" si="93"/>
        <v/>
      </c>
      <c r="K1472" s="2"/>
      <c r="L1472" s="15"/>
      <c r="M1472" s="34">
        <f t="shared" si="94"/>
        <v>0</v>
      </c>
    </row>
    <row r="1473" spans="1:13" x14ac:dyDescent="0.25">
      <c r="A1473" s="31"/>
      <c r="B1473" s="16" t="str">
        <f>IFERROR(VLOOKUP(A1473,Consolidado!$B$1:$L$1500,2,FALSE),"")</f>
        <v/>
      </c>
      <c r="C1473" s="16">
        <f>IFERROR(SUMIF(Consolidado!$B$1:$B$1500,VLOOKUP(RegistroPago!A1473,Consolidado!$B$1:$L$1500,1,FALSE),Consolidado!$G$1:$G$1500),"")</f>
        <v>0</v>
      </c>
      <c r="D1473" s="3"/>
      <c r="E1473" s="3"/>
      <c r="F1473" s="5" t="str">
        <f t="shared" si="91"/>
        <v/>
      </c>
      <c r="G1473" s="16" t="str">
        <f>IF(D1473&lt;&gt;"",D1473-VLOOKUP(A1473,Consolidado!$B$1:$L$1500,8,FALSE),"")</f>
        <v/>
      </c>
      <c r="H1473" s="31"/>
      <c r="I1473" s="32">
        <f t="shared" si="92"/>
        <v>0</v>
      </c>
      <c r="J1473" s="33" t="str">
        <f t="shared" si="93"/>
        <v/>
      </c>
      <c r="K1473" s="2"/>
      <c r="L1473" s="15"/>
      <c r="M1473" s="34">
        <f t="shared" si="94"/>
        <v>0</v>
      </c>
    </row>
    <row r="1474" spans="1:13" x14ac:dyDescent="0.25">
      <c r="A1474" s="31"/>
      <c r="B1474" s="16" t="str">
        <f>IFERROR(VLOOKUP(A1474,Consolidado!$B$1:$L$1500,2,FALSE),"")</f>
        <v/>
      </c>
      <c r="C1474" s="16">
        <f>IFERROR(SUMIF(Consolidado!$B$1:$B$1500,VLOOKUP(RegistroPago!A1474,Consolidado!$B$1:$L$1500,1,FALSE),Consolidado!$G$1:$G$1500),"")</f>
        <v>0</v>
      </c>
      <c r="D1474" s="3"/>
      <c r="E1474" s="3"/>
      <c r="F1474" s="5" t="str">
        <f t="shared" si="91"/>
        <v/>
      </c>
      <c r="G1474" s="16" t="str">
        <f>IF(D1474&lt;&gt;"",D1474-VLOOKUP(A1474,Consolidado!$B$1:$L$1500,8,FALSE),"")</f>
        <v/>
      </c>
      <c r="H1474" s="31"/>
      <c r="I1474" s="32">
        <f t="shared" si="92"/>
        <v>0</v>
      </c>
      <c r="J1474" s="33" t="str">
        <f t="shared" si="93"/>
        <v/>
      </c>
      <c r="K1474" s="2"/>
      <c r="L1474" s="15"/>
      <c r="M1474" s="34">
        <f t="shared" si="94"/>
        <v>0</v>
      </c>
    </row>
    <row r="1475" spans="1:13" x14ac:dyDescent="0.25">
      <c r="A1475" s="31"/>
      <c r="B1475" s="16" t="str">
        <f>IFERROR(VLOOKUP(A1475,Consolidado!$B$1:$L$1500,2,FALSE),"")</f>
        <v/>
      </c>
      <c r="C1475" s="16">
        <f>IFERROR(SUMIF(Consolidado!$B$1:$B$1500,VLOOKUP(RegistroPago!A1475,Consolidado!$B$1:$L$1500,1,FALSE),Consolidado!$G$1:$G$1500),"")</f>
        <v>0</v>
      </c>
      <c r="D1475" s="3"/>
      <c r="E1475" s="3"/>
      <c r="F1475" s="5" t="str">
        <f t="shared" ref="F1475:F1538" si="95">IF(COUNTIF($E$2:$E$2000,E1475)&gt;1,"Ya registrado","")</f>
        <v/>
      </c>
      <c r="G1475" s="16" t="str">
        <f>IF(D1475&lt;&gt;"",D1475-VLOOKUP(A1475,Consolidado!$B$1:$L$1500,8,FALSE),"")</f>
        <v/>
      </c>
      <c r="H1475" s="31"/>
      <c r="I1475" s="32">
        <f t="shared" si="92"/>
        <v>0</v>
      </c>
      <c r="J1475" s="33" t="str">
        <f t="shared" si="93"/>
        <v/>
      </c>
      <c r="K1475" s="2"/>
      <c r="L1475" s="15"/>
      <c r="M1475" s="34">
        <f t="shared" si="94"/>
        <v>0</v>
      </c>
    </row>
    <row r="1476" spans="1:13" x14ac:dyDescent="0.25">
      <c r="A1476" s="31"/>
      <c r="B1476" s="16" t="str">
        <f>IFERROR(VLOOKUP(A1476,Consolidado!$B$1:$L$1500,2,FALSE),"")</f>
        <v/>
      </c>
      <c r="C1476" s="16">
        <f>IFERROR(SUMIF(Consolidado!$B$1:$B$1500,VLOOKUP(RegistroPago!A1476,Consolidado!$B$1:$L$1500,1,FALSE),Consolidado!$G$1:$G$1500),"")</f>
        <v>0</v>
      </c>
      <c r="D1476" s="3"/>
      <c r="E1476" s="3"/>
      <c r="F1476" s="5" t="str">
        <f t="shared" si="95"/>
        <v/>
      </c>
      <c r="G1476" s="16" t="str">
        <f>IF(D1476&lt;&gt;"",D1476-VLOOKUP(A1476,Consolidado!$B$1:$L$1500,8,FALSE),"")</f>
        <v/>
      </c>
      <c r="H1476" s="31"/>
      <c r="I1476" s="32">
        <f t="shared" si="92"/>
        <v>0</v>
      </c>
      <c r="J1476" s="33" t="str">
        <f t="shared" si="93"/>
        <v/>
      </c>
      <c r="K1476" s="2"/>
      <c r="L1476" s="15"/>
      <c r="M1476" s="34">
        <f t="shared" si="94"/>
        <v>0</v>
      </c>
    </row>
    <row r="1477" spans="1:13" x14ac:dyDescent="0.25">
      <c r="A1477" s="31"/>
      <c r="B1477" s="16" t="str">
        <f>IFERROR(VLOOKUP(A1477,Consolidado!$B$1:$L$1500,2,FALSE),"")</f>
        <v/>
      </c>
      <c r="C1477" s="16">
        <f>IFERROR(SUMIF(Consolidado!$B$1:$B$1500,VLOOKUP(RegistroPago!A1477,Consolidado!$B$1:$L$1500,1,FALSE),Consolidado!$G$1:$G$1500),"")</f>
        <v>0</v>
      </c>
      <c r="D1477" s="3"/>
      <c r="E1477" s="3"/>
      <c r="F1477" s="5" t="str">
        <f t="shared" si="95"/>
        <v/>
      </c>
      <c r="G1477" s="16" t="str">
        <f>IF(D1477&lt;&gt;"",D1477-VLOOKUP(A1477,Consolidado!$B$1:$L$1500,8,FALSE),"")</f>
        <v/>
      </c>
      <c r="H1477" s="31"/>
      <c r="I1477" s="32">
        <f t="shared" si="92"/>
        <v>0</v>
      </c>
      <c r="J1477" s="33" t="str">
        <f t="shared" si="93"/>
        <v/>
      </c>
      <c r="K1477" s="2"/>
      <c r="L1477" s="15"/>
      <c r="M1477" s="34">
        <f t="shared" si="94"/>
        <v>0</v>
      </c>
    </row>
    <row r="1478" spans="1:13" x14ac:dyDescent="0.25">
      <c r="A1478" s="31"/>
      <c r="B1478" s="16" t="str">
        <f>IFERROR(VLOOKUP(A1478,Consolidado!$B$1:$L$1500,2,FALSE),"")</f>
        <v/>
      </c>
      <c r="C1478" s="16">
        <f>IFERROR(SUMIF(Consolidado!$B$1:$B$1500,VLOOKUP(RegistroPago!A1478,Consolidado!$B$1:$L$1500,1,FALSE),Consolidado!$G$1:$G$1500),"")</f>
        <v>0</v>
      </c>
      <c r="D1478" s="3"/>
      <c r="E1478" s="3"/>
      <c r="F1478" s="5" t="str">
        <f t="shared" si="95"/>
        <v/>
      </c>
      <c r="G1478" s="16" t="str">
        <f>IF(D1478&lt;&gt;"",D1478-VLOOKUP(A1478,Consolidado!$B$1:$L$1500,8,FALSE),"")</f>
        <v/>
      </c>
      <c r="H1478" s="31"/>
      <c r="I1478" s="32">
        <f t="shared" si="92"/>
        <v>0</v>
      </c>
      <c r="J1478" s="33" t="str">
        <f t="shared" si="93"/>
        <v/>
      </c>
      <c r="K1478" s="2"/>
      <c r="L1478" s="15"/>
      <c r="M1478" s="34">
        <f t="shared" si="94"/>
        <v>0</v>
      </c>
    </row>
    <row r="1479" spans="1:13" x14ac:dyDescent="0.25">
      <c r="A1479" s="31"/>
      <c r="B1479" s="16" t="str">
        <f>IFERROR(VLOOKUP(A1479,Consolidado!$B$1:$L$1500,2,FALSE),"")</f>
        <v/>
      </c>
      <c r="C1479" s="16">
        <f>IFERROR(SUMIF(Consolidado!$B$1:$B$1500,VLOOKUP(RegistroPago!A1479,Consolidado!$B$1:$L$1500,1,FALSE),Consolidado!$G$1:$G$1500),"")</f>
        <v>0</v>
      </c>
      <c r="D1479" s="3"/>
      <c r="E1479" s="3"/>
      <c r="F1479" s="5" t="str">
        <f t="shared" si="95"/>
        <v/>
      </c>
      <c r="G1479" s="16" t="str">
        <f>IF(D1479&lt;&gt;"",D1479-VLOOKUP(A1479,Consolidado!$B$1:$L$1500,8,FALSE),"")</f>
        <v/>
      </c>
      <c r="H1479" s="31"/>
      <c r="I1479" s="32">
        <f t="shared" si="92"/>
        <v>0</v>
      </c>
      <c r="J1479" s="33" t="str">
        <f t="shared" si="93"/>
        <v/>
      </c>
      <c r="K1479" s="2"/>
      <c r="L1479" s="15"/>
      <c r="M1479" s="34">
        <f t="shared" si="94"/>
        <v>0</v>
      </c>
    </row>
    <row r="1480" spans="1:13" x14ac:dyDescent="0.25">
      <c r="A1480" s="31"/>
      <c r="B1480" s="16" t="str">
        <f>IFERROR(VLOOKUP(A1480,Consolidado!$B$1:$L$1500,2,FALSE),"")</f>
        <v/>
      </c>
      <c r="C1480" s="16">
        <f>IFERROR(SUMIF(Consolidado!$B$1:$B$1500,VLOOKUP(RegistroPago!A1480,Consolidado!$B$1:$L$1500,1,FALSE),Consolidado!$G$1:$G$1500),"")</f>
        <v>0</v>
      </c>
      <c r="D1480" s="3"/>
      <c r="E1480" s="3"/>
      <c r="F1480" s="5" t="str">
        <f t="shared" si="95"/>
        <v/>
      </c>
      <c r="G1480" s="16" t="str">
        <f>IF(D1480&lt;&gt;"",D1480-VLOOKUP(A1480,Consolidado!$B$1:$L$1500,8,FALSE),"")</f>
        <v/>
      </c>
      <c r="H1480" s="31"/>
      <c r="I1480" s="32">
        <f t="shared" si="92"/>
        <v>0</v>
      </c>
      <c r="J1480" s="33" t="str">
        <f t="shared" si="93"/>
        <v/>
      </c>
      <c r="K1480" s="2"/>
      <c r="L1480" s="15"/>
      <c r="M1480" s="34">
        <f t="shared" si="94"/>
        <v>0</v>
      </c>
    </row>
    <row r="1481" spans="1:13" x14ac:dyDescent="0.25">
      <c r="A1481" s="31"/>
      <c r="B1481" s="16" t="str">
        <f>IFERROR(VLOOKUP(A1481,Consolidado!$B$1:$L$1500,2,FALSE),"")</f>
        <v/>
      </c>
      <c r="C1481" s="16">
        <f>IFERROR(SUMIF(Consolidado!$B$1:$B$1500,VLOOKUP(RegistroPago!A1481,Consolidado!$B$1:$L$1500,1,FALSE),Consolidado!$G$1:$G$1500),"")</f>
        <v>0</v>
      </c>
      <c r="D1481" s="3"/>
      <c r="E1481" s="3"/>
      <c r="F1481" s="5" t="str">
        <f t="shared" si="95"/>
        <v/>
      </c>
      <c r="G1481" s="16" t="str">
        <f>IF(D1481&lt;&gt;"",D1481-VLOOKUP(A1481,Consolidado!$B$1:$L$1500,8,FALSE),"")</f>
        <v/>
      </c>
      <c r="H1481" s="31"/>
      <c r="I1481" s="32">
        <f t="shared" si="92"/>
        <v>0</v>
      </c>
      <c r="J1481" s="33" t="str">
        <f t="shared" si="93"/>
        <v/>
      </c>
      <c r="K1481" s="2"/>
      <c r="L1481" s="15"/>
      <c r="M1481" s="34">
        <f t="shared" si="94"/>
        <v>0</v>
      </c>
    </row>
    <row r="1482" spans="1:13" x14ac:dyDescent="0.25">
      <c r="A1482" s="31"/>
      <c r="B1482" s="16" t="str">
        <f>IFERROR(VLOOKUP(A1482,Consolidado!$B$1:$L$1500,2,FALSE),"")</f>
        <v/>
      </c>
      <c r="C1482" s="16">
        <f>IFERROR(SUMIF(Consolidado!$B$1:$B$1500,VLOOKUP(RegistroPago!A1482,Consolidado!$B$1:$L$1500,1,FALSE),Consolidado!$G$1:$G$1500),"")</f>
        <v>0</v>
      </c>
      <c r="D1482" s="3"/>
      <c r="E1482" s="3"/>
      <c r="F1482" s="5" t="str">
        <f t="shared" si="95"/>
        <v/>
      </c>
      <c r="G1482" s="16" t="str">
        <f>IF(D1482&lt;&gt;"",D1482-VLOOKUP(A1482,Consolidado!$B$1:$L$1500,8,FALSE),"")</f>
        <v/>
      </c>
      <c r="H1482" s="31"/>
      <c r="I1482" s="32">
        <f t="shared" si="92"/>
        <v>0</v>
      </c>
      <c r="J1482" s="33" t="str">
        <f t="shared" si="93"/>
        <v/>
      </c>
      <c r="K1482" s="2"/>
      <c r="L1482" s="15"/>
      <c r="M1482" s="34">
        <f t="shared" si="94"/>
        <v>0</v>
      </c>
    </row>
    <row r="1483" spans="1:13" x14ac:dyDescent="0.25">
      <c r="A1483" s="31"/>
      <c r="B1483" s="16" t="str">
        <f>IFERROR(VLOOKUP(A1483,Consolidado!$B$1:$L$1500,2,FALSE),"")</f>
        <v/>
      </c>
      <c r="C1483" s="16">
        <f>IFERROR(SUMIF(Consolidado!$B$1:$B$1500,VLOOKUP(RegistroPago!A1483,Consolidado!$B$1:$L$1500,1,FALSE),Consolidado!$G$1:$G$1500),"")</f>
        <v>0</v>
      </c>
      <c r="D1483" s="3"/>
      <c r="E1483" s="3"/>
      <c r="F1483" s="5" t="str">
        <f t="shared" si="95"/>
        <v/>
      </c>
      <c r="G1483" s="16" t="str">
        <f>IF(D1483&lt;&gt;"",D1483-VLOOKUP(A1483,Consolidado!$B$1:$L$1500,8,FALSE),"")</f>
        <v/>
      </c>
      <c r="H1483" s="31"/>
      <c r="I1483" s="32">
        <f t="shared" si="92"/>
        <v>0</v>
      </c>
      <c r="J1483" s="33" t="str">
        <f t="shared" si="93"/>
        <v/>
      </c>
      <c r="K1483" s="2"/>
      <c r="L1483" s="15"/>
      <c r="M1483" s="34">
        <f t="shared" si="94"/>
        <v>0</v>
      </c>
    </row>
    <row r="1484" spans="1:13" x14ac:dyDescent="0.25">
      <c r="A1484" s="31"/>
      <c r="B1484" s="16" t="str">
        <f>IFERROR(VLOOKUP(A1484,Consolidado!$B$1:$L$1500,2,FALSE),"")</f>
        <v/>
      </c>
      <c r="C1484" s="16">
        <f>IFERROR(SUMIF(Consolidado!$B$1:$B$1500,VLOOKUP(RegistroPago!A1484,Consolidado!$B$1:$L$1500,1,FALSE),Consolidado!$G$1:$G$1500),"")</f>
        <v>0</v>
      </c>
      <c r="D1484" s="3"/>
      <c r="E1484" s="3"/>
      <c r="F1484" s="5" t="str">
        <f t="shared" si="95"/>
        <v/>
      </c>
      <c r="G1484" s="16" t="str">
        <f>IF(D1484&lt;&gt;"",D1484-VLOOKUP(A1484,Consolidado!$B$1:$L$1500,8,FALSE),"")</f>
        <v/>
      </c>
      <c r="H1484" s="31"/>
      <c r="I1484" s="32">
        <f t="shared" si="92"/>
        <v>0</v>
      </c>
      <c r="J1484" s="33" t="str">
        <f t="shared" si="93"/>
        <v/>
      </c>
      <c r="K1484" s="2"/>
      <c r="L1484" s="15"/>
      <c r="M1484" s="34">
        <f t="shared" si="94"/>
        <v>0</v>
      </c>
    </row>
    <row r="1485" spans="1:13" x14ac:dyDescent="0.25">
      <c r="A1485" s="31"/>
      <c r="B1485" s="16" t="str">
        <f>IFERROR(VLOOKUP(A1485,Consolidado!$B$1:$L$1500,2,FALSE),"")</f>
        <v/>
      </c>
      <c r="C1485" s="16">
        <f>IFERROR(SUMIF(Consolidado!$B$1:$B$1500,VLOOKUP(RegistroPago!A1485,Consolidado!$B$1:$L$1500,1,FALSE),Consolidado!$G$1:$G$1500),"")</f>
        <v>0</v>
      </c>
      <c r="D1485" s="3"/>
      <c r="E1485" s="3"/>
      <c r="F1485" s="5" t="str">
        <f t="shared" si="95"/>
        <v/>
      </c>
      <c r="G1485" s="16" t="str">
        <f>IF(D1485&lt;&gt;"",D1485-VLOOKUP(A1485,Consolidado!$B$1:$L$1500,8,FALSE),"")</f>
        <v/>
      </c>
      <c r="H1485" s="31"/>
      <c r="I1485" s="32">
        <f t="shared" si="92"/>
        <v>0</v>
      </c>
      <c r="J1485" s="33" t="str">
        <f t="shared" si="93"/>
        <v/>
      </c>
      <c r="K1485" s="2"/>
      <c r="L1485" s="15"/>
      <c r="M1485" s="34">
        <f t="shared" si="94"/>
        <v>0</v>
      </c>
    </row>
    <row r="1486" spans="1:13" x14ac:dyDescent="0.25">
      <c r="A1486" s="31"/>
      <c r="B1486" s="16" t="str">
        <f>IFERROR(VLOOKUP(A1486,Consolidado!$B$1:$L$1500,2,FALSE),"")</f>
        <v/>
      </c>
      <c r="C1486" s="16">
        <f>IFERROR(SUMIF(Consolidado!$B$1:$B$1500,VLOOKUP(RegistroPago!A1486,Consolidado!$B$1:$L$1500,1,FALSE),Consolidado!$G$1:$G$1500),"")</f>
        <v>0</v>
      </c>
      <c r="D1486" s="3"/>
      <c r="E1486" s="3"/>
      <c r="F1486" s="5" t="str">
        <f t="shared" si="95"/>
        <v/>
      </c>
      <c r="G1486" s="16" t="str">
        <f>IF(D1486&lt;&gt;"",D1486-VLOOKUP(A1486,Consolidado!$B$1:$L$1500,8,FALSE),"")</f>
        <v/>
      </c>
      <c r="H1486" s="31"/>
      <c r="I1486" s="32">
        <f t="shared" si="92"/>
        <v>0</v>
      </c>
      <c r="J1486" s="33" t="str">
        <f t="shared" si="93"/>
        <v/>
      </c>
      <c r="K1486" s="2"/>
      <c r="L1486" s="15"/>
      <c r="M1486" s="34">
        <f t="shared" si="94"/>
        <v>0</v>
      </c>
    </row>
    <row r="1487" spans="1:13" x14ac:dyDescent="0.25">
      <c r="A1487" s="31"/>
      <c r="B1487" s="16" t="str">
        <f>IFERROR(VLOOKUP(A1487,Consolidado!$B$1:$L$1500,2,FALSE),"")</f>
        <v/>
      </c>
      <c r="C1487" s="16">
        <f>IFERROR(SUMIF(Consolidado!$B$1:$B$1500,VLOOKUP(RegistroPago!A1487,Consolidado!$B$1:$L$1500,1,FALSE),Consolidado!$G$1:$G$1500),"")</f>
        <v>0</v>
      </c>
      <c r="D1487" s="3"/>
      <c r="E1487" s="3"/>
      <c r="F1487" s="5" t="str">
        <f t="shared" si="95"/>
        <v/>
      </c>
      <c r="G1487" s="16" t="str">
        <f>IF(D1487&lt;&gt;"",D1487-VLOOKUP(A1487,Consolidado!$B$1:$L$1500,8,FALSE),"")</f>
        <v/>
      </c>
      <c r="H1487" s="31"/>
      <c r="I1487" s="32">
        <f t="shared" si="92"/>
        <v>0</v>
      </c>
      <c r="J1487" s="33" t="str">
        <f t="shared" si="93"/>
        <v/>
      </c>
      <c r="K1487" s="2"/>
      <c r="L1487" s="15"/>
      <c r="M1487" s="34">
        <f t="shared" si="94"/>
        <v>0</v>
      </c>
    </row>
    <row r="1488" spans="1:13" x14ac:dyDescent="0.25">
      <c r="A1488" s="31"/>
      <c r="B1488" s="16" t="str">
        <f>IFERROR(VLOOKUP(A1488,Consolidado!$B$1:$L$1500,2,FALSE),"")</f>
        <v/>
      </c>
      <c r="C1488" s="16">
        <f>IFERROR(SUMIF(Consolidado!$B$1:$B$1500,VLOOKUP(RegistroPago!A1488,Consolidado!$B$1:$L$1500,1,FALSE),Consolidado!$G$1:$G$1500),"")</f>
        <v>0</v>
      </c>
      <c r="D1488" s="3"/>
      <c r="E1488" s="3"/>
      <c r="F1488" s="5" t="str">
        <f t="shared" si="95"/>
        <v/>
      </c>
      <c r="G1488" s="16" t="str">
        <f>IF(D1488&lt;&gt;"",D1488-VLOOKUP(A1488,Consolidado!$B$1:$L$1500,8,FALSE),"")</f>
        <v/>
      </c>
      <c r="H1488" s="31"/>
      <c r="I1488" s="32">
        <f t="shared" si="92"/>
        <v>0</v>
      </c>
      <c r="J1488" s="33" t="str">
        <f t="shared" si="93"/>
        <v/>
      </c>
      <c r="K1488" s="2"/>
      <c r="L1488" s="15"/>
      <c r="M1488" s="34">
        <f t="shared" si="94"/>
        <v>0</v>
      </c>
    </row>
    <row r="1489" spans="1:13" x14ac:dyDescent="0.25">
      <c r="A1489" s="31"/>
      <c r="B1489" s="16" t="str">
        <f>IFERROR(VLOOKUP(A1489,Consolidado!$B$1:$L$1500,2,FALSE),"")</f>
        <v/>
      </c>
      <c r="C1489" s="16">
        <f>IFERROR(SUMIF(Consolidado!$B$1:$B$1500,VLOOKUP(RegistroPago!A1489,Consolidado!$B$1:$L$1500,1,FALSE),Consolidado!$G$1:$G$1500),"")</f>
        <v>0</v>
      </c>
      <c r="D1489" s="3"/>
      <c r="E1489" s="3"/>
      <c r="F1489" s="5" t="str">
        <f t="shared" si="95"/>
        <v/>
      </c>
      <c r="G1489" s="16" t="str">
        <f>IF(D1489&lt;&gt;"",D1489-VLOOKUP(A1489,Consolidado!$B$1:$L$1500,8,FALSE),"")</f>
        <v/>
      </c>
      <c r="H1489" s="31"/>
      <c r="I1489" s="32">
        <f t="shared" si="92"/>
        <v>0</v>
      </c>
      <c r="J1489" s="33" t="str">
        <f t="shared" si="93"/>
        <v/>
      </c>
      <c r="K1489" s="2"/>
      <c r="L1489" s="15"/>
      <c r="M1489" s="34">
        <f t="shared" si="94"/>
        <v>0</v>
      </c>
    </row>
    <row r="1490" spans="1:13" x14ac:dyDescent="0.25">
      <c r="A1490" s="31"/>
      <c r="B1490" s="16" t="str">
        <f>IFERROR(VLOOKUP(A1490,Consolidado!$B$1:$L$1500,2,FALSE),"")</f>
        <v/>
      </c>
      <c r="C1490" s="16">
        <f>IFERROR(SUMIF(Consolidado!$B$1:$B$1500,VLOOKUP(RegistroPago!A1490,Consolidado!$B$1:$L$1500,1,FALSE),Consolidado!$G$1:$G$1500),"")</f>
        <v>0</v>
      </c>
      <c r="D1490" s="3"/>
      <c r="E1490" s="3"/>
      <c r="F1490" s="5" t="str">
        <f t="shared" si="95"/>
        <v/>
      </c>
      <c r="G1490" s="16" t="str">
        <f>IF(D1490&lt;&gt;"",D1490-VLOOKUP(A1490,Consolidado!$B$1:$L$1500,8,FALSE),"")</f>
        <v/>
      </c>
      <c r="H1490" s="31"/>
      <c r="I1490" s="32">
        <f t="shared" si="92"/>
        <v>0</v>
      </c>
      <c r="J1490" s="33" t="str">
        <f t="shared" si="93"/>
        <v/>
      </c>
      <c r="K1490" s="2"/>
      <c r="L1490" s="15"/>
      <c r="M1490" s="34">
        <f t="shared" si="94"/>
        <v>0</v>
      </c>
    </row>
    <row r="1491" spans="1:13" x14ac:dyDescent="0.25">
      <c r="A1491" s="31"/>
      <c r="B1491" s="16" t="str">
        <f>IFERROR(VLOOKUP(A1491,Consolidado!$B$1:$L$1500,2,FALSE),"")</f>
        <v/>
      </c>
      <c r="C1491" s="16">
        <f>IFERROR(SUMIF(Consolidado!$B$1:$B$1500,VLOOKUP(RegistroPago!A1491,Consolidado!$B$1:$L$1500,1,FALSE),Consolidado!$G$1:$G$1500),"")</f>
        <v>0</v>
      </c>
      <c r="D1491" s="3"/>
      <c r="E1491" s="3"/>
      <c r="F1491" s="5" t="str">
        <f t="shared" si="95"/>
        <v/>
      </c>
      <c r="G1491" s="16" t="str">
        <f>IF(D1491&lt;&gt;"",D1491-VLOOKUP(A1491,Consolidado!$B$1:$L$1500,8,FALSE),"")</f>
        <v/>
      </c>
      <c r="H1491" s="31"/>
      <c r="I1491" s="32">
        <f t="shared" si="92"/>
        <v>0</v>
      </c>
      <c r="J1491" s="33" t="str">
        <f t="shared" si="93"/>
        <v/>
      </c>
      <c r="K1491" s="2"/>
      <c r="L1491" s="15"/>
      <c r="M1491" s="34">
        <f t="shared" si="94"/>
        <v>0</v>
      </c>
    </row>
    <row r="1492" spans="1:13" x14ac:dyDescent="0.25">
      <c r="A1492" s="31"/>
      <c r="B1492" s="16" t="str">
        <f>IFERROR(VLOOKUP(A1492,Consolidado!$B$1:$L$1500,2,FALSE),"")</f>
        <v/>
      </c>
      <c r="C1492" s="16">
        <f>IFERROR(SUMIF(Consolidado!$B$1:$B$1500,VLOOKUP(RegistroPago!A1492,Consolidado!$B$1:$L$1500,1,FALSE),Consolidado!$G$1:$G$1500),"")</f>
        <v>0</v>
      </c>
      <c r="D1492" s="3"/>
      <c r="E1492" s="3"/>
      <c r="F1492" s="5" t="str">
        <f t="shared" si="95"/>
        <v/>
      </c>
      <c r="G1492" s="16" t="str">
        <f>IF(D1492&lt;&gt;"",D1492-VLOOKUP(A1492,Consolidado!$B$1:$L$1500,8,FALSE),"")</f>
        <v/>
      </c>
      <c r="H1492" s="31"/>
      <c r="I1492" s="32">
        <f t="shared" si="92"/>
        <v>0</v>
      </c>
      <c r="J1492" s="33" t="str">
        <f t="shared" si="93"/>
        <v/>
      </c>
      <c r="K1492" s="2"/>
      <c r="L1492" s="15"/>
      <c r="M1492" s="34">
        <f t="shared" si="94"/>
        <v>0</v>
      </c>
    </row>
    <row r="1493" spans="1:13" x14ac:dyDescent="0.25">
      <c r="A1493" s="31"/>
      <c r="B1493" s="16" t="str">
        <f>IFERROR(VLOOKUP(A1493,Consolidado!$B$1:$L$1500,2,FALSE),"")</f>
        <v/>
      </c>
      <c r="C1493" s="16">
        <f>IFERROR(SUMIF(Consolidado!$B$1:$B$1500,VLOOKUP(RegistroPago!A1493,Consolidado!$B$1:$L$1500,1,FALSE),Consolidado!$G$1:$G$1500),"")</f>
        <v>0</v>
      </c>
      <c r="D1493" s="3"/>
      <c r="E1493" s="3"/>
      <c r="F1493" s="5" t="str">
        <f t="shared" si="95"/>
        <v/>
      </c>
      <c r="G1493" s="16" t="str">
        <f>IF(D1493&lt;&gt;"",D1493-VLOOKUP(A1493,Consolidado!$B$1:$L$1500,8,FALSE),"")</f>
        <v/>
      </c>
      <c r="H1493" s="31"/>
      <c r="I1493" s="32">
        <f t="shared" si="92"/>
        <v>0</v>
      </c>
      <c r="J1493" s="33" t="str">
        <f t="shared" si="93"/>
        <v/>
      </c>
      <c r="K1493" s="2"/>
      <c r="L1493" s="15"/>
      <c r="M1493" s="34">
        <f t="shared" si="94"/>
        <v>0</v>
      </c>
    </row>
    <row r="1494" spans="1:13" x14ac:dyDescent="0.25">
      <c r="A1494" s="31"/>
      <c r="B1494" s="16" t="str">
        <f>IFERROR(VLOOKUP(A1494,Consolidado!$B$1:$L$1500,2,FALSE),"")</f>
        <v/>
      </c>
      <c r="C1494" s="16">
        <f>IFERROR(SUMIF(Consolidado!$B$1:$B$1500,VLOOKUP(RegistroPago!A1494,Consolidado!$B$1:$L$1500,1,FALSE),Consolidado!$G$1:$G$1500),"")</f>
        <v>0</v>
      </c>
      <c r="D1494" s="3"/>
      <c r="E1494" s="3"/>
      <c r="F1494" s="5" t="str">
        <f t="shared" si="95"/>
        <v/>
      </c>
      <c r="G1494" s="16" t="str">
        <f>IF(D1494&lt;&gt;"",D1494-VLOOKUP(A1494,Consolidado!$B$1:$L$1500,8,FALSE),"")</f>
        <v/>
      </c>
      <c r="H1494" s="31"/>
      <c r="I1494" s="32">
        <f t="shared" si="92"/>
        <v>0</v>
      </c>
      <c r="J1494" s="33" t="str">
        <f t="shared" si="93"/>
        <v/>
      </c>
      <c r="K1494" s="2"/>
      <c r="L1494" s="15"/>
      <c r="M1494" s="34">
        <f t="shared" si="94"/>
        <v>0</v>
      </c>
    </row>
    <row r="1495" spans="1:13" x14ac:dyDescent="0.25">
      <c r="A1495" s="31"/>
      <c r="B1495" s="16" t="str">
        <f>IFERROR(VLOOKUP(A1495,Consolidado!$B$1:$L$1500,2,FALSE),"")</f>
        <v/>
      </c>
      <c r="C1495" s="16">
        <f>IFERROR(SUMIF(Consolidado!$B$1:$B$1500,VLOOKUP(RegistroPago!A1495,Consolidado!$B$1:$L$1500,1,FALSE),Consolidado!$G$1:$G$1500),"")</f>
        <v>0</v>
      </c>
      <c r="D1495" s="3"/>
      <c r="E1495" s="3"/>
      <c r="F1495" s="5" t="str">
        <f t="shared" si="95"/>
        <v/>
      </c>
      <c r="G1495" s="16" t="str">
        <f>IF(D1495&lt;&gt;"",D1495-VLOOKUP(A1495,Consolidado!$B$1:$L$1500,8,FALSE),"")</f>
        <v/>
      </c>
      <c r="H1495" s="31"/>
      <c r="I1495" s="32">
        <f t="shared" si="92"/>
        <v>0</v>
      </c>
      <c r="J1495" s="33" t="str">
        <f t="shared" si="93"/>
        <v/>
      </c>
      <c r="K1495" s="2"/>
      <c r="L1495" s="15"/>
      <c r="M1495" s="34">
        <f t="shared" si="94"/>
        <v>0</v>
      </c>
    </row>
    <row r="1496" spans="1:13" x14ac:dyDescent="0.25">
      <c r="A1496" s="31"/>
      <c r="B1496" s="16" t="str">
        <f>IFERROR(VLOOKUP(A1496,Consolidado!$B$1:$L$1500,2,FALSE),"")</f>
        <v/>
      </c>
      <c r="C1496" s="16">
        <f>IFERROR(SUMIF(Consolidado!$B$1:$B$1500,VLOOKUP(RegistroPago!A1496,Consolidado!$B$1:$L$1500,1,FALSE),Consolidado!$G$1:$G$1500),"")</f>
        <v>0</v>
      </c>
      <c r="D1496" s="3"/>
      <c r="E1496" s="3"/>
      <c r="F1496" s="5" t="str">
        <f t="shared" si="95"/>
        <v/>
      </c>
      <c r="G1496" s="16" t="str">
        <f>IF(D1496&lt;&gt;"",D1496-VLOOKUP(A1496,Consolidado!$B$1:$L$1500,8,FALSE),"")</f>
        <v/>
      </c>
      <c r="H1496" s="31"/>
      <c r="I1496" s="32">
        <f t="shared" si="92"/>
        <v>0</v>
      </c>
      <c r="J1496" s="33" t="str">
        <f t="shared" si="93"/>
        <v/>
      </c>
      <c r="K1496" s="2"/>
      <c r="L1496" s="15"/>
      <c r="M1496" s="34">
        <f t="shared" si="94"/>
        <v>0</v>
      </c>
    </row>
    <row r="1497" spans="1:13" x14ac:dyDescent="0.25">
      <c r="A1497" s="31"/>
      <c r="B1497" s="16" t="str">
        <f>IFERROR(VLOOKUP(A1497,Consolidado!$B$1:$L$1500,2,FALSE),"")</f>
        <v/>
      </c>
      <c r="C1497" s="16">
        <f>IFERROR(SUMIF(Consolidado!$B$1:$B$1500,VLOOKUP(RegistroPago!A1497,Consolidado!$B$1:$L$1500,1,FALSE),Consolidado!$G$1:$G$1500),"")</f>
        <v>0</v>
      </c>
      <c r="D1497" s="3"/>
      <c r="E1497" s="3"/>
      <c r="F1497" s="5" t="str">
        <f t="shared" si="95"/>
        <v/>
      </c>
      <c r="G1497" s="16" t="str">
        <f>IF(D1497&lt;&gt;"",D1497-VLOOKUP(A1497,Consolidado!$B$1:$L$1500,8,FALSE),"")</f>
        <v/>
      </c>
      <c r="H1497" s="31"/>
      <c r="I1497" s="32">
        <f t="shared" si="92"/>
        <v>0</v>
      </c>
      <c r="J1497" s="33" t="str">
        <f t="shared" si="93"/>
        <v/>
      </c>
      <c r="K1497" s="2"/>
      <c r="L1497" s="15"/>
      <c r="M1497" s="34">
        <f t="shared" si="94"/>
        <v>0</v>
      </c>
    </row>
    <row r="1498" spans="1:13" x14ac:dyDescent="0.25">
      <c r="A1498" s="31"/>
      <c r="B1498" s="16" t="str">
        <f>IFERROR(VLOOKUP(A1498,Consolidado!$B$1:$L$1500,2,FALSE),"")</f>
        <v/>
      </c>
      <c r="C1498" s="16">
        <f>IFERROR(SUMIF(Consolidado!$B$1:$B$1500,VLOOKUP(RegistroPago!A1498,Consolidado!$B$1:$L$1500,1,FALSE),Consolidado!$G$1:$G$1500),"")</f>
        <v>0</v>
      </c>
      <c r="D1498" s="3"/>
      <c r="E1498" s="3"/>
      <c r="F1498" s="5" t="str">
        <f t="shared" si="95"/>
        <v/>
      </c>
      <c r="G1498" s="16" t="str">
        <f>IF(D1498&lt;&gt;"",D1498-VLOOKUP(A1498,Consolidado!$B$1:$L$1500,8,FALSE),"")</f>
        <v/>
      </c>
      <c r="H1498" s="31"/>
      <c r="I1498" s="32">
        <f t="shared" si="92"/>
        <v>0</v>
      </c>
      <c r="J1498" s="33" t="str">
        <f t="shared" si="93"/>
        <v/>
      </c>
      <c r="K1498" s="2"/>
      <c r="L1498" s="15"/>
      <c r="M1498" s="34">
        <f t="shared" si="94"/>
        <v>0</v>
      </c>
    </row>
    <row r="1499" spans="1:13" x14ac:dyDescent="0.25">
      <c r="A1499" s="31"/>
      <c r="B1499" s="16" t="str">
        <f>IFERROR(VLOOKUP(A1499,Consolidado!$B$1:$L$1500,2,FALSE),"")</f>
        <v/>
      </c>
      <c r="C1499" s="16">
        <f>IFERROR(SUMIF(Consolidado!$B$1:$B$1500,VLOOKUP(RegistroPago!A1499,Consolidado!$B$1:$L$1500,1,FALSE),Consolidado!$G$1:$G$1500),"")</f>
        <v>0</v>
      </c>
      <c r="D1499" s="3"/>
      <c r="E1499" s="3"/>
      <c r="F1499" s="5" t="str">
        <f t="shared" si="95"/>
        <v/>
      </c>
      <c r="G1499" s="16" t="str">
        <f>IF(D1499&lt;&gt;"",D1499-VLOOKUP(A1499,Consolidado!$B$1:$L$1500,8,FALSE),"")</f>
        <v/>
      </c>
      <c r="H1499" s="31"/>
      <c r="I1499" s="32">
        <f t="shared" si="92"/>
        <v>0</v>
      </c>
      <c r="J1499" s="33" t="str">
        <f t="shared" si="93"/>
        <v/>
      </c>
      <c r="K1499" s="2"/>
      <c r="L1499" s="15"/>
      <c r="M1499" s="34">
        <f t="shared" si="94"/>
        <v>0</v>
      </c>
    </row>
    <row r="1500" spans="1:13" x14ac:dyDescent="0.25">
      <c r="A1500" s="31"/>
      <c r="B1500" s="16" t="str">
        <f>IFERROR(VLOOKUP(A1500,Consolidado!$B$1:$L$1500,2,FALSE),"")</f>
        <v/>
      </c>
      <c r="C1500" s="16">
        <f>IFERROR(SUMIF(Consolidado!$B$1:$B$1500,VLOOKUP(RegistroPago!A1500,Consolidado!$B$1:$L$1500,1,FALSE),Consolidado!$G$1:$G$1500),"")</f>
        <v>0</v>
      </c>
      <c r="D1500" s="3"/>
      <c r="E1500" s="3"/>
      <c r="F1500" s="5" t="str">
        <f t="shared" si="95"/>
        <v/>
      </c>
      <c r="G1500" s="16" t="str">
        <f>IF(D1500&lt;&gt;"",D1500-VLOOKUP(A1500,Consolidado!$B$1:$L$1500,8,FALSE),"")</f>
        <v/>
      </c>
      <c r="H1500" s="31"/>
      <c r="I1500" s="32">
        <f t="shared" si="92"/>
        <v>0</v>
      </c>
      <c r="J1500" s="33" t="str">
        <f t="shared" si="93"/>
        <v/>
      </c>
      <c r="K1500" s="2"/>
      <c r="L1500" s="15"/>
      <c r="M1500" s="34">
        <f t="shared" si="94"/>
        <v>0</v>
      </c>
    </row>
    <row r="1501" spans="1:13" x14ac:dyDescent="0.25">
      <c r="A1501" s="31"/>
      <c r="B1501" s="16" t="str">
        <f>IFERROR(VLOOKUP(A1501,Consolidado!$B$1:$L$1500,2,FALSE),"")</f>
        <v/>
      </c>
      <c r="C1501" s="16">
        <f>IFERROR(SUMIF(Consolidado!$B$1:$B$1500,VLOOKUP(RegistroPago!A1501,Consolidado!$B$1:$L$1500,1,FALSE),Consolidado!$G$1:$G$1500),"")</f>
        <v>0</v>
      </c>
      <c r="D1501" s="3"/>
      <c r="E1501" s="3"/>
      <c r="F1501" s="5" t="str">
        <f t="shared" si="95"/>
        <v/>
      </c>
      <c r="G1501" s="16" t="str">
        <f>IF(D1501&lt;&gt;"",D1501-VLOOKUP(A1501,Consolidado!$B$1:$L$1500,8,FALSE),"")</f>
        <v/>
      </c>
      <c r="H1501" s="31"/>
      <c r="I1501" s="32">
        <f t="shared" si="92"/>
        <v>0</v>
      </c>
      <c r="J1501" s="33" t="str">
        <f t="shared" si="93"/>
        <v/>
      </c>
      <c r="K1501" s="2"/>
      <c r="L1501" s="15"/>
      <c r="M1501" s="34">
        <f t="shared" si="94"/>
        <v>0</v>
      </c>
    </row>
    <row r="1502" spans="1:13" x14ac:dyDescent="0.25">
      <c r="A1502" s="31"/>
      <c r="B1502" s="16" t="str">
        <f>IFERROR(VLOOKUP(A1502,Consolidado!$B$1:$L$1500,2,FALSE),"")</f>
        <v/>
      </c>
      <c r="C1502" s="16">
        <f>IFERROR(SUMIF(Consolidado!$B$1:$B$1500,VLOOKUP(RegistroPago!A1502,Consolidado!$B$1:$L$1500,1,FALSE),Consolidado!$G$1:$G$1500),"")</f>
        <v>0</v>
      </c>
      <c r="D1502" s="3"/>
      <c r="E1502" s="3"/>
      <c r="F1502" s="5" t="str">
        <f t="shared" si="95"/>
        <v/>
      </c>
      <c r="G1502" s="16" t="str">
        <f>IF(D1502&lt;&gt;"",D1502-VLOOKUP(A1502,Consolidado!$B$1:$L$1500,8,FALSE),"")</f>
        <v/>
      </c>
      <c r="H1502" s="31"/>
      <c r="I1502" s="32">
        <f t="shared" si="92"/>
        <v>0</v>
      </c>
      <c r="J1502" s="33" t="str">
        <f t="shared" si="93"/>
        <v/>
      </c>
      <c r="K1502" s="2"/>
      <c r="L1502" s="15"/>
      <c r="M1502" s="34">
        <f t="shared" si="94"/>
        <v>0</v>
      </c>
    </row>
    <row r="1503" spans="1:13" x14ac:dyDescent="0.25">
      <c r="A1503" s="31"/>
      <c r="B1503" s="16" t="str">
        <f>IFERROR(VLOOKUP(A1503,Consolidado!$B$1:$L$1500,2,FALSE),"")</f>
        <v/>
      </c>
      <c r="C1503" s="16">
        <f>IFERROR(SUMIF(Consolidado!$B$1:$B$1500,VLOOKUP(RegistroPago!A1503,Consolidado!$B$1:$L$1500,1,FALSE),Consolidado!$G$1:$G$1500),"")</f>
        <v>0</v>
      </c>
      <c r="D1503" s="3"/>
      <c r="E1503" s="3"/>
      <c r="F1503" s="5" t="str">
        <f t="shared" si="95"/>
        <v/>
      </c>
      <c r="G1503" s="16" t="str">
        <f>IF(D1503&lt;&gt;"",D1503-VLOOKUP(A1503,Consolidado!$B$1:$L$1500,8,FALSE),"")</f>
        <v/>
      </c>
      <c r="H1503" s="31"/>
      <c r="I1503" s="32">
        <f t="shared" si="92"/>
        <v>0</v>
      </c>
      <c r="J1503" s="33" t="str">
        <f t="shared" si="93"/>
        <v/>
      </c>
      <c r="K1503" s="2"/>
      <c r="L1503" s="15"/>
      <c r="M1503" s="34">
        <f t="shared" si="94"/>
        <v>0</v>
      </c>
    </row>
    <row r="1504" spans="1:13" x14ac:dyDescent="0.25">
      <c r="A1504" s="31"/>
      <c r="B1504" s="16" t="str">
        <f>IFERROR(VLOOKUP(A1504,Consolidado!$B$1:$L$1500,2,FALSE),"")</f>
        <v/>
      </c>
      <c r="C1504" s="16">
        <f>IFERROR(SUMIF(Consolidado!$B$1:$B$1500,VLOOKUP(RegistroPago!A1504,Consolidado!$B$1:$L$1500,1,FALSE),Consolidado!$G$1:$G$1500),"")</f>
        <v>0</v>
      </c>
      <c r="D1504" s="3"/>
      <c r="E1504" s="3"/>
      <c r="F1504" s="5" t="str">
        <f t="shared" si="95"/>
        <v/>
      </c>
      <c r="G1504" s="16" t="str">
        <f>IF(D1504&lt;&gt;"",D1504-VLOOKUP(A1504,Consolidado!$B$1:$L$1500,8,FALSE),"")</f>
        <v/>
      </c>
      <c r="H1504" s="31"/>
      <c r="I1504" s="32">
        <f t="shared" si="92"/>
        <v>0</v>
      </c>
      <c r="J1504" s="33" t="str">
        <f t="shared" si="93"/>
        <v/>
      </c>
      <c r="K1504" s="2"/>
      <c r="L1504" s="15"/>
      <c r="M1504" s="34">
        <f t="shared" si="94"/>
        <v>0</v>
      </c>
    </row>
    <row r="1505" spans="1:13" x14ac:dyDescent="0.25">
      <c r="A1505" s="31"/>
      <c r="B1505" s="16" t="str">
        <f>IFERROR(VLOOKUP(A1505,Consolidado!$B$1:$L$1500,2,FALSE),"")</f>
        <v/>
      </c>
      <c r="C1505" s="16">
        <f>IFERROR(SUMIF(Consolidado!$B$1:$B$1500,VLOOKUP(RegistroPago!A1505,Consolidado!$B$1:$L$1500,1,FALSE),Consolidado!$G$1:$G$1500),"")</f>
        <v>0</v>
      </c>
      <c r="D1505" s="3"/>
      <c r="E1505" s="3"/>
      <c r="F1505" s="5" t="str">
        <f t="shared" si="95"/>
        <v/>
      </c>
      <c r="G1505" s="16" t="str">
        <f>IF(D1505&lt;&gt;"",D1505-VLOOKUP(A1505,Consolidado!$B$1:$L$1500,8,FALSE),"")</f>
        <v/>
      </c>
      <c r="H1505" s="31"/>
      <c r="I1505" s="32">
        <f t="shared" si="92"/>
        <v>0</v>
      </c>
      <c r="J1505" s="33" t="str">
        <f t="shared" si="93"/>
        <v/>
      </c>
      <c r="K1505" s="2"/>
      <c r="L1505" s="15"/>
      <c r="M1505" s="34">
        <f t="shared" si="94"/>
        <v>0</v>
      </c>
    </row>
    <row r="1506" spans="1:13" x14ac:dyDescent="0.25">
      <c r="A1506" s="31"/>
      <c r="B1506" s="16" t="str">
        <f>IFERROR(VLOOKUP(A1506,Consolidado!$B$1:$L$1500,2,FALSE),"")</f>
        <v/>
      </c>
      <c r="C1506" s="16">
        <f>IFERROR(SUMIF(Consolidado!$B$1:$B$1500,VLOOKUP(RegistroPago!A1506,Consolidado!$B$1:$L$1500,1,FALSE),Consolidado!$G$1:$G$1500),"")</f>
        <v>0</v>
      </c>
      <c r="D1506" s="3"/>
      <c r="E1506" s="3"/>
      <c r="F1506" s="5" t="str">
        <f t="shared" si="95"/>
        <v/>
      </c>
      <c r="G1506" s="16" t="str">
        <f>IF(D1506&lt;&gt;"",D1506-VLOOKUP(A1506,Consolidado!$B$1:$L$1500,8,FALSE),"")</f>
        <v/>
      </c>
      <c r="H1506" s="31"/>
      <c r="I1506" s="32">
        <f t="shared" si="92"/>
        <v>0</v>
      </c>
      <c r="J1506" s="33" t="str">
        <f t="shared" si="93"/>
        <v/>
      </c>
      <c r="K1506" s="2"/>
      <c r="L1506" s="15"/>
      <c r="M1506" s="34">
        <f t="shared" si="94"/>
        <v>0</v>
      </c>
    </row>
    <row r="1507" spans="1:13" x14ac:dyDescent="0.25">
      <c r="A1507" s="31"/>
      <c r="B1507" s="16" t="str">
        <f>IFERROR(VLOOKUP(A1507,Consolidado!$B$1:$L$1500,2,FALSE),"")</f>
        <v/>
      </c>
      <c r="C1507" s="16">
        <f>IFERROR(SUMIF(Consolidado!$B$1:$B$1500,VLOOKUP(RegistroPago!A1507,Consolidado!$B$1:$L$1500,1,FALSE),Consolidado!$G$1:$G$1500),"")</f>
        <v>0</v>
      </c>
      <c r="D1507" s="3"/>
      <c r="E1507" s="3"/>
      <c r="F1507" s="5" t="str">
        <f t="shared" si="95"/>
        <v/>
      </c>
      <c r="G1507" s="16" t="str">
        <f>IF(D1507&lt;&gt;"",D1507-VLOOKUP(A1507,Consolidado!$B$1:$L$1500,8,FALSE),"")</f>
        <v/>
      </c>
      <c r="H1507" s="31"/>
      <c r="I1507" s="32">
        <f t="shared" si="92"/>
        <v>0</v>
      </c>
      <c r="J1507" s="33" t="str">
        <f t="shared" si="93"/>
        <v/>
      </c>
      <c r="K1507" s="2"/>
      <c r="L1507" s="15"/>
      <c r="M1507" s="34">
        <f t="shared" si="94"/>
        <v>0</v>
      </c>
    </row>
    <row r="1508" spans="1:13" x14ac:dyDescent="0.25">
      <c r="A1508" s="31"/>
      <c r="B1508" s="16" t="str">
        <f>IFERROR(VLOOKUP(A1508,Consolidado!$B$1:$L$1500,2,FALSE),"")</f>
        <v/>
      </c>
      <c r="C1508" s="16">
        <f>IFERROR(SUMIF(Consolidado!$B$1:$B$1500,VLOOKUP(RegistroPago!A1508,Consolidado!$B$1:$L$1500,1,FALSE),Consolidado!$G$1:$G$1500),"")</f>
        <v>0</v>
      </c>
      <c r="D1508" s="3"/>
      <c r="E1508" s="3"/>
      <c r="F1508" s="5" t="str">
        <f t="shared" si="95"/>
        <v/>
      </c>
      <c r="G1508" s="16" t="str">
        <f>IF(D1508&lt;&gt;"",D1508-VLOOKUP(A1508,Consolidado!$B$1:$L$1500,8,FALSE),"")</f>
        <v/>
      </c>
      <c r="H1508" s="31"/>
      <c r="I1508" s="32">
        <f t="shared" si="92"/>
        <v>0</v>
      </c>
      <c r="J1508" s="33" t="str">
        <f t="shared" si="93"/>
        <v/>
      </c>
      <c r="K1508" s="2"/>
      <c r="L1508" s="15"/>
      <c r="M1508" s="34">
        <f t="shared" si="94"/>
        <v>0</v>
      </c>
    </row>
    <row r="1509" spans="1:13" x14ac:dyDescent="0.25">
      <c r="A1509" s="31"/>
      <c r="B1509" s="16" t="str">
        <f>IFERROR(VLOOKUP(A1509,Consolidado!$B$1:$L$1500,2,FALSE),"")</f>
        <v/>
      </c>
      <c r="C1509" s="16">
        <f>IFERROR(SUMIF(Consolidado!$B$1:$B$1500,VLOOKUP(RegistroPago!A1509,Consolidado!$B$1:$L$1500,1,FALSE),Consolidado!$G$1:$G$1500),"")</f>
        <v>0</v>
      </c>
      <c r="D1509" s="3"/>
      <c r="E1509" s="3"/>
      <c r="F1509" s="5" t="str">
        <f t="shared" si="95"/>
        <v/>
      </c>
      <c r="G1509" s="16" t="str">
        <f>IF(D1509&lt;&gt;"",D1509-VLOOKUP(A1509,Consolidado!$B$1:$L$1500,8,FALSE),"")</f>
        <v/>
      </c>
      <c r="H1509" s="31"/>
      <c r="I1509" s="32">
        <f t="shared" si="92"/>
        <v>0</v>
      </c>
      <c r="J1509" s="33" t="str">
        <f t="shared" si="93"/>
        <v/>
      </c>
      <c r="K1509" s="2"/>
      <c r="L1509" s="15"/>
      <c r="M1509" s="34">
        <f t="shared" si="94"/>
        <v>0</v>
      </c>
    </row>
    <row r="1510" spans="1:13" x14ac:dyDescent="0.25">
      <c r="A1510" s="31"/>
      <c r="B1510" s="16" t="str">
        <f>IFERROR(VLOOKUP(A1510,Consolidado!$B$1:$L$1500,2,FALSE),"")</f>
        <v/>
      </c>
      <c r="C1510" s="16">
        <f>IFERROR(SUMIF(Consolidado!$B$1:$B$1500,VLOOKUP(RegistroPago!A1510,Consolidado!$B$1:$L$1500,1,FALSE),Consolidado!$G$1:$G$1500),"")</f>
        <v>0</v>
      </c>
      <c r="D1510" s="3"/>
      <c r="E1510" s="3"/>
      <c r="F1510" s="5" t="str">
        <f t="shared" si="95"/>
        <v/>
      </c>
      <c r="G1510" s="16" t="str">
        <f>IF(D1510&lt;&gt;"",D1510-VLOOKUP(A1510,Consolidado!$B$1:$L$1500,8,FALSE),"")</f>
        <v/>
      </c>
      <c r="H1510" s="31"/>
      <c r="I1510" s="32">
        <f t="shared" si="92"/>
        <v>0</v>
      </c>
      <c r="J1510" s="33" t="str">
        <f t="shared" si="93"/>
        <v/>
      </c>
      <c r="K1510" s="2"/>
      <c r="L1510" s="15"/>
      <c r="M1510" s="34">
        <f t="shared" si="94"/>
        <v>0</v>
      </c>
    </row>
    <row r="1511" spans="1:13" x14ac:dyDescent="0.25">
      <c r="A1511" s="31"/>
      <c r="B1511" s="16" t="str">
        <f>IFERROR(VLOOKUP(A1511,Consolidado!$B$1:$L$1500,2,FALSE),"")</f>
        <v/>
      </c>
      <c r="C1511" s="16">
        <f>IFERROR(SUMIF(Consolidado!$B$1:$B$1500,VLOOKUP(RegistroPago!A1511,Consolidado!$B$1:$L$1500,1,FALSE),Consolidado!$G$1:$G$1500),"")</f>
        <v>0</v>
      </c>
      <c r="D1511" s="3"/>
      <c r="E1511" s="3"/>
      <c r="F1511" s="5" t="str">
        <f t="shared" si="95"/>
        <v/>
      </c>
      <c r="G1511" s="16" t="str">
        <f>IF(D1511&lt;&gt;"",D1511-VLOOKUP(A1511,Consolidado!$B$1:$L$1500,8,FALSE),"")</f>
        <v/>
      </c>
      <c r="H1511" s="31"/>
      <c r="I1511" s="32">
        <f t="shared" si="92"/>
        <v>0</v>
      </c>
      <c r="J1511" s="33" t="str">
        <f t="shared" si="93"/>
        <v/>
      </c>
      <c r="K1511" s="2"/>
      <c r="L1511" s="15"/>
      <c r="M1511" s="34">
        <f t="shared" si="94"/>
        <v>0</v>
      </c>
    </row>
    <row r="1512" spans="1:13" x14ac:dyDescent="0.25">
      <c r="A1512" s="31"/>
      <c r="B1512" s="16" t="str">
        <f>IFERROR(VLOOKUP(A1512,Consolidado!$B$1:$L$1500,2,FALSE),"")</f>
        <v/>
      </c>
      <c r="C1512" s="16">
        <f>IFERROR(SUMIF(Consolidado!$B$1:$B$1500,VLOOKUP(RegistroPago!A1512,Consolidado!$B$1:$L$1500,1,FALSE),Consolidado!$G$1:$G$1500),"")</f>
        <v>0</v>
      </c>
      <c r="D1512" s="3"/>
      <c r="E1512" s="3"/>
      <c r="F1512" s="5" t="str">
        <f t="shared" si="95"/>
        <v/>
      </c>
      <c r="G1512" s="16" t="str">
        <f>IF(D1512&lt;&gt;"",D1512-VLOOKUP(A1512,Consolidado!$B$1:$L$1500,8,FALSE),"")</f>
        <v/>
      </c>
      <c r="H1512" s="31"/>
      <c r="I1512" s="32">
        <f t="shared" si="92"/>
        <v>0</v>
      </c>
      <c r="J1512" s="33" t="str">
        <f t="shared" si="93"/>
        <v/>
      </c>
      <c r="K1512" s="2"/>
      <c r="L1512" s="15"/>
      <c r="M1512" s="34">
        <f t="shared" si="94"/>
        <v>0</v>
      </c>
    </row>
    <row r="1513" spans="1:13" x14ac:dyDescent="0.25">
      <c r="A1513" s="31"/>
      <c r="B1513" s="16" t="str">
        <f>IFERROR(VLOOKUP(A1513,Consolidado!$B$1:$L$1500,2,FALSE),"")</f>
        <v/>
      </c>
      <c r="C1513" s="16">
        <f>IFERROR(SUMIF(Consolidado!$B$1:$B$1500,VLOOKUP(RegistroPago!A1513,Consolidado!$B$1:$L$1500,1,FALSE),Consolidado!$G$1:$G$1500),"")</f>
        <v>0</v>
      </c>
      <c r="D1513" s="3"/>
      <c r="E1513" s="3"/>
      <c r="F1513" s="5" t="str">
        <f t="shared" si="95"/>
        <v/>
      </c>
      <c r="G1513" s="16" t="str">
        <f>IF(D1513&lt;&gt;"",D1513-VLOOKUP(A1513,Consolidado!$B$1:$L$1500,8,FALSE),"")</f>
        <v/>
      </c>
      <c r="H1513" s="31"/>
      <c r="I1513" s="32">
        <f t="shared" ref="I1513:I1576" si="96">IFERROR(SUMIF($E$1:$E$2000,H1513,$C$1:$C$2000)-SUMIF($E$1:$E$2000,H1513,$F$1:$F$2000),"")</f>
        <v>0</v>
      </c>
      <c r="J1513" s="33" t="str">
        <f t="shared" ref="J1513:J1576" si="97">IFERROR(I1513/SUMIF($E$1:$E$2000,H1513,$C$1:$C$2000),"")</f>
        <v/>
      </c>
      <c r="K1513" s="2"/>
      <c r="L1513" s="15"/>
      <c r="M1513" s="34">
        <f t="shared" ref="M1513:M1576" si="98">IFERROR(L1513*SUMIF($E$1:$E$2000,H1513,$F$1:$F$2000),"")</f>
        <v>0</v>
      </c>
    </row>
    <row r="1514" spans="1:13" x14ac:dyDescent="0.25">
      <c r="A1514" s="31"/>
      <c r="B1514" s="16" t="str">
        <f>IFERROR(VLOOKUP(A1514,Consolidado!$B$1:$L$1500,2,FALSE),"")</f>
        <v/>
      </c>
      <c r="C1514" s="16">
        <f>IFERROR(SUMIF(Consolidado!$B$1:$B$1500,VLOOKUP(RegistroPago!A1514,Consolidado!$B$1:$L$1500,1,FALSE),Consolidado!$G$1:$G$1500),"")</f>
        <v>0</v>
      </c>
      <c r="D1514" s="3"/>
      <c r="E1514" s="3"/>
      <c r="F1514" s="5" t="str">
        <f t="shared" si="95"/>
        <v/>
      </c>
      <c r="G1514" s="16" t="str">
        <f>IF(D1514&lt;&gt;"",D1514-VLOOKUP(A1514,Consolidado!$B$1:$L$1500,8,FALSE),"")</f>
        <v/>
      </c>
      <c r="H1514" s="31"/>
      <c r="I1514" s="32">
        <f t="shared" si="96"/>
        <v>0</v>
      </c>
      <c r="J1514" s="33" t="str">
        <f t="shared" si="97"/>
        <v/>
      </c>
      <c r="K1514" s="2"/>
      <c r="L1514" s="15"/>
      <c r="M1514" s="34">
        <f t="shared" si="98"/>
        <v>0</v>
      </c>
    </row>
    <row r="1515" spans="1:13" x14ac:dyDescent="0.25">
      <c r="A1515" s="31"/>
      <c r="B1515" s="16" t="str">
        <f>IFERROR(VLOOKUP(A1515,Consolidado!$B$1:$L$1500,2,FALSE),"")</f>
        <v/>
      </c>
      <c r="C1515" s="16">
        <f>IFERROR(SUMIF(Consolidado!$B$1:$B$1500,VLOOKUP(RegistroPago!A1515,Consolidado!$B$1:$L$1500,1,FALSE),Consolidado!$G$1:$G$1500),"")</f>
        <v>0</v>
      </c>
      <c r="D1515" s="3"/>
      <c r="E1515" s="3"/>
      <c r="F1515" s="5" t="str">
        <f t="shared" si="95"/>
        <v/>
      </c>
      <c r="G1515" s="16" t="str">
        <f>IF(D1515&lt;&gt;"",D1515-VLOOKUP(A1515,Consolidado!$B$1:$L$1500,8,FALSE),"")</f>
        <v/>
      </c>
      <c r="H1515" s="31"/>
      <c r="I1515" s="32">
        <f t="shared" si="96"/>
        <v>0</v>
      </c>
      <c r="J1515" s="33" t="str">
        <f t="shared" si="97"/>
        <v/>
      </c>
      <c r="K1515" s="2"/>
      <c r="L1515" s="15"/>
      <c r="M1515" s="34">
        <f t="shared" si="98"/>
        <v>0</v>
      </c>
    </row>
    <row r="1516" spans="1:13" x14ac:dyDescent="0.25">
      <c r="A1516" s="31"/>
      <c r="B1516" s="16" t="str">
        <f>IFERROR(VLOOKUP(A1516,Consolidado!$B$1:$L$1500,2,FALSE),"")</f>
        <v/>
      </c>
      <c r="C1516" s="16">
        <f>IFERROR(SUMIF(Consolidado!$B$1:$B$1500,VLOOKUP(RegistroPago!A1516,Consolidado!$B$1:$L$1500,1,FALSE),Consolidado!$G$1:$G$1500),"")</f>
        <v>0</v>
      </c>
      <c r="D1516" s="3"/>
      <c r="E1516" s="3"/>
      <c r="F1516" s="5" t="str">
        <f t="shared" si="95"/>
        <v/>
      </c>
      <c r="G1516" s="16" t="str">
        <f>IF(D1516&lt;&gt;"",D1516-VLOOKUP(A1516,Consolidado!$B$1:$L$1500,8,FALSE),"")</f>
        <v/>
      </c>
      <c r="H1516" s="31"/>
      <c r="I1516" s="32">
        <f t="shared" si="96"/>
        <v>0</v>
      </c>
      <c r="J1516" s="33" t="str">
        <f t="shared" si="97"/>
        <v/>
      </c>
      <c r="K1516" s="2"/>
      <c r="L1516" s="15"/>
      <c r="M1516" s="34">
        <f t="shared" si="98"/>
        <v>0</v>
      </c>
    </row>
    <row r="1517" spans="1:13" x14ac:dyDescent="0.25">
      <c r="A1517" s="31"/>
      <c r="B1517" s="16" t="str">
        <f>IFERROR(VLOOKUP(A1517,Consolidado!$B$1:$L$1500,2,FALSE),"")</f>
        <v/>
      </c>
      <c r="C1517" s="16">
        <f>IFERROR(SUMIF(Consolidado!$B$1:$B$1500,VLOOKUP(RegistroPago!A1517,Consolidado!$B$1:$L$1500,1,FALSE),Consolidado!$G$1:$G$1500),"")</f>
        <v>0</v>
      </c>
      <c r="D1517" s="3"/>
      <c r="E1517" s="3"/>
      <c r="F1517" s="5" t="str">
        <f t="shared" si="95"/>
        <v/>
      </c>
      <c r="G1517" s="16" t="str">
        <f>IF(D1517&lt;&gt;"",D1517-VLOOKUP(A1517,Consolidado!$B$1:$L$1500,8,FALSE),"")</f>
        <v/>
      </c>
      <c r="H1517" s="31"/>
      <c r="I1517" s="32">
        <f t="shared" si="96"/>
        <v>0</v>
      </c>
      <c r="J1517" s="33" t="str">
        <f t="shared" si="97"/>
        <v/>
      </c>
      <c r="K1517" s="2"/>
      <c r="L1517" s="15"/>
      <c r="M1517" s="34">
        <f t="shared" si="98"/>
        <v>0</v>
      </c>
    </row>
    <row r="1518" spans="1:13" x14ac:dyDescent="0.25">
      <c r="A1518" s="31"/>
      <c r="B1518" s="16" t="str">
        <f>IFERROR(VLOOKUP(A1518,Consolidado!$B$1:$L$1500,2,FALSE),"")</f>
        <v/>
      </c>
      <c r="C1518" s="16">
        <f>IFERROR(SUMIF(Consolidado!$B$1:$B$1500,VLOOKUP(RegistroPago!A1518,Consolidado!$B$1:$L$1500,1,FALSE),Consolidado!$G$1:$G$1500),"")</f>
        <v>0</v>
      </c>
      <c r="D1518" s="3"/>
      <c r="E1518" s="3"/>
      <c r="F1518" s="5" t="str">
        <f t="shared" si="95"/>
        <v/>
      </c>
      <c r="G1518" s="16" t="str">
        <f>IF(D1518&lt;&gt;"",D1518-VLOOKUP(A1518,Consolidado!$B$1:$L$1500,8,FALSE),"")</f>
        <v/>
      </c>
      <c r="H1518" s="31"/>
      <c r="I1518" s="32">
        <f t="shared" si="96"/>
        <v>0</v>
      </c>
      <c r="J1518" s="33" t="str">
        <f t="shared" si="97"/>
        <v/>
      </c>
      <c r="K1518" s="2"/>
      <c r="L1518" s="15"/>
      <c r="M1518" s="34">
        <f t="shared" si="98"/>
        <v>0</v>
      </c>
    </row>
    <row r="1519" spans="1:13" x14ac:dyDescent="0.25">
      <c r="A1519" s="31"/>
      <c r="B1519" s="16" t="str">
        <f>IFERROR(VLOOKUP(A1519,Consolidado!$B$1:$L$1500,2,FALSE),"")</f>
        <v/>
      </c>
      <c r="C1519" s="16">
        <f>IFERROR(SUMIF(Consolidado!$B$1:$B$1500,VLOOKUP(RegistroPago!A1519,Consolidado!$B$1:$L$1500,1,FALSE),Consolidado!$G$1:$G$1500),"")</f>
        <v>0</v>
      </c>
      <c r="D1519" s="3"/>
      <c r="E1519" s="3"/>
      <c r="F1519" s="5" t="str">
        <f t="shared" si="95"/>
        <v/>
      </c>
      <c r="G1519" s="16" t="str">
        <f>IF(D1519&lt;&gt;"",D1519-VLOOKUP(A1519,Consolidado!$B$1:$L$1500,8,FALSE),"")</f>
        <v/>
      </c>
      <c r="H1519" s="31"/>
      <c r="I1519" s="32">
        <f t="shared" si="96"/>
        <v>0</v>
      </c>
      <c r="J1519" s="33" t="str">
        <f t="shared" si="97"/>
        <v/>
      </c>
      <c r="K1519" s="2"/>
      <c r="L1519" s="15"/>
      <c r="M1519" s="34">
        <f t="shared" si="98"/>
        <v>0</v>
      </c>
    </row>
    <row r="1520" spans="1:13" x14ac:dyDescent="0.25">
      <c r="A1520" s="31"/>
      <c r="B1520" s="16" t="str">
        <f>IFERROR(VLOOKUP(A1520,Consolidado!$B$1:$L$1500,2,FALSE),"")</f>
        <v/>
      </c>
      <c r="C1520" s="16">
        <f>IFERROR(SUMIF(Consolidado!$B$1:$B$1500,VLOOKUP(RegistroPago!A1520,Consolidado!$B$1:$L$1500,1,FALSE),Consolidado!$G$1:$G$1500),"")</f>
        <v>0</v>
      </c>
      <c r="D1520" s="3"/>
      <c r="E1520" s="3"/>
      <c r="F1520" s="5" t="str">
        <f t="shared" si="95"/>
        <v/>
      </c>
      <c r="G1520" s="16" t="str">
        <f>IF(D1520&lt;&gt;"",D1520-VLOOKUP(A1520,Consolidado!$B$1:$L$1500,8,FALSE),"")</f>
        <v/>
      </c>
      <c r="H1520" s="31"/>
      <c r="I1520" s="32">
        <f t="shared" si="96"/>
        <v>0</v>
      </c>
      <c r="J1520" s="33" t="str">
        <f t="shared" si="97"/>
        <v/>
      </c>
      <c r="K1520" s="2"/>
      <c r="L1520" s="15"/>
      <c r="M1520" s="34">
        <f t="shared" si="98"/>
        <v>0</v>
      </c>
    </row>
    <row r="1521" spans="1:13" x14ac:dyDescent="0.25">
      <c r="A1521" s="31"/>
      <c r="B1521" s="16" t="str">
        <f>IFERROR(VLOOKUP(A1521,Consolidado!$B$1:$L$1500,2,FALSE),"")</f>
        <v/>
      </c>
      <c r="C1521" s="16">
        <f>IFERROR(SUMIF(Consolidado!$B$1:$B$1500,VLOOKUP(RegistroPago!A1521,Consolidado!$B$1:$L$1500,1,FALSE),Consolidado!$G$1:$G$1500),"")</f>
        <v>0</v>
      </c>
      <c r="D1521" s="3"/>
      <c r="E1521" s="3"/>
      <c r="F1521" s="5" t="str">
        <f t="shared" si="95"/>
        <v/>
      </c>
      <c r="G1521" s="16" t="str">
        <f>IF(D1521&lt;&gt;"",D1521-VLOOKUP(A1521,Consolidado!$B$1:$L$1500,8,FALSE),"")</f>
        <v/>
      </c>
      <c r="H1521" s="31"/>
      <c r="I1521" s="32">
        <f t="shared" si="96"/>
        <v>0</v>
      </c>
      <c r="J1521" s="33" t="str">
        <f t="shared" si="97"/>
        <v/>
      </c>
      <c r="K1521" s="2"/>
      <c r="L1521" s="15"/>
      <c r="M1521" s="34">
        <f t="shared" si="98"/>
        <v>0</v>
      </c>
    </row>
    <row r="1522" spans="1:13" x14ac:dyDescent="0.25">
      <c r="A1522" s="31"/>
      <c r="B1522" s="16" t="str">
        <f>IFERROR(VLOOKUP(A1522,Consolidado!$B$1:$L$1500,2,FALSE),"")</f>
        <v/>
      </c>
      <c r="C1522" s="16">
        <f>IFERROR(SUMIF(Consolidado!$B$1:$B$1500,VLOOKUP(RegistroPago!A1522,Consolidado!$B$1:$L$1500,1,FALSE),Consolidado!$G$1:$G$1500),"")</f>
        <v>0</v>
      </c>
      <c r="D1522" s="3"/>
      <c r="E1522" s="3"/>
      <c r="F1522" s="5" t="str">
        <f t="shared" si="95"/>
        <v/>
      </c>
      <c r="G1522" s="16" t="str">
        <f>IF(D1522&lt;&gt;"",D1522-VLOOKUP(A1522,Consolidado!$B$1:$L$1500,8,FALSE),"")</f>
        <v/>
      </c>
      <c r="H1522" s="31"/>
      <c r="I1522" s="32">
        <f t="shared" si="96"/>
        <v>0</v>
      </c>
      <c r="J1522" s="33" t="str">
        <f t="shared" si="97"/>
        <v/>
      </c>
      <c r="K1522" s="2"/>
      <c r="L1522" s="15"/>
      <c r="M1522" s="34">
        <f t="shared" si="98"/>
        <v>0</v>
      </c>
    </row>
    <row r="1523" spans="1:13" x14ac:dyDescent="0.25">
      <c r="A1523" s="31"/>
      <c r="B1523" s="16" t="str">
        <f>IFERROR(VLOOKUP(A1523,Consolidado!$B$1:$L$1500,2,FALSE),"")</f>
        <v/>
      </c>
      <c r="C1523" s="16">
        <f>IFERROR(SUMIF(Consolidado!$B$1:$B$1500,VLOOKUP(RegistroPago!A1523,Consolidado!$B$1:$L$1500,1,FALSE),Consolidado!$G$1:$G$1500),"")</f>
        <v>0</v>
      </c>
      <c r="D1523" s="3"/>
      <c r="E1523" s="3"/>
      <c r="F1523" s="5" t="str">
        <f t="shared" si="95"/>
        <v/>
      </c>
      <c r="G1523" s="16" t="str">
        <f>IF(D1523&lt;&gt;"",D1523-VLOOKUP(A1523,Consolidado!$B$1:$L$1500,8,FALSE),"")</f>
        <v/>
      </c>
      <c r="H1523" s="31"/>
      <c r="I1523" s="32">
        <f t="shared" si="96"/>
        <v>0</v>
      </c>
      <c r="J1523" s="33" t="str">
        <f t="shared" si="97"/>
        <v/>
      </c>
      <c r="K1523" s="2"/>
      <c r="L1523" s="15"/>
      <c r="M1523" s="34">
        <f t="shared" si="98"/>
        <v>0</v>
      </c>
    </row>
    <row r="1524" spans="1:13" x14ac:dyDescent="0.25">
      <c r="A1524" s="31"/>
      <c r="B1524" s="16" t="str">
        <f>IFERROR(VLOOKUP(A1524,Consolidado!$B$1:$L$1500,2,FALSE),"")</f>
        <v/>
      </c>
      <c r="C1524" s="16">
        <f>IFERROR(SUMIF(Consolidado!$B$1:$B$1500,VLOOKUP(RegistroPago!A1524,Consolidado!$B$1:$L$1500,1,FALSE),Consolidado!$G$1:$G$1500),"")</f>
        <v>0</v>
      </c>
      <c r="D1524" s="3"/>
      <c r="E1524" s="3"/>
      <c r="F1524" s="5" t="str">
        <f t="shared" si="95"/>
        <v/>
      </c>
      <c r="G1524" s="16" t="str">
        <f>IF(D1524&lt;&gt;"",D1524-VLOOKUP(A1524,Consolidado!$B$1:$L$1500,8,FALSE),"")</f>
        <v/>
      </c>
      <c r="H1524" s="31"/>
      <c r="I1524" s="32">
        <f t="shared" si="96"/>
        <v>0</v>
      </c>
      <c r="J1524" s="33" t="str">
        <f t="shared" si="97"/>
        <v/>
      </c>
      <c r="K1524" s="2"/>
      <c r="L1524" s="15"/>
      <c r="M1524" s="34">
        <f t="shared" si="98"/>
        <v>0</v>
      </c>
    </row>
    <row r="1525" spans="1:13" x14ac:dyDescent="0.25">
      <c r="A1525" s="31"/>
      <c r="B1525" s="16" t="str">
        <f>IFERROR(VLOOKUP(A1525,Consolidado!$B$1:$L$1500,2,FALSE),"")</f>
        <v/>
      </c>
      <c r="C1525" s="16">
        <f>IFERROR(SUMIF(Consolidado!$B$1:$B$1500,VLOOKUP(RegistroPago!A1525,Consolidado!$B$1:$L$1500,1,FALSE),Consolidado!$G$1:$G$1500),"")</f>
        <v>0</v>
      </c>
      <c r="D1525" s="3"/>
      <c r="E1525" s="3"/>
      <c r="F1525" s="5" t="str">
        <f t="shared" si="95"/>
        <v/>
      </c>
      <c r="G1525" s="16" t="str">
        <f>IF(D1525&lt;&gt;"",D1525-VLOOKUP(A1525,Consolidado!$B$1:$L$1500,8,FALSE),"")</f>
        <v/>
      </c>
      <c r="H1525" s="31"/>
      <c r="I1525" s="32">
        <f t="shared" si="96"/>
        <v>0</v>
      </c>
      <c r="J1525" s="33" t="str">
        <f t="shared" si="97"/>
        <v/>
      </c>
      <c r="K1525" s="2"/>
      <c r="L1525" s="15"/>
      <c r="M1525" s="34">
        <f t="shared" si="98"/>
        <v>0</v>
      </c>
    </row>
    <row r="1526" spans="1:13" x14ac:dyDescent="0.25">
      <c r="A1526" s="31"/>
      <c r="B1526" s="16" t="str">
        <f>IFERROR(VLOOKUP(A1526,Consolidado!$B$1:$L$1500,2,FALSE),"")</f>
        <v/>
      </c>
      <c r="C1526" s="16">
        <f>IFERROR(SUMIF(Consolidado!$B$1:$B$1500,VLOOKUP(RegistroPago!A1526,Consolidado!$B$1:$L$1500,1,FALSE),Consolidado!$G$1:$G$1500),"")</f>
        <v>0</v>
      </c>
      <c r="D1526" s="3"/>
      <c r="E1526" s="3"/>
      <c r="F1526" s="5" t="str">
        <f t="shared" si="95"/>
        <v/>
      </c>
      <c r="G1526" s="16" t="str">
        <f>IF(D1526&lt;&gt;"",D1526-VLOOKUP(A1526,Consolidado!$B$1:$L$1500,8,FALSE),"")</f>
        <v/>
      </c>
      <c r="H1526" s="31"/>
      <c r="I1526" s="32">
        <f t="shared" si="96"/>
        <v>0</v>
      </c>
      <c r="J1526" s="33" t="str">
        <f t="shared" si="97"/>
        <v/>
      </c>
      <c r="K1526" s="2"/>
      <c r="L1526" s="15"/>
      <c r="M1526" s="34">
        <f t="shared" si="98"/>
        <v>0</v>
      </c>
    </row>
    <row r="1527" spans="1:13" x14ac:dyDescent="0.25">
      <c r="A1527" s="31"/>
      <c r="B1527" s="16" t="str">
        <f>IFERROR(VLOOKUP(A1527,Consolidado!$B$1:$L$1500,2,FALSE),"")</f>
        <v/>
      </c>
      <c r="C1527" s="16">
        <f>IFERROR(SUMIF(Consolidado!$B$1:$B$1500,VLOOKUP(RegistroPago!A1527,Consolidado!$B$1:$L$1500,1,FALSE),Consolidado!$G$1:$G$1500),"")</f>
        <v>0</v>
      </c>
      <c r="D1527" s="3"/>
      <c r="E1527" s="3"/>
      <c r="F1527" s="5" t="str">
        <f t="shared" si="95"/>
        <v/>
      </c>
      <c r="G1527" s="16" t="str">
        <f>IF(D1527&lt;&gt;"",D1527-VLOOKUP(A1527,Consolidado!$B$1:$L$1500,8,FALSE),"")</f>
        <v/>
      </c>
      <c r="H1527" s="31"/>
      <c r="I1527" s="32">
        <f t="shared" si="96"/>
        <v>0</v>
      </c>
      <c r="J1527" s="33" t="str">
        <f t="shared" si="97"/>
        <v/>
      </c>
      <c r="K1527" s="2"/>
      <c r="L1527" s="15"/>
      <c r="M1527" s="34">
        <f t="shared" si="98"/>
        <v>0</v>
      </c>
    </row>
    <row r="1528" spans="1:13" x14ac:dyDescent="0.25">
      <c r="A1528" s="31"/>
      <c r="B1528" s="16" t="str">
        <f>IFERROR(VLOOKUP(A1528,Consolidado!$B$1:$L$1500,2,FALSE),"")</f>
        <v/>
      </c>
      <c r="C1528" s="16">
        <f>IFERROR(SUMIF(Consolidado!$B$1:$B$1500,VLOOKUP(RegistroPago!A1528,Consolidado!$B$1:$L$1500,1,FALSE),Consolidado!$G$1:$G$1500),"")</f>
        <v>0</v>
      </c>
      <c r="D1528" s="3"/>
      <c r="E1528" s="3"/>
      <c r="F1528" s="5" t="str">
        <f t="shared" si="95"/>
        <v/>
      </c>
      <c r="G1528" s="16" t="str">
        <f>IF(D1528&lt;&gt;"",D1528-VLOOKUP(A1528,Consolidado!$B$1:$L$1500,8,FALSE),"")</f>
        <v/>
      </c>
      <c r="H1528" s="31"/>
      <c r="I1528" s="32">
        <f t="shared" si="96"/>
        <v>0</v>
      </c>
      <c r="J1528" s="33" t="str">
        <f t="shared" si="97"/>
        <v/>
      </c>
      <c r="K1528" s="2"/>
      <c r="L1528" s="15"/>
      <c r="M1528" s="34">
        <f t="shared" si="98"/>
        <v>0</v>
      </c>
    </row>
    <row r="1529" spans="1:13" x14ac:dyDescent="0.25">
      <c r="A1529" s="31"/>
      <c r="B1529" s="16" t="str">
        <f>IFERROR(VLOOKUP(A1529,Consolidado!$B$1:$L$1500,2,FALSE),"")</f>
        <v/>
      </c>
      <c r="C1529" s="16">
        <f>IFERROR(SUMIF(Consolidado!$B$1:$B$1500,VLOOKUP(RegistroPago!A1529,Consolidado!$B$1:$L$1500,1,FALSE),Consolidado!$G$1:$G$1500),"")</f>
        <v>0</v>
      </c>
      <c r="D1529" s="3"/>
      <c r="E1529" s="3"/>
      <c r="F1529" s="5" t="str">
        <f t="shared" si="95"/>
        <v/>
      </c>
      <c r="G1529" s="16" t="str">
        <f>IF(D1529&lt;&gt;"",D1529-VLOOKUP(A1529,Consolidado!$B$1:$L$1500,8,FALSE),"")</f>
        <v/>
      </c>
      <c r="H1529" s="31"/>
      <c r="I1529" s="32">
        <f t="shared" si="96"/>
        <v>0</v>
      </c>
      <c r="J1529" s="33" t="str">
        <f t="shared" si="97"/>
        <v/>
      </c>
      <c r="K1529" s="2"/>
      <c r="L1529" s="15"/>
      <c r="M1529" s="34">
        <f t="shared" si="98"/>
        <v>0</v>
      </c>
    </row>
    <row r="1530" spans="1:13" x14ac:dyDescent="0.25">
      <c r="A1530" s="31"/>
      <c r="B1530" s="16" t="str">
        <f>IFERROR(VLOOKUP(A1530,Consolidado!$B$1:$L$1500,2,FALSE),"")</f>
        <v/>
      </c>
      <c r="C1530" s="16">
        <f>IFERROR(SUMIF(Consolidado!$B$1:$B$1500,VLOOKUP(RegistroPago!A1530,Consolidado!$B$1:$L$1500,1,FALSE),Consolidado!$G$1:$G$1500),"")</f>
        <v>0</v>
      </c>
      <c r="D1530" s="3"/>
      <c r="E1530" s="3"/>
      <c r="F1530" s="5" t="str">
        <f t="shared" si="95"/>
        <v/>
      </c>
      <c r="G1530" s="16" t="str">
        <f>IF(D1530&lt;&gt;"",D1530-VLOOKUP(A1530,Consolidado!$B$1:$L$1500,8,FALSE),"")</f>
        <v/>
      </c>
      <c r="H1530" s="31"/>
      <c r="I1530" s="32">
        <f t="shared" si="96"/>
        <v>0</v>
      </c>
      <c r="J1530" s="33" t="str">
        <f t="shared" si="97"/>
        <v/>
      </c>
      <c r="K1530" s="2"/>
      <c r="L1530" s="15"/>
      <c r="M1530" s="34">
        <f t="shared" si="98"/>
        <v>0</v>
      </c>
    </row>
    <row r="1531" spans="1:13" x14ac:dyDescent="0.25">
      <c r="A1531" s="31"/>
      <c r="B1531" s="16" t="str">
        <f>IFERROR(VLOOKUP(A1531,Consolidado!$B$1:$L$1500,2,FALSE),"")</f>
        <v/>
      </c>
      <c r="C1531" s="16">
        <f>IFERROR(SUMIF(Consolidado!$B$1:$B$1500,VLOOKUP(RegistroPago!A1531,Consolidado!$B$1:$L$1500,1,FALSE),Consolidado!$G$1:$G$1500),"")</f>
        <v>0</v>
      </c>
      <c r="D1531" s="3"/>
      <c r="E1531" s="3"/>
      <c r="F1531" s="5" t="str">
        <f t="shared" si="95"/>
        <v/>
      </c>
      <c r="G1531" s="16" t="str">
        <f>IF(D1531&lt;&gt;"",D1531-VLOOKUP(A1531,Consolidado!$B$1:$L$1500,8,FALSE),"")</f>
        <v/>
      </c>
      <c r="H1531" s="31"/>
      <c r="I1531" s="32">
        <f t="shared" si="96"/>
        <v>0</v>
      </c>
      <c r="J1531" s="33" t="str">
        <f t="shared" si="97"/>
        <v/>
      </c>
      <c r="K1531" s="2"/>
      <c r="L1531" s="15"/>
      <c r="M1531" s="34">
        <f t="shared" si="98"/>
        <v>0</v>
      </c>
    </row>
    <row r="1532" spans="1:13" x14ac:dyDescent="0.25">
      <c r="A1532" s="31"/>
      <c r="B1532" s="16" t="str">
        <f>IFERROR(VLOOKUP(A1532,Consolidado!$B$1:$L$1500,2,FALSE),"")</f>
        <v/>
      </c>
      <c r="C1532" s="16">
        <f>IFERROR(SUMIF(Consolidado!$B$1:$B$1500,VLOOKUP(RegistroPago!A1532,Consolidado!$B$1:$L$1500,1,FALSE),Consolidado!$G$1:$G$1500),"")</f>
        <v>0</v>
      </c>
      <c r="D1532" s="3"/>
      <c r="E1532" s="3"/>
      <c r="F1532" s="5" t="str">
        <f t="shared" si="95"/>
        <v/>
      </c>
      <c r="G1532" s="16" t="str">
        <f>IF(D1532&lt;&gt;"",D1532-VLOOKUP(A1532,Consolidado!$B$1:$L$1500,8,FALSE),"")</f>
        <v/>
      </c>
      <c r="H1532" s="31"/>
      <c r="I1532" s="32">
        <f t="shared" si="96"/>
        <v>0</v>
      </c>
      <c r="J1532" s="33" t="str">
        <f t="shared" si="97"/>
        <v/>
      </c>
      <c r="K1532" s="2"/>
      <c r="L1532" s="15"/>
      <c r="M1532" s="34">
        <f t="shared" si="98"/>
        <v>0</v>
      </c>
    </row>
    <row r="1533" spans="1:13" x14ac:dyDescent="0.25">
      <c r="A1533" s="31"/>
      <c r="B1533" s="16" t="str">
        <f>IFERROR(VLOOKUP(A1533,Consolidado!$B$1:$L$1500,2,FALSE),"")</f>
        <v/>
      </c>
      <c r="C1533" s="16">
        <f>IFERROR(SUMIF(Consolidado!$B$1:$B$1500,VLOOKUP(RegistroPago!A1533,Consolidado!$B$1:$L$1500,1,FALSE),Consolidado!$G$1:$G$1500),"")</f>
        <v>0</v>
      </c>
      <c r="D1533" s="3"/>
      <c r="E1533" s="3"/>
      <c r="F1533" s="5" t="str">
        <f t="shared" si="95"/>
        <v/>
      </c>
      <c r="G1533" s="16" t="str">
        <f>IF(D1533&lt;&gt;"",D1533-VLOOKUP(A1533,Consolidado!$B$1:$L$1500,8,FALSE),"")</f>
        <v/>
      </c>
      <c r="H1533" s="31"/>
      <c r="I1533" s="32">
        <f t="shared" si="96"/>
        <v>0</v>
      </c>
      <c r="J1533" s="33" t="str">
        <f t="shared" si="97"/>
        <v/>
      </c>
      <c r="K1533" s="2"/>
      <c r="L1533" s="15"/>
      <c r="M1533" s="34">
        <f t="shared" si="98"/>
        <v>0</v>
      </c>
    </row>
    <row r="1534" spans="1:13" x14ac:dyDescent="0.25">
      <c r="A1534" s="31"/>
      <c r="B1534" s="16" t="str">
        <f>IFERROR(VLOOKUP(A1534,Consolidado!$B$1:$L$1500,2,FALSE),"")</f>
        <v/>
      </c>
      <c r="C1534" s="16">
        <f>IFERROR(SUMIF(Consolidado!$B$1:$B$1500,VLOOKUP(RegistroPago!A1534,Consolidado!$B$1:$L$1500,1,FALSE),Consolidado!$G$1:$G$1500),"")</f>
        <v>0</v>
      </c>
      <c r="D1534" s="3"/>
      <c r="E1534" s="3"/>
      <c r="F1534" s="5" t="str">
        <f t="shared" si="95"/>
        <v/>
      </c>
      <c r="G1534" s="16" t="str">
        <f>IF(D1534&lt;&gt;"",D1534-VLOOKUP(A1534,Consolidado!$B$1:$L$1500,8,FALSE),"")</f>
        <v/>
      </c>
      <c r="H1534" s="31"/>
      <c r="I1534" s="32">
        <f t="shared" si="96"/>
        <v>0</v>
      </c>
      <c r="J1534" s="33" t="str">
        <f t="shared" si="97"/>
        <v/>
      </c>
      <c r="K1534" s="2"/>
      <c r="L1534" s="15"/>
      <c r="M1534" s="34">
        <f t="shared" si="98"/>
        <v>0</v>
      </c>
    </row>
    <row r="1535" spans="1:13" x14ac:dyDescent="0.25">
      <c r="A1535" s="31"/>
      <c r="B1535" s="16" t="str">
        <f>IFERROR(VLOOKUP(A1535,Consolidado!$B$1:$L$1500,2,FALSE),"")</f>
        <v/>
      </c>
      <c r="C1535" s="16">
        <f>IFERROR(SUMIF(Consolidado!$B$1:$B$1500,VLOOKUP(RegistroPago!A1535,Consolidado!$B$1:$L$1500,1,FALSE),Consolidado!$G$1:$G$1500),"")</f>
        <v>0</v>
      </c>
      <c r="D1535" s="3"/>
      <c r="E1535" s="3"/>
      <c r="F1535" s="5" t="str">
        <f t="shared" si="95"/>
        <v/>
      </c>
      <c r="G1535" s="16" t="str">
        <f>IF(D1535&lt;&gt;"",D1535-VLOOKUP(A1535,Consolidado!$B$1:$L$1500,8,FALSE),"")</f>
        <v/>
      </c>
      <c r="H1535" s="31"/>
      <c r="I1535" s="32">
        <f t="shared" si="96"/>
        <v>0</v>
      </c>
      <c r="J1535" s="33" t="str">
        <f t="shared" si="97"/>
        <v/>
      </c>
      <c r="K1535" s="2"/>
      <c r="L1535" s="15"/>
      <c r="M1535" s="34">
        <f t="shared" si="98"/>
        <v>0</v>
      </c>
    </row>
    <row r="1536" spans="1:13" x14ac:dyDescent="0.25">
      <c r="A1536" s="31"/>
      <c r="B1536" s="16" t="str">
        <f>IFERROR(VLOOKUP(A1536,Consolidado!$B$1:$L$1500,2,FALSE),"")</f>
        <v/>
      </c>
      <c r="C1536" s="16">
        <f>IFERROR(SUMIF(Consolidado!$B$1:$B$1500,VLOOKUP(RegistroPago!A1536,Consolidado!$B$1:$L$1500,1,FALSE),Consolidado!$G$1:$G$1500),"")</f>
        <v>0</v>
      </c>
      <c r="D1536" s="3"/>
      <c r="E1536" s="3"/>
      <c r="F1536" s="5" t="str">
        <f t="shared" si="95"/>
        <v/>
      </c>
      <c r="G1536" s="16" t="str">
        <f>IF(D1536&lt;&gt;"",D1536-VLOOKUP(A1536,Consolidado!$B$1:$L$1500,8,FALSE),"")</f>
        <v/>
      </c>
      <c r="H1536" s="31"/>
      <c r="I1536" s="32">
        <f t="shared" si="96"/>
        <v>0</v>
      </c>
      <c r="J1536" s="33" t="str">
        <f t="shared" si="97"/>
        <v/>
      </c>
      <c r="K1536" s="2"/>
      <c r="L1536" s="15"/>
      <c r="M1536" s="34">
        <f t="shared" si="98"/>
        <v>0</v>
      </c>
    </row>
    <row r="1537" spans="1:13" x14ac:dyDescent="0.25">
      <c r="A1537" s="31"/>
      <c r="B1537" s="16" t="str">
        <f>IFERROR(VLOOKUP(A1537,Consolidado!$B$1:$L$1500,2,FALSE),"")</f>
        <v/>
      </c>
      <c r="C1537" s="16">
        <f>IFERROR(SUMIF(Consolidado!$B$1:$B$1500,VLOOKUP(RegistroPago!A1537,Consolidado!$B$1:$L$1500,1,FALSE),Consolidado!$G$1:$G$1500),"")</f>
        <v>0</v>
      </c>
      <c r="D1537" s="3"/>
      <c r="E1537" s="3"/>
      <c r="F1537" s="5" t="str">
        <f t="shared" si="95"/>
        <v/>
      </c>
      <c r="G1537" s="16" t="str">
        <f>IF(D1537&lt;&gt;"",D1537-VLOOKUP(A1537,Consolidado!$B$1:$L$1500,8,FALSE),"")</f>
        <v/>
      </c>
      <c r="H1537" s="31"/>
      <c r="I1537" s="32">
        <f t="shared" si="96"/>
        <v>0</v>
      </c>
      <c r="J1537" s="33" t="str">
        <f t="shared" si="97"/>
        <v/>
      </c>
      <c r="K1537" s="2"/>
      <c r="L1537" s="15"/>
      <c r="M1537" s="34">
        <f t="shared" si="98"/>
        <v>0</v>
      </c>
    </row>
    <row r="1538" spans="1:13" x14ac:dyDescent="0.25">
      <c r="A1538" s="31"/>
      <c r="B1538" s="16" t="str">
        <f>IFERROR(VLOOKUP(A1538,Consolidado!$B$1:$L$1500,2,FALSE),"")</f>
        <v/>
      </c>
      <c r="C1538" s="16">
        <f>IFERROR(SUMIF(Consolidado!$B$1:$B$1500,VLOOKUP(RegistroPago!A1538,Consolidado!$B$1:$L$1500,1,FALSE),Consolidado!$G$1:$G$1500),"")</f>
        <v>0</v>
      </c>
      <c r="D1538" s="3"/>
      <c r="E1538" s="3"/>
      <c r="F1538" s="5" t="str">
        <f t="shared" si="95"/>
        <v/>
      </c>
      <c r="G1538" s="16" t="str">
        <f>IF(D1538&lt;&gt;"",D1538-VLOOKUP(A1538,Consolidado!$B$1:$L$1500,8,FALSE),"")</f>
        <v/>
      </c>
      <c r="H1538" s="31"/>
      <c r="I1538" s="32">
        <f t="shared" si="96"/>
        <v>0</v>
      </c>
      <c r="J1538" s="33" t="str">
        <f t="shared" si="97"/>
        <v/>
      </c>
      <c r="K1538" s="2"/>
      <c r="L1538" s="15"/>
      <c r="M1538" s="34">
        <f t="shared" si="98"/>
        <v>0</v>
      </c>
    </row>
    <row r="1539" spans="1:13" x14ac:dyDescent="0.25">
      <c r="A1539" s="31"/>
      <c r="B1539" s="16" t="str">
        <f>IFERROR(VLOOKUP(A1539,Consolidado!$B$1:$L$1500,2,FALSE),"")</f>
        <v/>
      </c>
      <c r="C1539" s="16">
        <f>IFERROR(SUMIF(Consolidado!$B$1:$B$1500,VLOOKUP(RegistroPago!A1539,Consolidado!$B$1:$L$1500,1,FALSE),Consolidado!$G$1:$G$1500),"")</f>
        <v>0</v>
      </c>
      <c r="D1539" s="3"/>
      <c r="E1539" s="3"/>
      <c r="F1539" s="5" t="str">
        <f t="shared" ref="F1539:F1602" si="99">IF(COUNTIF($E$2:$E$2000,E1539)&gt;1,"Ya registrado","")</f>
        <v/>
      </c>
      <c r="G1539" s="16" t="str">
        <f>IF(D1539&lt;&gt;"",D1539-VLOOKUP(A1539,Consolidado!$B$1:$L$1500,8,FALSE),"")</f>
        <v/>
      </c>
      <c r="H1539" s="31"/>
      <c r="I1539" s="32">
        <f t="shared" si="96"/>
        <v>0</v>
      </c>
      <c r="J1539" s="33" t="str">
        <f t="shared" si="97"/>
        <v/>
      </c>
      <c r="K1539" s="2"/>
      <c r="L1539" s="15"/>
      <c r="M1539" s="34">
        <f t="shared" si="98"/>
        <v>0</v>
      </c>
    </row>
    <row r="1540" spans="1:13" x14ac:dyDescent="0.25">
      <c r="A1540" s="31"/>
      <c r="B1540" s="16" t="str">
        <f>IFERROR(VLOOKUP(A1540,Consolidado!$B$1:$L$1500,2,FALSE),"")</f>
        <v/>
      </c>
      <c r="C1540" s="16">
        <f>IFERROR(SUMIF(Consolidado!$B$1:$B$1500,VLOOKUP(RegistroPago!A1540,Consolidado!$B$1:$L$1500,1,FALSE),Consolidado!$G$1:$G$1500),"")</f>
        <v>0</v>
      </c>
      <c r="D1540" s="3"/>
      <c r="E1540" s="3"/>
      <c r="F1540" s="5" t="str">
        <f t="shared" si="99"/>
        <v/>
      </c>
      <c r="G1540" s="16" t="str">
        <f>IF(D1540&lt;&gt;"",D1540-VLOOKUP(A1540,Consolidado!$B$1:$L$1500,8,FALSE),"")</f>
        <v/>
      </c>
      <c r="H1540" s="31"/>
      <c r="I1540" s="32">
        <f t="shared" si="96"/>
        <v>0</v>
      </c>
      <c r="J1540" s="33" t="str">
        <f t="shared" si="97"/>
        <v/>
      </c>
      <c r="K1540" s="2"/>
      <c r="L1540" s="15"/>
      <c r="M1540" s="34">
        <f t="shared" si="98"/>
        <v>0</v>
      </c>
    </row>
    <row r="1541" spans="1:13" x14ac:dyDescent="0.25">
      <c r="A1541" s="31"/>
      <c r="B1541" s="16" t="str">
        <f>IFERROR(VLOOKUP(A1541,Consolidado!$B$1:$L$1500,2,FALSE),"")</f>
        <v/>
      </c>
      <c r="C1541" s="16">
        <f>IFERROR(SUMIF(Consolidado!$B$1:$B$1500,VLOOKUP(RegistroPago!A1541,Consolidado!$B$1:$L$1500,1,FALSE),Consolidado!$G$1:$G$1500),"")</f>
        <v>0</v>
      </c>
      <c r="D1541" s="3"/>
      <c r="E1541" s="3"/>
      <c r="F1541" s="5" t="str">
        <f t="shared" si="99"/>
        <v/>
      </c>
      <c r="G1541" s="16" t="str">
        <f>IF(D1541&lt;&gt;"",D1541-VLOOKUP(A1541,Consolidado!$B$1:$L$1500,8,FALSE),"")</f>
        <v/>
      </c>
      <c r="H1541" s="31"/>
      <c r="I1541" s="32">
        <f t="shared" si="96"/>
        <v>0</v>
      </c>
      <c r="J1541" s="33" t="str">
        <f t="shared" si="97"/>
        <v/>
      </c>
      <c r="K1541" s="2"/>
      <c r="L1541" s="15"/>
      <c r="M1541" s="34">
        <f t="shared" si="98"/>
        <v>0</v>
      </c>
    </row>
    <row r="1542" spans="1:13" x14ac:dyDescent="0.25">
      <c r="A1542" s="31"/>
      <c r="B1542" s="16" t="str">
        <f>IFERROR(VLOOKUP(A1542,Consolidado!$B$1:$L$1500,2,FALSE),"")</f>
        <v/>
      </c>
      <c r="C1542" s="16">
        <f>IFERROR(SUMIF(Consolidado!$B$1:$B$1500,VLOOKUP(RegistroPago!A1542,Consolidado!$B$1:$L$1500,1,FALSE),Consolidado!$G$1:$G$1500),"")</f>
        <v>0</v>
      </c>
      <c r="D1542" s="3"/>
      <c r="E1542" s="3"/>
      <c r="F1542" s="5" t="str">
        <f t="shared" si="99"/>
        <v/>
      </c>
      <c r="G1542" s="16" t="str">
        <f>IF(D1542&lt;&gt;"",D1542-VLOOKUP(A1542,Consolidado!$B$1:$L$1500,8,FALSE),"")</f>
        <v/>
      </c>
      <c r="H1542" s="31"/>
      <c r="I1542" s="32">
        <f t="shared" si="96"/>
        <v>0</v>
      </c>
      <c r="J1542" s="33" t="str">
        <f t="shared" si="97"/>
        <v/>
      </c>
      <c r="K1542" s="2"/>
      <c r="L1542" s="15"/>
      <c r="M1542" s="34">
        <f t="shared" si="98"/>
        <v>0</v>
      </c>
    </row>
    <row r="1543" spans="1:13" x14ac:dyDescent="0.25">
      <c r="A1543" s="31"/>
      <c r="B1543" s="16" t="str">
        <f>IFERROR(VLOOKUP(A1543,Consolidado!$B$1:$L$1500,2,FALSE),"")</f>
        <v/>
      </c>
      <c r="C1543" s="16">
        <f>IFERROR(SUMIF(Consolidado!$B$1:$B$1500,VLOOKUP(RegistroPago!A1543,Consolidado!$B$1:$L$1500,1,FALSE),Consolidado!$G$1:$G$1500),"")</f>
        <v>0</v>
      </c>
      <c r="D1543" s="3"/>
      <c r="E1543" s="3"/>
      <c r="F1543" s="5" t="str">
        <f t="shared" si="99"/>
        <v/>
      </c>
      <c r="G1543" s="16" t="str">
        <f>IF(D1543&lt;&gt;"",D1543-VLOOKUP(A1543,Consolidado!$B$1:$L$1500,8,FALSE),"")</f>
        <v/>
      </c>
      <c r="H1543" s="31"/>
      <c r="I1543" s="32">
        <f t="shared" si="96"/>
        <v>0</v>
      </c>
      <c r="J1543" s="33" t="str">
        <f t="shared" si="97"/>
        <v/>
      </c>
      <c r="K1543" s="2"/>
      <c r="L1543" s="15"/>
      <c r="M1543" s="34">
        <f t="shared" si="98"/>
        <v>0</v>
      </c>
    </row>
    <row r="1544" spans="1:13" x14ac:dyDescent="0.25">
      <c r="A1544" s="31"/>
      <c r="B1544" s="16" t="str">
        <f>IFERROR(VLOOKUP(A1544,Consolidado!$B$1:$L$1500,2,FALSE),"")</f>
        <v/>
      </c>
      <c r="C1544" s="16">
        <f>IFERROR(SUMIF(Consolidado!$B$1:$B$1500,VLOOKUP(RegistroPago!A1544,Consolidado!$B$1:$L$1500,1,FALSE),Consolidado!$G$1:$G$1500),"")</f>
        <v>0</v>
      </c>
      <c r="D1544" s="3"/>
      <c r="E1544" s="3"/>
      <c r="F1544" s="5" t="str">
        <f t="shared" si="99"/>
        <v/>
      </c>
      <c r="G1544" s="16" t="str">
        <f>IF(D1544&lt;&gt;"",D1544-VLOOKUP(A1544,Consolidado!$B$1:$L$1500,8,FALSE),"")</f>
        <v/>
      </c>
      <c r="H1544" s="31"/>
      <c r="I1544" s="32">
        <f t="shared" si="96"/>
        <v>0</v>
      </c>
      <c r="J1544" s="33" t="str">
        <f t="shared" si="97"/>
        <v/>
      </c>
      <c r="K1544" s="2"/>
      <c r="L1544" s="15"/>
      <c r="M1544" s="34">
        <f t="shared" si="98"/>
        <v>0</v>
      </c>
    </row>
    <row r="1545" spans="1:13" x14ac:dyDescent="0.25">
      <c r="A1545" s="31"/>
      <c r="B1545" s="16" t="str">
        <f>IFERROR(VLOOKUP(A1545,Consolidado!$B$1:$L$1500,2,FALSE),"")</f>
        <v/>
      </c>
      <c r="C1545" s="16">
        <f>IFERROR(SUMIF(Consolidado!$B$1:$B$1500,VLOOKUP(RegistroPago!A1545,Consolidado!$B$1:$L$1500,1,FALSE),Consolidado!$G$1:$G$1500),"")</f>
        <v>0</v>
      </c>
      <c r="D1545" s="3"/>
      <c r="E1545" s="3"/>
      <c r="F1545" s="5" t="str">
        <f t="shared" si="99"/>
        <v/>
      </c>
      <c r="G1545" s="16" t="str">
        <f>IF(D1545&lt;&gt;"",D1545-VLOOKUP(A1545,Consolidado!$B$1:$L$1500,8,FALSE),"")</f>
        <v/>
      </c>
      <c r="H1545" s="31"/>
      <c r="I1545" s="32">
        <f t="shared" si="96"/>
        <v>0</v>
      </c>
      <c r="J1545" s="33" t="str">
        <f t="shared" si="97"/>
        <v/>
      </c>
      <c r="K1545" s="2"/>
      <c r="L1545" s="15"/>
      <c r="M1545" s="34">
        <f t="shared" si="98"/>
        <v>0</v>
      </c>
    </row>
    <row r="1546" spans="1:13" x14ac:dyDescent="0.25">
      <c r="A1546" s="31"/>
      <c r="B1546" s="16" t="str">
        <f>IFERROR(VLOOKUP(A1546,Consolidado!$B$1:$L$1500,2,FALSE),"")</f>
        <v/>
      </c>
      <c r="C1546" s="16">
        <f>IFERROR(SUMIF(Consolidado!$B$1:$B$1500,VLOOKUP(RegistroPago!A1546,Consolidado!$B$1:$L$1500,1,FALSE),Consolidado!$G$1:$G$1500),"")</f>
        <v>0</v>
      </c>
      <c r="D1546" s="3"/>
      <c r="E1546" s="3"/>
      <c r="F1546" s="5" t="str">
        <f t="shared" si="99"/>
        <v/>
      </c>
      <c r="G1546" s="16" t="str">
        <f>IF(D1546&lt;&gt;"",D1546-VLOOKUP(A1546,Consolidado!$B$1:$L$1500,8,FALSE),"")</f>
        <v/>
      </c>
      <c r="H1546" s="31"/>
      <c r="I1546" s="32">
        <f t="shared" si="96"/>
        <v>0</v>
      </c>
      <c r="J1546" s="33" t="str">
        <f t="shared" si="97"/>
        <v/>
      </c>
      <c r="K1546" s="2"/>
      <c r="L1546" s="15"/>
      <c r="M1546" s="34">
        <f t="shared" si="98"/>
        <v>0</v>
      </c>
    </row>
    <row r="1547" spans="1:13" x14ac:dyDescent="0.25">
      <c r="A1547" s="31"/>
      <c r="B1547" s="16" t="str">
        <f>IFERROR(VLOOKUP(A1547,Consolidado!$B$1:$L$1500,2,FALSE),"")</f>
        <v/>
      </c>
      <c r="C1547" s="16">
        <f>IFERROR(SUMIF(Consolidado!$B$1:$B$1500,VLOOKUP(RegistroPago!A1547,Consolidado!$B$1:$L$1500,1,FALSE),Consolidado!$G$1:$G$1500),"")</f>
        <v>0</v>
      </c>
      <c r="D1547" s="3"/>
      <c r="E1547" s="3"/>
      <c r="F1547" s="5" t="str">
        <f t="shared" si="99"/>
        <v/>
      </c>
      <c r="G1547" s="16" t="str">
        <f>IF(D1547&lt;&gt;"",D1547-VLOOKUP(A1547,Consolidado!$B$1:$L$1500,8,FALSE),"")</f>
        <v/>
      </c>
      <c r="H1547" s="31"/>
      <c r="I1547" s="32">
        <f t="shared" si="96"/>
        <v>0</v>
      </c>
      <c r="J1547" s="33" t="str">
        <f t="shared" si="97"/>
        <v/>
      </c>
      <c r="K1547" s="2"/>
      <c r="L1547" s="15"/>
      <c r="M1547" s="34">
        <f t="shared" si="98"/>
        <v>0</v>
      </c>
    </row>
    <row r="1548" spans="1:13" x14ac:dyDescent="0.25">
      <c r="A1548" s="31"/>
      <c r="B1548" s="16" t="str">
        <f>IFERROR(VLOOKUP(A1548,Consolidado!$B$1:$L$1500,2,FALSE),"")</f>
        <v/>
      </c>
      <c r="C1548" s="16">
        <f>IFERROR(SUMIF(Consolidado!$B$1:$B$1500,VLOOKUP(RegistroPago!A1548,Consolidado!$B$1:$L$1500,1,FALSE),Consolidado!$G$1:$G$1500),"")</f>
        <v>0</v>
      </c>
      <c r="D1548" s="3"/>
      <c r="E1548" s="3"/>
      <c r="F1548" s="5" t="str">
        <f t="shared" si="99"/>
        <v/>
      </c>
      <c r="G1548" s="16" t="str">
        <f>IF(D1548&lt;&gt;"",D1548-VLOOKUP(A1548,Consolidado!$B$1:$L$1500,8,FALSE),"")</f>
        <v/>
      </c>
      <c r="H1548" s="31"/>
      <c r="I1548" s="32">
        <f t="shared" si="96"/>
        <v>0</v>
      </c>
      <c r="J1548" s="33" t="str">
        <f t="shared" si="97"/>
        <v/>
      </c>
      <c r="K1548" s="2"/>
      <c r="L1548" s="15"/>
      <c r="M1548" s="34">
        <f t="shared" si="98"/>
        <v>0</v>
      </c>
    </row>
    <row r="1549" spans="1:13" x14ac:dyDescent="0.25">
      <c r="A1549" s="31"/>
      <c r="B1549" s="16" t="str">
        <f>IFERROR(VLOOKUP(A1549,Consolidado!$B$1:$L$1500,2,FALSE),"")</f>
        <v/>
      </c>
      <c r="C1549" s="16">
        <f>IFERROR(SUMIF(Consolidado!$B$1:$B$1500,VLOOKUP(RegistroPago!A1549,Consolidado!$B$1:$L$1500,1,FALSE),Consolidado!$G$1:$G$1500),"")</f>
        <v>0</v>
      </c>
      <c r="D1549" s="3"/>
      <c r="E1549" s="3"/>
      <c r="F1549" s="5" t="str">
        <f t="shared" si="99"/>
        <v/>
      </c>
      <c r="G1549" s="16" t="str">
        <f>IF(D1549&lt;&gt;"",D1549-VLOOKUP(A1549,Consolidado!$B$1:$L$1500,8,FALSE),"")</f>
        <v/>
      </c>
      <c r="H1549" s="31"/>
      <c r="I1549" s="32">
        <f t="shared" si="96"/>
        <v>0</v>
      </c>
      <c r="J1549" s="33" t="str">
        <f t="shared" si="97"/>
        <v/>
      </c>
      <c r="K1549" s="2"/>
      <c r="L1549" s="15"/>
      <c r="M1549" s="34">
        <f t="shared" si="98"/>
        <v>0</v>
      </c>
    </row>
    <row r="1550" spans="1:13" x14ac:dyDescent="0.25">
      <c r="A1550" s="31"/>
      <c r="B1550" s="16" t="str">
        <f>IFERROR(VLOOKUP(A1550,Consolidado!$B$1:$L$1500,2,FALSE),"")</f>
        <v/>
      </c>
      <c r="C1550" s="16">
        <f>IFERROR(SUMIF(Consolidado!$B$1:$B$1500,VLOOKUP(RegistroPago!A1550,Consolidado!$B$1:$L$1500,1,FALSE),Consolidado!$G$1:$G$1500),"")</f>
        <v>0</v>
      </c>
      <c r="D1550" s="3"/>
      <c r="E1550" s="3"/>
      <c r="F1550" s="5" t="str">
        <f t="shared" si="99"/>
        <v/>
      </c>
      <c r="G1550" s="16" t="str">
        <f>IF(D1550&lt;&gt;"",D1550-VLOOKUP(A1550,Consolidado!$B$1:$L$1500,8,FALSE),"")</f>
        <v/>
      </c>
      <c r="H1550" s="31"/>
      <c r="I1550" s="32">
        <f t="shared" si="96"/>
        <v>0</v>
      </c>
      <c r="J1550" s="33" t="str">
        <f t="shared" si="97"/>
        <v/>
      </c>
      <c r="K1550" s="2"/>
      <c r="L1550" s="15"/>
      <c r="M1550" s="34">
        <f t="shared" si="98"/>
        <v>0</v>
      </c>
    </row>
    <row r="1551" spans="1:13" x14ac:dyDescent="0.25">
      <c r="A1551" s="31"/>
      <c r="B1551" s="16" t="str">
        <f>IFERROR(VLOOKUP(A1551,Consolidado!$B$1:$L$1500,2,FALSE),"")</f>
        <v/>
      </c>
      <c r="C1551" s="16">
        <f>IFERROR(SUMIF(Consolidado!$B$1:$B$1500,VLOOKUP(RegistroPago!A1551,Consolidado!$B$1:$L$1500,1,FALSE),Consolidado!$G$1:$G$1500),"")</f>
        <v>0</v>
      </c>
      <c r="D1551" s="3"/>
      <c r="E1551" s="3"/>
      <c r="F1551" s="5" t="str">
        <f t="shared" si="99"/>
        <v/>
      </c>
      <c r="G1551" s="16" t="str">
        <f>IF(D1551&lt;&gt;"",D1551-VLOOKUP(A1551,Consolidado!$B$1:$L$1500,8,FALSE),"")</f>
        <v/>
      </c>
      <c r="H1551" s="31"/>
      <c r="I1551" s="32">
        <f t="shared" si="96"/>
        <v>0</v>
      </c>
      <c r="J1551" s="33" t="str">
        <f t="shared" si="97"/>
        <v/>
      </c>
      <c r="K1551" s="2"/>
      <c r="L1551" s="15"/>
      <c r="M1551" s="34">
        <f t="shared" si="98"/>
        <v>0</v>
      </c>
    </row>
    <row r="1552" spans="1:13" x14ac:dyDescent="0.25">
      <c r="A1552" s="31"/>
      <c r="B1552" s="16" t="str">
        <f>IFERROR(VLOOKUP(A1552,Consolidado!$B$1:$L$1500,2,FALSE),"")</f>
        <v/>
      </c>
      <c r="C1552" s="16">
        <f>IFERROR(SUMIF(Consolidado!$B$1:$B$1500,VLOOKUP(RegistroPago!A1552,Consolidado!$B$1:$L$1500,1,FALSE),Consolidado!$G$1:$G$1500),"")</f>
        <v>0</v>
      </c>
      <c r="D1552" s="3"/>
      <c r="E1552" s="3"/>
      <c r="F1552" s="5" t="str">
        <f t="shared" si="99"/>
        <v/>
      </c>
      <c r="G1552" s="16" t="str">
        <f>IF(D1552&lt;&gt;"",D1552-VLOOKUP(A1552,Consolidado!$B$1:$L$1500,8,FALSE),"")</f>
        <v/>
      </c>
      <c r="H1552" s="31"/>
      <c r="I1552" s="32">
        <f t="shared" si="96"/>
        <v>0</v>
      </c>
      <c r="J1552" s="33" t="str">
        <f t="shared" si="97"/>
        <v/>
      </c>
      <c r="K1552" s="2"/>
      <c r="L1552" s="15"/>
      <c r="M1552" s="34">
        <f t="shared" si="98"/>
        <v>0</v>
      </c>
    </row>
    <row r="1553" spans="1:13" x14ac:dyDescent="0.25">
      <c r="A1553" s="31"/>
      <c r="B1553" s="16" t="str">
        <f>IFERROR(VLOOKUP(A1553,Consolidado!$B$1:$L$1500,2,FALSE),"")</f>
        <v/>
      </c>
      <c r="C1553" s="16">
        <f>IFERROR(SUMIF(Consolidado!$B$1:$B$1500,VLOOKUP(RegistroPago!A1553,Consolidado!$B$1:$L$1500,1,FALSE),Consolidado!$G$1:$G$1500),"")</f>
        <v>0</v>
      </c>
      <c r="D1553" s="3"/>
      <c r="E1553" s="3"/>
      <c r="F1553" s="5" t="str">
        <f t="shared" si="99"/>
        <v/>
      </c>
      <c r="G1553" s="16" t="str">
        <f>IF(D1553&lt;&gt;"",D1553-VLOOKUP(A1553,Consolidado!$B$1:$L$1500,8,FALSE),"")</f>
        <v/>
      </c>
      <c r="H1553" s="31"/>
      <c r="I1553" s="32">
        <f t="shared" si="96"/>
        <v>0</v>
      </c>
      <c r="J1553" s="33" t="str">
        <f t="shared" si="97"/>
        <v/>
      </c>
      <c r="K1553" s="2"/>
      <c r="L1553" s="15"/>
      <c r="M1553" s="34">
        <f t="shared" si="98"/>
        <v>0</v>
      </c>
    </row>
    <row r="1554" spans="1:13" x14ac:dyDescent="0.25">
      <c r="A1554" s="31"/>
      <c r="B1554" s="16" t="str">
        <f>IFERROR(VLOOKUP(A1554,Consolidado!$B$1:$L$1500,2,FALSE),"")</f>
        <v/>
      </c>
      <c r="C1554" s="16">
        <f>IFERROR(SUMIF(Consolidado!$B$1:$B$1500,VLOOKUP(RegistroPago!A1554,Consolidado!$B$1:$L$1500,1,FALSE),Consolidado!$G$1:$G$1500),"")</f>
        <v>0</v>
      </c>
      <c r="D1554" s="3"/>
      <c r="E1554" s="3"/>
      <c r="F1554" s="5" t="str">
        <f t="shared" si="99"/>
        <v/>
      </c>
      <c r="G1554" s="16" t="str">
        <f>IF(D1554&lt;&gt;"",D1554-VLOOKUP(A1554,Consolidado!$B$1:$L$1500,8,FALSE),"")</f>
        <v/>
      </c>
      <c r="H1554" s="31"/>
      <c r="I1554" s="32">
        <f t="shared" si="96"/>
        <v>0</v>
      </c>
      <c r="J1554" s="33" t="str">
        <f t="shared" si="97"/>
        <v/>
      </c>
      <c r="K1554" s="2"/>
      <c r="L1554" s="15"/>
      <c r="M1554" s="34">
        <f t="shared" si="98"/>
        <v>0</v>
      </c>
    </row>
    <row r="1555" spans="1:13" x14ac:dyDescent="0.25">
      <c r="A1555" s="31"/>
      <c r="B1555" s="16" t="str">
        <f>IFERROR(VLOOKUP(A1555,Consolidado!$B$1:$L$1500,2,FALSE),"")</f>
        <v/>
      </c>
      <c r="C1555" s="16">
        <f>IFERROR(SUMIF(Consolidado!$B$1:$B$1500,VLOOKUP(RegistroPago!A1555,Consolidado!$B$1:$L$1500,1,FALSE),Consolidado!$G$1:$G$1500),"")</f>
        <v>0</v>
      </c>
      <c r="D1555" s="3"/>
      <c r="E1555" s="3"/>
      <c r="F1555" s="5" t="str">
        <f t="shared" si="99"/>
        <v/>
      </c>
      <c r="G1555" s="16" t="str">
        <f>IF(D1555&lt;&gt;"",D1555-VLOOKUP(A1555,Consolidado!$B$1:$L$1500,8,FALSE),"")</f>
        <v/>
      </c>
      <c r="H1555" s="31"/>
      <c r="I1555" s="32">
        <f t="shared" si="96"/>
        <v>0</v>
      </c>
      <c r="J1555" s="33" t="str">
        <f t="shared" si="97"/>
        <v/>
      </c>
      <c r="K1555" s="2"/>
      <c r="L1555" s="15"/>
      <c r="M1555" s="34">
        <f t="shared" si="98"/>
        <v>0</v>
      </c>
    </row>
    <row r="1556" spans="1:13" x14ac:dyDescent="0.25">
      <c r="A1556" s="31"/>
      <c r="B1556" s="16" t="str">
        <f>IFERROR(VLOOKUP(A1556,Consolidado!$B$1:$L$1500,2,FALSE),"")</f>
        <v/>
      </c>
      <c r="C1556" s="16">
        <f>IFERROR(SUMIF(Consolidado!$B$1:$B$1500,VLOOKUP(RegistroPago!A1556,Consolidado!$B$1:$L$1500,1,FALSE),Consolidado!$G$1:$G$1500),"")</f>
        <v>0</v>
      </c>
      <c r="D1556" s="3"/>
      <c r="E1556" s="3"/>
      <c r="F1556" s="5" t="str">
        <f t="shared" si="99"/>
        <v/>
      </c>
      <c r="G1556" s="16" t="str">
        <f>IF(D1556&lt;&gt;"",D1556-VLOOKUP(A1556,Consolidado!$B$1:$L$1500,8,FALSE),"")</f>
        <v/>
      </c>
      <c r="H1556" s="31"/>
      <c r="I1556" s="32">
        <f t="shared" si="96"/>
        <v>0</v>
      </c>
      <c r="J1556" s="33" t="str">
        <f t="shared" si="97"/>
        <v/>
      </c>
      <c r="K1556" s="2"/>
      <c r="L1556" s="15"/>
      <c r="M1556" s="34">
        <f t="shared" si="98"/>
        <v>0</v>
      </c>
    </row>
    <row r="1557" spans="1:13" x14ac:dyDescent="0.25">
      <c r="A1557" s="31"/>
      <c r="B1557" s="16" t="str">
        <f>IFERROR(VLOOKUP(A1557,Consolidado!$B$1:$L$1500,2,FALSE),"")</f>
        <v/>
      </c>
      <c r="C1557" s="16">
        <f>IFERROR(SUMIF(Consolidado!$B$1:$B$1500,VLOOKUP(RegistroPago!A1557,Consolidado!$B$1:$L$1500,1,FALSE),Consolidado!$G$1:$G$1500),"")</f>
        <v>0</v>
      </c>
      <c r="D1557" s="3"/>
      <c r="E1557" s="3"/>
      <c r="F1557" s="5" t="str">
        <f t="shared" si="99"/>
        <v/>
      </c>
      <c r="G1557" s="16" t="str">
        <f>IF(D1557&lt;&gt;"",D1557-VLOOKUP(A1557,Consolidado!$B$1:$L$1500,8,FALSE),"")</f>
        <v/>
      </c>
      <c r="H1557" s="31"/>
      <c r="I1557" s="32">
        <f t="shared" si="96"/>
        <v>0</v>
      </c>
      <c r="J1557" s="33" t="str">
        <f t="shared" si="97"/>
        <v/>
      </c>
      <c r="K1557" s="2"/>
      <c r="L1557" s="15"/>
      <c r="M1557" s="34">
        <f t="shared" si="98"/>
        <v>0</v>
      </c>
    </row>
    <row r="1558" spans="1:13" x14ac:dyDescent="0.25">
      <c r="A1558" s="31"/>
      <c r="B1558" s="16" t="str">
        <f>IFERROR(VLOOKUP(A1558,Consolidado!$B$1:$L$1500,2,FALSE),"")</f>
        <v/>
      </c>
      <c r="C1558" s="16">
        <f>IFERROR(SUMIF(Consolidado!$B$1:$B$1500,VLOOKUP(RegistroPago!A1558,Consolidado!$B$1:$L$1500,1,FALSE),Consolidado!$G$1:$G$1500),"")</f>
        <v>0</v>
      </c>
      <c r="D1558" s="3"/>
      <c r="E1558" s="3"/>
      <c r="F1558" s="5" t="str">
        <f t="shared" si="99"/>
        <v/>
      </c>
      <c r="G1558" s="16" t="str">
        <f>IF(D1558&lt;&gt;"",D1558-VLOOKUP(A1558,Consolidado!$B$1:$L$1500,8,FALSE),"")</f>
        <v/>
      </c>
      <c r="H1558" s="31"/>
      <c r="I1558" s="32">
        <f t="shared" si="96"/>
        <v>0</v>
      </c>
      <c r="J1558" s="33" t="str">
        <f t="shared" si="97"/>
        <v/>
      </c>
      <c r="K1558" s="2"/>
      <c r="L1558" s="15"/>
      <c r="M1558" s="34">
        <f t="shared" si="98"/>
        <v>0</v>
      </c>
    </row>
    <row r="1559" spans="1:13" x14ac:dyDescent="0.25">
      <c r="A1559" s="31"/>
      <c r="B1559" s="16" t="str">
        <f>IFERROR(VLOOKUP(A1559,Consolidado!$B$1:$L$1500,2,FALSE),"")</f>
        <v/>
      </c>
      <c r="C1559" s="16">
        <f>IFERROR(SUMIF(Consolidado!$B$1:$B$1500,VLOOKUP(RegistroPago!A1559,Consolidado!$B$1:$L$1500,1,FALSE),Consolidado!$G$1:$G$1500),"")</f>
        <v>0</v>
      </c>
      <c r="D1559" s="3"/>
      <c r="E1559" s="3"/>
      <c r="F1559" s="5" t="str">
        <f t="shared" si="99"/>
        <v/>
      </c>
      <c r="G1559" s="16" t="str">
        <f>IF(D1559&lt;&gt;"",D1559-VLOOKUP(A1559,Consolidado!$B$1:$L$1500,8,FALSE),"")</f>
        <v/>
      </c>
      <c r="H1559" s="31"/>
      <c r="I1559" s="32">
        <f t="shared" si="96"/>
        <v>0</v>
      </c>
      <c r="J1559" s="33" t="str">
        <f t="shared" si="97"/>
        <v/>
      </c>
      <c r="K1559" s="2"/>
      <c r="L1559" s="15"/>
      <c r="M1559" s="34">
        <f t="shared" si="98"/>
        <v>0</v>
      </c>
    </row>
    <row r="1560" spans="1:13" x14ac:dyDescent="0.25">
      <c r="A1560" s="31"/>
      <c r="B1560" s="16" t="str">
        <f>IFERROR(VLOOKUP(A1560,Consolidado!$B$1:$L$1500,2,FALSE),"")</f>
        <v/>
      </c>
      <c r="C1560" s="16">
        <f>IFERROR(SUMIF(Consolidado!$B$1:$B$1500,VLOOKUP(RegistroPago!A1560,Consolidado!$B$1:$L$1500,1,FALSE),Consolidado!$G$1:$G$1500),"")</f>
        <v>0</v>
      </c>
      <c r="D1560" s="3"/>
      <c r="E1560" s="3"/>
      <c r="F1560" s="5" t="str">
        <f t="shared" si="99"/>
        <v/>
      </c>
      <c r="G1560" s="16" t="str">
        <f>IF(D1560&lt;&gt;"",D1560-VLOOKUP(A1560,Consolidado!$B$1:$L$1500,8,FALSE),"")</f>
        <v/>
      </c>
      <c r="H1560" s="31"/>
      <c r="I1560" s="32">
        <f t="shared" si="96"/>
        <v>0</v>
      </c>
      <c r="J1560" s="33" t="str">
        <f t="shared" si="97"/>
        <v/>
      </c>
      <c r="K1560" s="2"/>
      <c r="L1560" s="15"/>
      <c r="M1560" s="34">
        <f t="shared" si="98"/>
        <v>0</v>
      </c>
    </row>
    <row r="1561" spans="1:13" x14ac:dyDescent="0.25">
      <c r="A1561" s="31"/>
      <c r="B1561" s="16" t="str">
        <f>IFERROR(VLOOKUP(A1561,Consolidado!$B$1:$L$1500,2,FALSE),"")</f>
        <v/>
      </c>
      <c r="C1561" s="16">
        <f>IFERROR(SUMIF(Consolidado!$B$1:$B$1500,VLOOKUP(RegistroPago!A1561,Consolidado!$B$1:$L$1500,1,FALSE),Consolidado!$G$1:$G$1500),"")</f>
        <v>0</v>
      </c>
      <c r="D1561" s="3"/>
      <c r="E1561" s="3"/>
      <c r="F1561" s="5" t="str">
        <f t="shared" si="99"/>
        <v/>
      </c>
      <c r="G1561" s="16" t="str">
        <f>IF(D1561&lt;&gt;"",D1561-VLOOKUP(A1561,Consolidado!$B$1:$L$1500,8,FALSE),"")</f>
        <v/>
      </c>
      <c r="H1561" s="31"/>
      <c r="I1561" s="32">
        <f t="shared" si="96"/>
        <v>0</v>
      </c>
      <c r="J1561" s="33" t="str">
        <f t="shared" si="97"/>
        <v/>
      </c>
      <c r="K1561" s="2"/>
      <c r="L1561" s="15"/>
      <c r="M1561" s="34">
        <f t="shared" si="98"/>
        <v>0</v>
      </c>
    </row>
    <row r="1562" spans="1:13" x14ac:dyDescent="0.25">
      <c r="A1562" s="31"/>
      <c r="B1562" s="16" t="str">
        <f>IFERROR(VLOOKUP(A1562,Consolidado!$B$1:$L$1500,2,FALSE),"")</f>
        <v/>
      </c>
      <c r="C1562" s="16">
        <f>IFERROR(SUMIF(Consolidado!$B$1:$B$1500,VLOOKUP(RegistroPago!A1562,Consolidado!$B$1:$L$1500,1,FALSE),Consolidado!$G$1:$G$1500),"")</f>
        <v>0</v>
      </c>
      <c r="D1562" s="3"/>
      <c r="E1562" s="3"/>
      <c r="F1562" s="5" t="str">
        <f t="shared" si="99"/>
        <v/>
      </c>
      <c r="G1562" s="16" t="str">
        <f>IF(D1562&lt;&gt;"",D1562-VLOOKUP(A1562,Consolidado!$B$1:$L$1500,8,FALSE),"")</f>
        <v/>
      </c>
      <c r="H1562" s="31"/>
      <c r="I1562" s="32">
        <f t="shared" si="96"/>
        <v>0</v>
      </c>
      <c r="J1562" s="33" t="str">
        <f t="shared" si="97"/>
        <v/>
      </c>
      <c r="K1562" s="2"/>
      <c r="L1562" s="15"/>
      <c r="M1562" s="34">
        <f t="shared" si="98"/>
        <v>0</v>
      </c>
    </row>
    <row r="1563" spans="1:13" x14ac:dyDescent="0.25">
      <c r="A1563" s="31"/>
      <c r="B1563" s="16" t="str">
        <f>IFERROR(VLOOKUP(A1563,Consolidado!$B$1:$L$1500,2,FALSE),"")</f>
        <v/>
      </c>
      <c r="C1563" s="16">
        <f>IFERROR(SUMIF(Consolidado!$B$1:$B$1500,VLOOKUP(RegistroPago!A1563,Consolidado!$B$1:$L$1500,1,FALSE),Consolidado!$G$1:$G$1500),"")</f>
        <v>0</v>
      </c>
      <c r="D1563" s="3"/>
      <c r="E1563" s="3"/>
      <c r="F1563" s="5" t="str">
        <f t="shared" si="99"/>
        <v/>
      </c>
      <c r="G1563" s="16" t="str">
        <f>IF(D1563&lt;&gt;"",D1563-VLOOKUP(A1563,Consolidado!$B$1:$L$1500,8,FALSE),"")</f>
        <v/>
      </c>
      <c r="H1563" s="31"/>
      <c r="I1563" s="32">
        <f t="shared" si="96"/>
        <v>0</v>
      </c>
      <c r="J1563" s="33" t="str">
        <f t="shared" si="97"/>
        <v/>
      </c>
      <c r="K1563" s="2"/>
      <c r="L1563" s="15"/>
      <c r="M1563" s="34">
        <f t="shared" si="98"/>
        <v>0</v>
      </c>
    </row>
    <row r="1564" spans="1:13" x14ac:dyDescent="0.25">
      <c r="A1564" s="31"/>
      <c r="B1564" s="16" t="str">
        <f>IFERROR(VLOOKUP(A1564,Consolidado!$B$1:$L$1500,2,FALSE),"")</f>
        <v/>
      </c>
      <c r="C1564" s="16">
        <f>IFERROR(SUMIF(Consolidado!$B$1:$B$1500,VLOOKUP(RegistroPago!A1564,Consolidado!$B$1:$L$1500,1,FALSE),Consolidado!$G$1:$G$1500),"")</f>
        <v>0</v>
      </c>
      <c r="D1564" s="3"/>
      <c r="E1564" s="3"/>
      <c r="F1564" s="5" t="str">
        <f t="shared" si="99"/>
        <v/>
      </c>
      <c r="G1564" s="16" t="str">
        <f>IF(D1564&lt;&gt;"",D1564-VLOOKUP(A1564,Consolidado!$B$1:$L$1500,8,FALSE),"")</f>
        <v/>
      </c>
      <c r="H1564" s="31"/>
      <c r="I1564" s="32">
        <f t="shared" si="96"/>
        <v>0</v>
      </c>
      <c r="J1564" s="33" t="str">
        <f t="shared" si="97"/>
        <v/>
      </c>
      <c r="K1564" s="2"/>
      <c r="L1564" s="15"/>
      <c r="M1564" s="34">
        <f t="shared" si="98"/>
        <v>0</v>
      </c>
    </row>
    <row r="1565" spans="1:13" x14ac:dyDescent="0.25">
      <c r="A1565" s="31"/>
      <c r="B1565" s="16" t="str">
        <f>IFERROR(VLOOKUP(A1565,Consolidado!$B$1:$L$1500,2,FALSE),"")</f>
        <v/>
      </c>
      <c r="C1565" s="16">
        <f>IFERROR(SUMIF(Consolidado!$B$1:$B$1500,VLOOKUP(RegistroPago!A1565,Consolidado!$B$1:$L$1500,1,FALSE),Consolidado!$G$1:$G$1500),"")</f>
        <v>0</v>
      </c>
      <c r="D1565" s="3"/>
      <c r="E1565" s="3"/>
      <c r="F1565" s="5" t="str">
        <f t="shared" si="99"/>
        <v/>
      </c>
      <c r="G1565" s="16" t="str">
        <f>IF(D1565&lt;&gt;"",D1565-VLOOKUP(A1565,Consolidado!$B$1:$L$1500,8,FALSE),"")</f>
        <v/>
      </c>
      <c r="H1565" s="31"/>
      <c r="I1565" s="32">
        <f t="shared" si="96"/>
        <v>0</v>
      </c>
      <c r="J1565" s="33" t="str">
        <f t="shared" si="97"/>
        <v/>
      </c>
      <c r="K1565" s="2"/>
      <c r="L1565" s="15"/>
      <c r="M1565" s="34">
        <f t="shared" si="98"/>
        <v>0</v>
      </c>
    </row>
    <row r="1566" spans="1:13" x14ac:dyDescent="0.25">
      <c r="A1566" s="31"/>
      <c r="B1566" s="16" t="str">
        <f>IFERROR(VLOOKUP(A1566,Consolidado!$B$1:$L$1500,2,FALSE),"")</f>
        <v/>
      </c>
      <c r="C1566" s="16">
        <f>IFERROR(SUMIF(Consolidado!$B$1:$B$1500,VLOOKUP(RegistroPago!A1566,Consolidado!$B$1:$L$1500,1,FALSE),Consolidado!$G$1:$G$1500),"")</f>
        <v>0</v>
      </c>
      <c r="D1566" s="3"/>
      <c r="E1566" s="3"/>
      <c r="F1566" s="5" t="str">
        <f t="shared" si="99"/>
        <v/>
      </c>
      <c r="G1566" s="16" t="str">
        <f>IF(D1566&lt;&gt;"",D1566-VLOOKUP(A1566,Consolidado!$B$1:$L$1500,8,FALSE),"")</f>
        <v/>
      </c>
      <c r="H1566" s="31"/>
      <c r="I1566" s="32">
        <f t="shared" si="96"/>
        <v>0</v>
      </c>
      <c r="J1566" s="33" t="str">
        <f t="shared" si="97"/>
        <v/>
      </c>
      <c r="K1566" s="2"/>
      <c r="L1566" s="15"/>
      <c r="M1566" s="34">
        <f t="shared" si="98"/>
        <v>0</v>
      </c>
    </row>
    <row r="1567" spans="1:13" x14ac:dyDescent="0.25">
      <c r="A1567" s="31"/>
      <c r="B1567" s="16" t="str">
        <f>IFERROR(VLOOKUP(A1567,Consolidado!$B$1:$L$1500,2,FALSE),"")</f>
        <v/>
      </c>
      <c r="C1567" s="16">
        <f>IFERROR(SUMIF(Consolidado!$B$1:$B$1500,VLOOKUP(RegistroPago!A1567,Consolidado!$B$1:$L$1500,1,FALSE),Consolidado!$G$1:$G$1500),"")</f>
        <v>0</v>
      </c>
      <c r="D1567" s="3"/>
      <c r="E1567" s="3"/>
      <c r="F1567" s="5" t="str">
        <f t="shared" si="99"/>
        <v/>
      </c>
      <c r="G1567" s="16" t="str">
        <f>IF(D1567&lt;&gt;"",D1567-VLOOKUP(A1567,Consolidado!$B$1:$L$1500,8,FALSE),"")</f>
        <v/>
      </c>
      <c r="H1567" s="31"/>
      <c r="I1567" s="32">
        <f t="shared" si="96"/>
        <v>0</v>
      </c>
      <c r="J1567" s="33" t="str">
        <f t="shared" si="97"/>
        <v/>
      </c>
      <c r="K1567" s="2"/>
      <c r="L1567" s="15"/>
      <c r="M1567" s="34">
        <f t="shared" si="98"/>
        <v>0</v>
      </c>
    </row>
    <row r="1568" spans="1:13" x14ac:dyDescent="0.25">
      <c r="A1568" s="31"/>
      <c r="B1568" s="16" t="str">
        <f>IFERROR(VLOOKUP(A1568,Consolidado!$B$1:$L$1500,2,FALSE),"")</f>
        <v/>
      </c>
      <c r="C1568" s="16">
        <f>IFERROR(SUMIF(Consolidado!$B$1:$B$1500,VLOOKUP(RegistroPago!A1568,Consolidado!$B$1:$L$1500,1,FALSE),Consolidado!$G$1:$G$1500),"")</f>
        <v>0</v>
      </c>
      <c r="D1568" s="3"/>
      <c r="E1568" s="3"/>
      <c r="F1568" s="5" t="str">
        <f t="shared" si="99"/>
        <v/>
      </c>
      <c r="G1568" s="16" t="str">
        <f>IF(D1568&lt;&gt;"",D1568-VLOOKUP(A1568,Consolidado!$B$1:$L$1500,8,FALSE),"")</f>
        <v/>
      </c>
      <c r="H1568" s="31"/>
      <c r="I1568" s="32">
        <f t="shared" si="96"/>
        <v>0</v>
      </c>
      <c r="J1568" s="33" t="str">
        <f t="shared" si="97"/>
        <v/>
      </c>
      <c r="K1568" s="2"/>
      <c r="L1568" s="15"/>
      <c r="M1568" s="34">
        <f t="shared" si="98"/>
        <v>0</v>
      </c>
    </row>
    <row r="1569" spans="1:13" x14ac:dyDescent="0.25">
      <c r="A1569" s="31"/>
      <c r="B1569" s="16" t="str">
        <f>IFERROR(VLOOKUP(A1569,Consolidado!$B$1:$L$1500,2,FALSE),"")</f>
        <v/>
      </c>
      <c r="C1569" s="16">
        <f>IFERROR(SUMIF(Consolidado!$B$1:$B$1500,VLOOKUP(RegistroPago!A1569,Consolidado!$B$1:$L$1500,1,FALSE),Consolidado!$G$1:$G$1500),"")</f>
        <v>0</v>
      </c>
      <c r="D1569" s="3"/>
      <c r="E1569" s="3"/>
      <c r="F1569" s="5" t="str">
        <f t="shared" si="99"/>
        <v/>
      </c>
      <c r="G1569" s="16" t="str">
        <f>IF(D1569&lt;&gt;"",D1569-VLOOKUP(A1569,Consolidado!$B$1:$L$1500,8,FALSE),"")</f>
        <v/>
      </c>
      <c r="H1569" s="31"/>
      <c r="I1569" s="32">
        <f t="shared" si="96"/>
        <v>0</v>
      </c>
      <c r="J1569" s="33" t="str">
        <f t="shared" si="97"/>
        <v/>
      </c>
      <c r="K1569" s="2"/>
      <c r="L1569" s="15"/>
      <c r="M1569" s="34">
        <f t="shared" si="98"/>
        <v>0</v>
      </c>
    </row>
    <row r="1570" spans="1:13" x14ac:dyDescent="0.25">
      <c r="A1570" s="31"/>
      <c r="B1570" s="16" t="str">
        <f>IFERROR(VLOOKUP(A1570,Consolidado!$B$1:$L$1500,2,FALSE),"")</f>
        <v/>
      </c>
      <c r="C1570" s="16">
        <f>IFERROR(SUMIF(Consolidado!$B$1:$B$1500,VLOOKUP(RegistroPago!A1570,Consolidado!$B$1:$L$1500,1,FALSE),Consolidado!$G$1:$G$1500),"")</f>
        <v>0</v>
      </c>
      <c r="D1570" s="3"/>
      <c r="E1570" s="3"/>
      <c r="F1570" s="5" t="str">
        <f t="shared" si="99"/>
        <v/>
      </c>
      <c r="G1570" s="16" t="str">
        <f>IF(D1570&lt;&gt;"",D1570-VLOOKUP(A1570,Consolidado!$B$1:$L$1500,8,FALSE),"")</f>
        <v/>
      </c>
      <c r="H1570" s="31"/>
      <c r="I1570" s="32">
        <f t="shared" si="96"/>
        <v>0</v>
      </c>
      <c r="J1570" s="33" t="str">
        <f t="shared" si="97"/>
        <v/>
      </c>
      <c r="K1570" s="2"/>
      <c r="L1570" s="15"/>
      <c r="M1570" s="34">
        <f t="shared" si="98"/>
        <v>0</v>
      </c>
    </row>
    <row r="1571" spans="1:13" x14ac:dyDescent="0.25">
      <c r="A1571" s="31"/>
      <c r="B1571" s="16" t="str">
        <f>IFERROR(VLOOKUP(A1571,Consolidado!$B$1:$L$1500,2,FALSE),"")</f>
        <v/>
      </c>
      <c r="C1571" s="16">
        <f>IFERROR(SUMIF(Consolidado!$B$1:$B$1500,VLOOKUP(RegistroPago!A1571,Consolidado!$B$1:$L$1500,1,FALSE),Consolidado!$G$1:$G$1500),"")</f>
        <v>0</v>
      </c>
      <c r="D1571" s="3"/>
      <c r="E1571" s="3"/>
      <c r="F1571" s="5" t="str">
        <f t="shared" si="99"/>
        <v/>
      </c>
      <c r="G1571" s="16" t="str">
        <f>IF(D1571&lt;&gt;"",D1571-VLOOKUP(A1571,Consolidado!$B$1:$L$1500,8,FALSE),"")</f>
        <v/>
      </c>
      <c r="H1571" s="31"/>
      <c r="I1571" s="32">
        <f t="shared" si="96"/>
        <v>0</v>
      </c>
      <c r="J1571" s="33" t="str">
        <f t="shared" si="97"/>
        <v/>
      </c>
      <c r="K1571" s="2"/>
      <c r="L1571" s="15"/>
      <c r="M1571" s="34">
        <f t="shared" si="98"/>
        <v>0</v>
      </c>
    </row>
    <row r="1572" spans="1:13" x14ac:dyDescent="0.25">
      <c r="A1572" s="31"/>
      <c r="B1572" s="16" t="str">
        <f>IFERROR(VLOOKUP(A1572,Consolidado!$B$1:$L$1500,2,FALSE),"")</f>
        <v/>
      </c>
      <c r="C1572" s="16">
        <f>IFERROR(SUMIF(Consolidado!$B$1:$B$1500,VLOOKUP(RegistroPago!A1572,Consolidado!$B$1:$L$1500,1,FALSE),Consolidado!$G$1:$G$1500),"")</f>
        <v>0</v>
      </c>
      <c r="D1572" s="3"/>
      <c r="E1572" s="3"/>
      <c r="F1572" s="5" t="str">
        <f t="shared" si="99"/>
        <v/>
      </c>
      <c r="G1572" s="16" t="str">
        <f>IF(D1572&lt;&gt;"",D1572-VLOOKUP(A1572,Consolidado!$B$1:$L$1500,8,FALSE),"")</f>
        <v/>
      </c>
      <c r="H1572" s="31"/>
      <c r="I1572" s="32">
        <f t="shared" si="96"/>
        <v>0</v>
      </c>
      <c r="J1572" s="33" t="str">
        <f t="shared" si="97"/>
        <v/>
      </c>
      <c r="K1572" s="2"/>
      <c r="L1572" s="15"/>
      <c r="M1572" s="34">
        <f t="shared" si="98"/>
        <v>0</v>
      </c>
    </row>
    <row r="1573" spans="1:13" x14ac:dyDescent="0.25">
      <c r="A1573" s="31"/>
      <c r="B1573" s="16" t="str">
        <f>IFERROR(VLOOKUP(A1573,Consolidado!$B$1:$L$1500,2,FALSE),"")</f>
        <v/>
      </c>
      <c r="C1573" s="16">
        <f>IFERROR(SUMIF(Consolidado!$B$1:$B$1500,VLOOKUP(RegistroPago!A1573,Consolidado!$B$1:$L$1500,1,FALSE),Consolidado!$G$1:$G$1500),"")</f>
        <v>0</v>
      </c>
      <c r="D1573" s="3"/>
      <c r="E1573" s="3"/>
      <c r="F1573" s="5" t="str">
        <f t="shared" si="99"/>
        <v/>
      </c>
      <c r="G1573" s="16" t="str">
        <f>IF(D1573&lt;&gt;"",D1573-VLOOKUP(A1573,Consolidado!$B$1:$L$1500,8,FALSE),"")</f>
        <v/>
      </c>
      <c r="H1573" s="31"/>
      <c r="I1573" s="32">
        <f t="shared" si="96"/>
        <v>0</v>
      </c>
      <c r="J1573" s="33" t="str">
        <f t="shared" si="97"/>
        <v/>
      </c>
      <c r="K1573" s="2"/>
      <c r="L1573" s="15"/>
      <c r="M1573" s="34">
        <f t="shared" si="98"/>
        <v>0</v>
      </c>
    </row>
    <row r="1574" spans="1:13" x14ac:dyDescent="0.25">
      <c r="A1574" s="31"/>
      <c r="B1574" s="16" t="str">
        <f>IFERROR(VLOOKUP(A1574,Consolidado!$B$1:$L$1500,2,FALSE),"")</f>
        <v/>
      </c>
      <c r="C1574" s="16">
        <f>IFERROR(SUMIF(Consolidado!$B$1:$B$1500,VLOOKUP(RegistroPago!A1574,Consolidado!$B$1:$L$1500,1,FALSE),Consolidado!$G$1:$G$1500),"")</f>
        <v>0</v>
      </c>
      <c r="D1574" s="3"/>
      <c r="E1574" s="3"/>
      <c r="F1574" s="5" t="str">
        <f t="shared" si="99"/>
        <v/>
      </c>
      <c r="G1574" s="16" t="str">
        <f>IF(D1574&lt;&gt;"",D1574-VLOOKUP(A1574,Consolidado!$B$1:$L$1500,8,FALSE),"")</f>
        <v/>
      </c>
      <c r="H1574" s="31"/>
      <c r="I1574" s="32">
        <f t="shared" si="96"/>
        <v>0</v>
      </c>
      <c r="J1574" s="33" t="str">
        <f t="shared" si="97"/>
        <v/>
      </c>
      <c r="K1574" s="2"/>
      <c r="L1574" s="15"/>
      <c r="M1574" s="34">
        <f t="shared" si="98"/>
        <v>0</v>
      </c>
    </row>
    <row r="1575" spans="1:13" x14ac:dyDescent="0.25">
      <c r="A1575" s="31"/>
      <c r="B1575" s="16" t="str">
        <f>IFERROR(VLOOKUP(A1575,Consolidado!$B$1:$L$1500,2,FALSE),"")</f>
        <v/>
      </c>
      <c r="C1575" s="16">
        <f>IFERROR(SUMIF(Consolidado!$B$1:$B$1500,VLOOKUP(RegistroPago!A1575,Consolidado!$B$1:$L$1500,1,FALSE),Consolidado!$G$1:$G$1500),"")</f>
        <v>0</v>
      </c>
      <c r="D1575" s="3"/>
      <c r="E1575" s="3"/>
      <c r="F1575" s="5" t="str">
        <f t="shared" si="99"/>
        <v/>
      </c>
      <c r="G1575" s="16" t="str">
        <f>IF(D1575&lt;&gt;"",D1575-VLOOKUP(A1575,Consolidado!$B$1:$L$1500,8,FALSE),"")</f>
        <v/>
      </c>
      <c r="H1575" s="31"/>
      <c r="I1575" s="32">
        <f t="shared" si="96"/>
        <v>0</v>
      </c>
      <c r="J1575" s="33" t="str">
        <f t="shared" si="97"/>
        <v/>
      </c>
      <c r="K1575" s="2"/>
      <c r="L1575" s="15"/>
      <c r="M1575" s="34">
        <f t="shared" si="98"/>
        <v>0</v>
      </c>
    </row>
    <row r="1576" spans="1:13" x14ac:dyDescent="0.25">
      <c r="A1576" s="31"/>
      <c r="B1576" s="16" t="str">
        <f>IFERROR(VLOOKUP(A1576,Consolidado!$B$1:$L$1500,2,FALSE),"")</f>
        <v/>
      </c>
      <c r="C1576" s="16">
        <f>IFERROR(SUMIF(Consolidado!$B$1:$B$1500,VLOOKUP(RegistroPago!A1576,Consolidado!$B$1:$L$1500,1,FALSE),Consolidado!$G$1:$G$1500),"")</f>
        <v>0</v>
      </c>
      <c r="D1576" s="3"/>
      <c r="E1576" s="3"/>
      <c r="F1576" s="5" t="str">
        <f t="shared" si="99"/>
        <v/>
      </c>
      <c r="G1576" s="16" t="str">
        <f>IF(D1576&lt;&gt;"",D1576-VLOOKUP(A1576,Consolidado!$B$1:$L$1500,8,FALSE),"")</f>
        <v/>
      </c>
      <c r="H1576" s="31"/>
      <c r="I1576" s="32">
        <f t="shared" si="96"/>
        <v>0</v>
      </c>
      <c r="J1576" s="33" t="str">
        <f t="shared" si="97"/>
        <v/>
      </c>
      <c r="K1576" s="2"/>
      <c r="L1576" s="15"/>
      <c r="M1576" s="34">
        <f t="shared" si="98"/>
        <v>0</v>
      </c>
    </row>
    <row r="1577" spans="1:13" x14ac:dyDescent="0.25">
      <c r="A1577" s="31"/>
      <c r="B1577" s="16" t="str">
        <f>IFERROR(VLOOKUP(A1577,Consolidado!$B$1:$L$1500,2,FALSE),"")</f>
        <v/>
      </c>
      <c r="C1577" s="16">
        <f>IFERROR(SUMIF(Consolidado!$B$1:$B$1500,VLOOKUP(RegistroPago!A1577,Consolidado!$B$1:$L$1500,1,FALSE),Consolidado!$G$1:$G$1500),"")</f>
        <v>0</v>
      </c>
      <c r="D1577" s="3"/>
      <c r="E1577" s="3"/>
      <c r="F1577" s="5" t="str">
        <f t="shared" si="99"/>
        <v/>
      </c>
      <c r="G1577" s="16" t="str">
        <f>IF(D1577&lt;&gt;"",D1577-VLOOKUP(A1577,Consolidado!$B$1:$L$1500,8,FALSE),"")</f>
        <v/>
      </c>
      <c r="H1577" s="31"/>
      <c r="I1577" s="32">
        <f t="shared" ref="I1577:I1640" si="100">IFERROR(SUMIF($E$1:$E$2000,H1577,$C$1:$C$2000)-SUMIF($E$1:$E$2000,H1577,$F$1:$F$2000),"")</f>
        <v>0</v>
      </c>
      <c r="J1577" s="33" t="str">
        <f t="shared" ref="J1577:J1640" si="101">IFERROR(I1577/SUMIF($E$1:$E$2000,H1577,$C$1:$C$2000),"")</f>
        <v/>
      </c>
      <c r="K1577" s="2"/>
      <c r="L1577" s="15"/>
      <c r="M1577" s="34">
        <f t="shared" ref="M1577:M1640" si="102">IFERROR(L1577*SUMIF($E$1:$E$2000,H1577,$F$1:$F$2000),"")</f>
        <v>0</v>
      </c>
    </row>
    <row r="1578" spans="1:13" x14ac:dyDescent="0.25">
      <c r="A1578" s="31"/>
      <c r="B1578" s="16" t="str">
        <f>IFERROR(VLOOKUP(A1578,Consolidado!$B$1:$L$1500,2,FALSE),"")</f>
        <v/>
      </c>
      <c r="C1578" s="16">
        <f>IFERROR(SUMIF(Consolidado!$B$1:$B$1500,VLOOKUP(RegistroPago!A1578,Consolidado!$B$1:$L$1500,1,FALSE),Consolidado!$G$1:$G$1500),"")</f>
        <v>0</v>
      </c>
      <c r="D1578" s="3"/>
      <c r="E1578" s="3"/>
      <c r="F1578" s="5" t="str">
        <f t="shared" si="99"/>
        <v/>
      </c>
      <c r="G1578" s="16" t="str">
        <f>IF(D1578&lt;&gt;"",D1578-VLOOKUP(A1578,Consolidado!$B$1:$L$1500,8,FALSE),"")</f>
        <v/>
      </c>
      <c r="H1578" s="31"/>
      <c r="I1578" s="32">
        <f t="shared" si="100"/>
        <v>0</v>
      </c>
      <c r="J1578" s="33" t="str">
        <f t="shared" si="101"/>
        <v/>
      </c>
      <c r="K1578" s="2"/>
      <c r="L1578" s="15"/>
      <c r="M1578" s="34">
        <f t="shared" si="102"/>
        <v>0</v>
      </c>
    </row>
    <row r="1579" spans="1:13" x14ac:dyDescent="0.25">
      <c r="A1579" s="31"/>
      <c r="B1579" s="16" t="str">
        <f>IFERROR(VLOOKUP(A1579,Consolidado!$B$1:$L$1500,2,FALSE),"")</f>
        <v/>
      </c>
      <c r="C1579" s="16">
        <f>IFERROR(SUMIF(Consolidado!$B$1:$B$1500,VLOOKUP(RegistroPago!A1579,Consolidado!$B$1:$L$1500,1,FALSE),Consolidado!$G$1:$G$1500),"")</f>
        <v>0</v>
      </c>
      <c r="D1579" s="3"/>
      <c r="E1579" s="3"/>
      <c r="F1579" s="5" t="str">
        <f t="shared" si="99"/>
        <v/>
      </c>
      <c r="G1579" s="16" t="str">
        <f>IF(D1579&lt;&gt;"",D1579-VLOOKUP(A1579,Consolidado!$B$1:$L$1500,8,FALSE),"")</f>
        <v/>
      </c>
      <c r="H1579" s="31"/>
      <c r="I1579" s="32">
        <f t="shared" si="100"/>
        <v>0</v>
      </c>
      <c r="J1579" s="33" t="str">
        <f t="shared" si="101"/>
        <v/>
      </c>
      <c r="K1579" s="2"/>
      <c r="L1579" s="15"/>
      <c r="M1579" s="34">
        <f t="shared" si="102"/>
        <v>0</v>
      </c>
    </row>
    <row r="1580" spans="1:13" x14ac:dyDescent="0.25">
      <c r="A1580" s="31"/>
      <c r="B1580" s="16" t="str">
        <f>IFERROR(VLOOKUP(A1580,Consolidado!$B$1:$L$1500,2,FALSE),"")</f>
        <v/>
      </c>
      <c r="C1580" s="16">
        <f>IFERROR(SUMIF(Consolidado!$B$1:$B$1500,VLOOKUP(RegistroPago!A1580,Consolidado!$B$1:$L$1500,1,FALSE),Consolidado!$G$1:$G$1500),"")</f>
        <v>0</v>
      </c>
      <c r="D1580" s="3"/>
      <c r="E1580" s="3"/>
      <c r="F1580" s="5" t="str">
        <f t="shared" si="99"/>
        <v/>
      </c>
      <c r="G1580" s="16" t="str">
        <f>IF(D1580&lt;&gt;"",D1580-VLOOKUP(A1580,Consolidado!$B$1:$L$1500,8,FALSE),"")</f>
        <v/>
      </c>
      <c r="H1580" s="31"/>
      <c r="I1580" s="32">
        <f t="shared" si="100"/>
        <v>0</v>
      </c>
      <c r="J1580" s="33" t="str">
        <f t="shared" si="101"/>
        <v/>
      </c>
      <c r="K1580" s="2"/>
      <c r="L1580" s="15"/>
      <c r="M1580" s="34">
        <f t="shared" si="102"/>
        <v>0</v>
      </c>
    </row>
    <row r="1581" spans="1:13" x14ac:dyDescent="0.25">
      <c r="A1581" s="31"/>
      <c r="B1581" s="16" t="str">
        <f>IFERROR(VLOOKUP(A1581,Consolidado!$B$1:$L$1500,2,FALSE),"")</f>
        <v/>
      </c>
      <c r="C1581" s="16">
        <f>IFERROR(SUMIF(Consolidado!$B$1:$B$1500,VLOOKUP(RegistroPago!A1581,Consolidado!$B$1:$L$1500,1,FALSE),Consolidado!$G$1:$G$1500),"")</f>
        <v>0</v>
      </c>
      <c r="D1581" s="3"/>
      <c r="E1581" s="3"/>
      <c r="F1581" s="5" t="str">
        <f t="shared" si="99"/>
        <v/>
      </c>
      <c r="G1581" s="16" t="str">
        <f>IF(D1581&lt;&gt;"",D1581-VLOOKUP(A1581,Consolidado!$B$1:$L$1500,8,FALSE),"")</f>
        <v/>
      </c>
      <c r="H1581" s="31"/>
      <c r="I1581" s="32">
        <f t="shared" si="100"/>
        <v>0</v>
      </c>
      <c r="J1581" s="33" t="str">
        <f t="shared" si="101"/>
        <v/>
      </c>
      <c r="K1581" s="2"/>
      <c r="L1581" s="15"/>
      <c r="M1581" s="34">
        <f t="shared" si="102"/>
        <v>0</v>
      </c>
    </row>
    <row r="1582" spans="1:13" x14ac:dyDescent="0.25">
      <c r="A1582" s="31"/>
      <c r="B1582" s="16" t="str">
        <f>IFERROR(VLOOKUP(A1582,Consolidado!$B$1:$L$1500,2,FALSE),"")</f>
        <v/>
      </c>
      <c r="C1582" s="16">
        <f>IFERROR(SUMIF(Consolidado!$B$1:$B$1500,VLOOKUP(RegistroPago!A1582,Consolidado!$B$1:$L$1500,1,FALSE),Consolidado!$G$1:$G$1500),"")</f>
        <v>0</v>
      </c>
      <c r="D1582" s="3"/>
      <c r="E1582" s="3"/>
      <c r="F1582" s="5" t="str">
        <f t="shared" si="99"/>
        <v/>
      </c>
      <c r="G1582" s="16" t="str">
        <f>IF(D1582&lt;&gt;"",D1582-VLOOKUP(A1582,Consolidado!$B$1:$L$1500,8,FALSE),"")</f>
        <v/>
      </c>
      <c r="H1582" s="31"/>
      <c r="I1582" s="32">
        <f t="shared" si="100"/>
        <v>0</v>
      </c>
      <c r="J1582" s="33" t="str">
        <f t="shared" si="101"/>
        <v/>
      </c>
      <c r="K1582" s="2"/>
      <c r="L1582" s="15"/>
      <c r="M1582" s="34">
        <f t="shared" si="102"/>
        <v>0</v>
      </c>
    </row>
    <row r="1583" spans="1:13" x14ac:dyDescent="0.25">
      <c r="A1583" s="31"/>
      <c r="B1583" s="16" t="str">
        <f>IFERROR(VLOOKUP(A1583,Consolidado!$B$1:$L$1500,2,FALSE),"")</f>
        <v/>
      </c>
      <c r="C1583" s="16">
        <f>IFERROR(SUMIF(Consolidado!$B$1:$B$1500,VLOOKUP(RegistroPago!A1583,Consolidado!$B$1:$L$1500,1,FALSE),Consolidado!$G$1:$G$1500),"")</f>
        <v>0</v>
      </c>
      <c r="D1583" s="3"/>
      <c r="E1583" s="3"/>
      <c r="F1583" s="5" t="str">
        <f t="shared" si="99"/>
        <v/>
      </c>
      <c r="G1583" s="16" t="str">
        <f>IF(D1583&lt;&gt;"",D1583-VLOOKUP(A1583,Consolidado!$B$1:$L$1500,8,FALSE),"")</f>
        <v/>
      </c>
      <c r="H1583" s="31"/>
      <c r="I1583" s="32">
        <f t="shared" si="100"/>
        <v>0</v>
      </c>
      <c r="J1583" s="33" t="str">
        <f t="shared" si="101"/>
        <v/>
      </c>
      <c r="K1583" s="2"/>
      <c r="L1583" s="15"/>
      <c r="M1583" s="34">
        <f t="shared" si="102"/>
        <v>0</v>
      </c>
    </row>
    <row r="1584" spans="1:13" x14ac:dyDescent="0.25">
      <c r="A1584" s="31"/>
      <c r="B1584" s="16" t="str">
        <f>IFERROR(VLOOKUP(A1584,Consolidado!$B$1:$L$1500,2,FALSE),"")</f>
        <v/>
      </c>
      <c r="C1584" s="16">
        <f>IFERROR(SUMIF(Consolidado!$B$1:$B$1500,VLOOKUP(RegistroPago!A1584,Consolidado!$B$1:$L$1500,1,FALSE),Consolidado!$G$1:$G$1500),"")</f>
        <v>0</v>
      </c>
      <c r="D1584" s="3"/>
      <c r="E1584" s="3"/>
      <c r="F1584" s="5" t="str">
        <f t="shared" si="99"/>
        <v/>
      </c>
      <c r="G1584" s="16" t="str">
        <f>IF(D1584&lt;&gt;"",D1584-VLOOKUP(A1584,Consolidado!$B$1:$L$1500,8,FALSE),"")</f>
        <v/>
      </c>
      <c r="H1584" s="31"/>
      <c r="I1584" s="32">
        <f t="shared" si="100"/>
        <v>0</v>
      </c>
      <c r="J1584" s="33" t="str">
        <f t="shared" si="101"/>
        <v/>
      </c>
      <c r="K1584" s="2"/>
      <c r="L1584" s="15"/>
      <c r="M1584" s="34">
        <f t="shared" si="102"/>
        <v>0</v>
      </c>
    </row>
    <row r="1585" spans="1:13" x14ac:dyDescent="0.25">
      <c r="A1585" s="31"/>
      <c r="B1585" s="16" t="str">
        <f>IFERROR(VLOOKUP(A1585,Consolidado!$B$1:$L$1500,2,FALSE),"")</f>
        <v/>
      </c>
      <c r="C1585" s="16">
        <f>IFERROR(SUMIF(Consolidado!$B$1:$B$1500,VLOOKUP(RegistroPago!A1585,Consolidado!$B$1:$L$1500,1,FALSE),Consolidado!$G$1:$G$1500),"")</f>
        <v>0</v>
      </c>
      <c r="D1585" s="3"/>
      <c r="E1585" s="3"/>
      <c r="F1585" s="5" t="str">
        <f t="shared" si="99"/>
        <v/>
      </c>
      <c r="G1585" s="16" t="str">
        <f>IF(D1585&lt;&gt;"",D1585-VLOOKUP(A1585,Consolidado!$B$1:$L$1500,8,FALSE),"")</f>
        <v/>
      </c>
      <c r="H1585" s="31"/>
      <c r="I1585" s="32">
        <f t="shared" si="100"/>
        <v>0</v>
      </c>
      <c r="J1585" s="33" t="str">
        <f t="shared" si="101"/>
        <v/>
      </c>
      <c r="K1585" s="2"/>
      <c r="L1585" s="15"/>
      <c r="M1585" s="34">
        <f t="shared" si="102"/>
        <v>0</v>
      </c>
    </row>
    <row r="1586" spans="1:13" x14ac:dyDescent="0.25">
      <c r="A1586" s="31"/>
      <c r="B1586" s="16" t="str">
        <f>IFERROR(VLOOKUP(A1586,Consolidado!$B$1:$L$1500,2,FALSE),"")</f>
        <v/>
      </c>
      <c r="C1586" s="16">
        <f>IFERROR(SUMIF(Consolidado!$B$1:$B$1500,VLOOKUP(RegistroPago!A1586,Consolidado!$B$1:$L$1500,1,FALSE),Consolidado!$G$1:$G$1500),"")</f>
        <v>0</v>
      </c>
      <c r="D1586" s="3"/>
      <c r="E1586" s="3"/>
      <c r="F1586" s="5" t="str">
        <f t="shared" si="99"/>
        <v/>
      </c>
      <c r="G1586" s="16" t="str">
        <f>IF(D1586&lt;&gt;"",D1586-VLOOKUP(A1586,Consolidado!$B$1:$L$1500,8,FALSE),"")</f>
        <v/>
      </c>
      <c r="H1586" s="31"/>
      <c r="I1586" s="32">
        <f t="shared" si="100"/>
        <v>0</v>
      </c>
      <c r="J1586" s="33" t="str">
        <f t="shared" si="101"/>
        <v/>
      </c>
      <c r="K1586" s="2"/>
      <c r="L1586" s="15"/>
      <c r="M1586" s="34">
        <f t="shared" si="102"/>
        <v>0</v>
      </c>
    </row>
    <row r="1587" spans="1:13" x14ac:dyDescent="0.25">
      <c r="A1587" s="31"/>
      <c r="B1587" s="16" t="str">
        <f>IFERROR(VLOOKUP(A1587,Consolidado!$B$1:$L$1500,2,FALSE),"")</f>
        <v/>
      </c>
      <c r="C1587" s="16">
        <f>IFERROR(SUMIF(Consolidado!$B$1:$B$1500,VLOOKUP(RegistroPago!A1587,Consolidado!$B$1:$L$1500,1,FALSE),Consolidado!$G$1:$G$1500),"")</f>
        <v>0</v>
      </c>
      <c r="D1587" s="3"/>
      <c r="E1587" s="3"/>
      <c r="F1587" s="5" t="str">
        <f t="shared" si="99"/>
        <v/>
      </c>
      <c r="G1587" s="16" t="str">
        <f>IF(D1587&lt;&gt;"",D1587-VLOOKUP(A1587,Consolidado!$B$1:$L$1500,8,FALSE),"")</f>
        <v/>
      </c>
      <c r="H1587" s="31"/>
      <c r="I1587" s="32">
        <f t="shared" si="100"/>
        <v>0</v>
      </c>
      <c r="J1587" s="33" t="str">
        <f t="shared" si="101"/>
        <v/>
      </c>
      <c r="K1587" s="2"/>
      <c r="L1587" s="15"/>
      <c r="M1587" s="34">
        <f t="shared" si="102"/>
        <v>0</v>
      </c>
    </row>
    <row r="1588" spans="1:13" x14ac:dyDescent="0.25">
      <c r="A1588" s="31"/>
      <c r="B1588" s="16" t="str">
        <f>IFERROR(VLOOKUP(A1588,Consolidado!$B$1:$L$1500,2,FALSE),"")</f>
        <v/>
      </c>
      <c r="C1588" s="16">
        <f>IFERROR(SUMIF(Consolidado!$B$1:$B$1500,VLOOKUP(RegistroPago!A1588,Consolidado!$B$1:$L$1500,1,FALSE),Consolidado!$G$1:$G$1500),"")</f>
        <v>0</v>
      </c>
      <c r="D1588" s="3"/>
      <c r="E1588" s="3"/>
      <c r="F1588" s="5" t="str">
        <f t="shared" si="99"/>
        <v/>
      </c>
      <c r="G1588" s="16" t="str">
        <f>IF(D1588&lt;&gt;"",D1588-VLOOKUP(A1588,Consolidado!$B$1:$L$1500,8,FALSE),"")</f>
        <v/>
      </c>
      <c r="H1588" s="31"/>
      <c r="I1588" s="32">
        <f t="shared" si="100"/>
        <v>0</v>
      </c>
      <c r="J1588" s="33" t="str">
        <f t="shared" si="101"/>
        <v/>
      </c>
      <c r="K1588" s="2"/>
      <c r="L1588" s="15"/>
      <c r="M1588" s="34">
        <f t="shared" si="102"/>
        <v>0</v>
      </c>
    </row>
    <row r="1589" spans="1:13" x14ac:dyDescent="0.25">
      <c r="A1589" s="31"/>
      <c r="B1589" s="16" t="str">
        <f>IFERROR(VLOOKUP(A1589,Consolidado!$B$1:$L$1500,2,FALSE),"")</f>
        <v/>
      </c>
      <c r="C1589" s="16">
        <f>IFERROR(SUMIF(Consolidado!$B$1:$B$1500,VLOOKUP(RegistroPago!A1589,Consolidado!$B$1:$L$1500,1,FALSE),Consolidado!$G$1:$G$1500),"")</f>
        <v>0</v>
      </c>
      <c r="D1589" s="3"/>
      <c r="E1589" s="3"/>
      <c r="F1589" s="5" t="str">
        <f t="shared" si="99"/>
        <v/>
      </c>
      <c r="G1589" s="16" t="str">
        <f>IF(D1589&lt;&gt;"",D1589-VLOOKUP(A1589,Consolidado!$B$1:$L$1500,8,FALSE),"")</f>
        <v/>
      </c>
      <c r="H1589" s="31"/>
      <c r="I1589" s="32">
        <f t="shared" si="100"/>
        <v>0</v>
      </c>
      <c r="J1589" s="33" t="str">
        <f t="shared" si="101"/>
        <v/>
      </c>
      <c r="K1589" s="2"/>
      <c r="L1589" s="15"/>
      <c r="M1589" s="34">
        <f t="shared" si="102"/>
        <v>0</v>
      </c>
    </row>
    <row r="1590" spans="1:13" x14ac:dyDescent="0.25">
      <c r="A1590" s="31"/>
      <c r="B1590" s="16" t="str">
        <f>IFERROR(VLOOKUP(A1590,Consolidado!$B$1:$L$1500,2,FALSE),"")</f>
        <v/>
      </c>
      <c r="C1590" s="16">
        <f>IFERROR(SUMIF(Consolidado!$B$1:$B$1500,VLOOKUP(RegistroPago!A1590,Consolidado!$B$1:$L$1500,1,FALSE),Consolidado!$G$1:$G$1500),"")</f>
        <v>0</v>
      </c>
      <c r="D1590" s="3"/>
      <c r="E1590" s="3"/>
      <c r="F1590" s="5" t="str">
        <f t="shared" si="99"/>
        <v/>
      </c>
      <c r="G1590" s="16" t="str">
        <f>IF(D1590&lt;&gt;"",D1590-VLOOKUP(A1590,Consolidado!$B$1:$L$1500,8,FALSE),"")</f>
        <v/>
      </c>
      <c r="H1590" s="31"/>
      <c r="I1590" s="32">
        <f t="shared" si="100"/>
        <v>0</v>
      </c>
      <c r="J1590" s="33" t="str">
        <f t="shared" si="101"/>
        <v/>
      </c>
      <c r="K1590" s="2"/>
      <c r="L1590" s="15"/>
      <c r="M1590" s="34">
        <f t="shared" si="102"/>
        <v>0</v>
      </c>
    </row>
    <row r="1591" spans="1:13" x14ac:dyDescent="0.25">
      <c r="A1591" s="31"/>
      <c r="B1591" s="16" t="str">
        <f>IFERROR(VLOOKUP(A1591,Consolidado!$B$1:$L$1500,2,FALSE),"")</f>
        <v/>
      </c>
      <c r="C1591" s="16">
        <f>IFERROR(SUMIF(Consolidado!$B$1:$B$1500,VLOOKUP(RegistroPago!A1591,Consolidado!$B$1:$L$1500,1,FALSE),Consolidado!$G$1:$G$1500),"")</f>
        <v>0</v>
      </c>
      <c r="D1591" s="3"/>
      <c r="E1591" s="3"/>
      <c r="F1591" s="5" t="str">
        <f t="shared" si="99"/>
        <v/>
      </c>
      <c r="G1591" s="16" t="str">
        <f>IF(D1591&lt;&gt;"",D1591-VLOOKUP(A1591,Consolidado!$B$1:$L$1500,8,FALSE),"")</f>
        <v/>
      </c>
      <c r="H1591" s="31"/>
      <c r="I1591" s="32">
        <f t="shared" si="100"/>
        <v>0</v>
      </c>
      <c r="J1591" s="33" t="str">
        <f t="shared" si="101"/>
        <v/>
      </c>
      <c r="K1591" s="2"/>
      <c r="L1591" s="15"/>
      <c r="M1591" s="34">
        <f t="shared" si="102"/>
        <v>0</v>
      </c>
    </row>
    <row r="1592" spans="1:13" x14ac:dyDescent="0.25">
      <c r="A1592" s="31"/>
      <c r="B1592" s="16" t="str">
        <f>IFERROR(VLOOKUP(A1592,Consolidado!$B$1:$L$1500,2,FALSE),"")</f>
        <v/>
      </c>
      <c r="C1592" s="16">
        <f>IFERROR(SUMIF(Consolidado!$B$1:$B$1500,VLOOKUP(RegistroPago!A1592,Consolidado!$B$1:$L$1500,1,FALSE),Consolidado!$G$1:$G$1500),"")</f>
        <v>0</v>
      </c>
      <c r="D1592" s="3"/>
      <c r="E1592" s="3"/>
      <c r="F1592" s="5" t="str">
        <f t="shared" si="99"/>
        <v/>
      </c>
      <c r="G1592" s="16" t="str">
        <f>IF(D1592&lt;&gt;"",D1592-VLOOKUP(A1592,Consolidado!$B$1:$L$1500,8,FALSE),"")</f>
        <v/>
      </c>
      <c r="H1592" s="31"/>
      <c r="I1592" s="32">
        <f t="shared" si="100"/>
        <v>0</v>
      </c>
      <c r="J1592" s="33" t="str">
        <f t="shared" si="101"/>
        <v/>
      </c>
      <c r="K1592" s="2"/>
      <c r="L1592" s="15"/>
      <c r="M1592" s="34">
        <f t="shared" si="102"/>
        <v>0</v>
      </c>
    </row>
    <row r="1593" spans="1:13" x14ac:dyDescent="0.25">
      <c r="A1593" s="31"/>
      <c r="B1593" s="16" t="str">
        <f>IFERROR(VLOOKUP(A1593,Consolidado!$B$1:$L$1500,2,FALSE),"")</f>
        <v/>
      </c>
      <c r="C1593" s="16">
        <f>IFERROR(SUMIF(Consolidado!$B$1:$B$1500,VLOOKUP(RegistroPago!A1593,Consolidado!$B$1:$L$1500,1,FALSE),Consolidado!$G$1:$G$1500),"")</f>
        <v>0</v>
      </c>
      <c r="D1593" s="3"/>
      <c r="E1593" s="3"/>
      <c r="F1593" s="5" t="str">
        <f t="shared" si="99"/>
        <v/>
      </c>
      <c r="G1593" s="16" t="str">
        <f>IF(D1593&lt;&gt;"",D1593-VLOOKUP(A1593,Consolidado!$B$1:$L$1500,8,FALSE),"")</f>
        <v/>
      </c>
      <c r="H1593" s="31"/>
      <c r="I1593" s="32">
        <f t="shared" si="100"/>
        <v>0</v>
      </c>
      <c r="J1593" s="33" t="str">
        <f t="shared" si="101"/>
        <v/>
      </c>
      <c r="K1593" s="2"/>
      <c r="L1593" s="15"/>
      <c r="M1593" s="34">
        <f t="shared" si="102"/>
        <v>0</v>
      </c>
    </row>
    <row r="1594" spans="1:13" x14ac:dyDescent="0.25">
      <c r="A1594" s="31"/>
      <c r="B1594" s="16" t="str">
        <f>IFERROR(VLOOKUP(A1594,Consolidado!$B$1:$L$1500,2,FALSE),"")</f>
        <v/>
      </c>
      <c r="C1594" s="16">
        <f>IFERROR(SUMIF(Consolidado!$B$1:$B$1500,VLOOKUP(RegistroPago!A1594,Consolidado!$B$1:$L$1500,1,FALSE),Consolidado!$G$1:$G$1500),"")</f>
        <v>0</v>
      </c>
      <c r="D1594" s="3"/>
      <c r="E1594" s="3"/>
      <c r="F1594" s="5" t="str">
        <f t="shared" si="99"/>
        <v/>
      </c>
      <c r="G1594" s="16" t="str">
        <f>IF(D1594&lt;&gt;"",D1594-VLOOKUP(A1594,Consolidado!$B$1:$L$1500,8,FALSE),"")</f>
        <v/>
      </c>
      <c r="H1594" s="31"/>
      <c r="I1594" s="32">
        <f t="shared" si="100"/>
        <v>0</v>
      </c>
      <c r="J1594" s="33" t="str">
        <f t="shared" si="101"/>
        <v/>
      </c>
      <c r="K1594" s="2"/>
      <c r="L1594" s="15"/>
      <c r="M1594" s="34">
        <f t="shared" si="102"/>
        <v>0</v>
      </c>
    </row>
    <row r="1595" spans="1:13" x14ac:dyDescent="0.25">
      <c r="A1595" s="31"/>
      <c r="B1595" s="16" t="str">
        <f>IFERROR(VLOOKUP(A1595,Consolidado!$B$1:$L$1500,2,FALSE),"")</f>
        <v/>
      </c>
      <c r="C1595" s="16">
        <f>IFERROR(SUMIF(Consolidado!$B$1:$B$1500,VLOOKUP(RegistroPago!A1595,Consolidado!$B$1:$L$1500,1,FALSE),Consolidado!$G$1:$G$1500),"")</f>
        <v>0</v>
      </c>
      <c r="D1595" s="3"/>
      <c r="E1595" s="3"/>
      <c r="F1595" s="5" t="str">
        <f t="shared" si="99"/>
        <v/>
      </c>
      <c r="G1595" s="16" t="str">
        <f>IF(D1595&lt;&gt;"",D1595-VLOOKUP(A1595,Consolidado!$B$1:$L$1500,8,FALSE),"")</f>
        <v/>
      </c>
      <c r="H1595" s="31"/>
      <c r="I1595" s="32">
        <f t="shared" si="100"/>
        <v>0</v>
      </c>
      <c r="J1595" s="33" t="str">
        <f t="shared" si="101"/>
        <v/>
      </c>
      <c r="K1595" s="2"/>
      <c r="L1595" s="15"/>
      <c r="M1595" s="34">
        <f t="shared" si="102"/>
        <v>0</v>
      </c>
    </row>
    <row r="1596" spans="1:13" x14ac:dyDescent="0.25">
      <c r="A1596" s="31"/>
      <c r="B1596" s="16" t="str">
        <f>IFERROR(VLOOKUP(A1596,Consolidado!$B$1:$L$1500,2,FALSE),"")</f>
        <v/>
      </c>
      <c r="C1596" s="16">
        <f>IFERROR(SUMIF(Consolidado!$B$1:$B$1500,VLOOKUP(RegistroPago!A1596,Consolidado!$B$1:$L$1500,1,FALSE),Consolidado!$G$1:$G$1500),"")</f>
        <v>0</v>
      </c>
      <c r="D1596" s="3"/>
      <c r="E1596" s="3"/>
      <c r="F1596" s="5" t="str">
        <f t="shared" si="99"/>
        <v/>
      </c>
      <c r="G1596" s="16" t="str">
        <f>IF(D1596&lt;&gt;"",D1596-VLOOKUP(A1596,Consolidado!$B$1:$L$1500,8,FALSE),"")</f>
        <v/>
      </c>
      <c r="H1596" s="31"/>
      <c r="I1596" s="32">
        <f t="shared" si="100"/>
        <v>0</v>
      </c>
      <c r="J1596" s="33" t="str">
        <f t="shared" si="101"/>
        <v/>
      </c>
      <c r="K1596" s="2"/>
      <c r="L1596" s="15"/>
      <c r="M1596" s="34">
        <f t="shared" si="102"/>
        <v>0</v>
      </c>
    </row>
    <row r="1597" spans="1:13" x14ac:dyDescent="0.25">
      <c r="A1597" s="31"/>
      <c r="B1597" s="16" t="str">
        <f>IFERROR(VLOOKUP(A1597,Consolidado!$B$1:$L$1500,2,FALSE),"")</f>
        <v/>
      </c>
      <c r="C1597" s="16">
        <f>IFERROR(SUMIF(Consolidado!$B$1:$B$1500,VLOOKUP(RegistroPago!A1597,Consolidado!$B$1:$L$1500,1,FALSE),Consolidado!$G$1:$G$1500),"")</f>
        <v>0</v>
      </c>
      <c r="D1597" s="3"/>
      <c r="E1597" s="3"/>
      <c r="F1597" s="5" t="str">
        <f t="shared" si="99"/>
        <v/>
      </c>
      <c r="G1597" s="16" t="str">
        <f>IF(D1597&lt;&gt;"",D1597-VLOOKUP(A1597,Consolidado!$B$1:$L$1500,8,FALSE),"")</f>
        <v/>
      </c>
      <c r="H1597" s="31"/>
      <c r="I1597" s="32">
        <f t="shared" si="100"/>
        <v>0</v>
      </c>
      <c r="J1597" s="33" t="str">
        <f t="shared" si="101"/>
        <v/>
      </c>
      <c r="K1597" s="2"/>
      <c r="L1597" s="15"/>
      <c r="M1597" s="34">
        <f t="shared" si="102"/>
        <v>0</v>
      </c>
    </row>
    <row r="1598" spans="1:13" x14ac:dyDescent="0.25">
      <c r="A1598" s="31"/>
      <c r="B1598" s="16" t="str">
        <f>IFERROR(VLOOKUP(A1598,Consolidado!$B$1:$L$1500,2,FALSE),"")</f>
        <v/>
      </c>
      <c r="C1598" s="16">
        <f>IFERROR(SUMIF(Consolidado!$B$1:$B$1500,VLOOKUP(RegistroPago!A1598,Consolidado!$B$1:$L$1500,1,FALSE),Consolidado!$G$1:$G$1500),"")</f>
        <v>0</v>
      </c>
      <c r="D1598" s="3"/>
      <c r="E1598" s="3"/>
      <c r="F1598" s="5" t="str">
        <f t="shared" si="99"/>
        <v/>
      </c>
      <c r="G1598" s="16" t="str">
        <f>IF(D1598&lt;&gt;"",D1598-VLOOKUP(A1598,Consolidado!$B$1:$L$1500,8,FALSE),"")</f>
        <v/>
      </c>
      <c r="H1598" s="31"/>
      <c r="I1598" s="32">
        <f t="shared" si="100"/>
        <v>0</v>
      </c>
      <c r="J1598" s="33" t="str">
        <f t="shared" si="101"/>
        <v/>
      </c>
      <c r="K1598" s="2"/>
      <c r="L1598" s="15"/>
      <c r="M1598" s="34">
        <f t="shared" si="102"/>
        <v>0</v>
      </c>
    </row>
    <row r="1599" spans="1:13" x14ac:dyDescent="0.25">
      <c r="A1599" s="31"/>
      <c r="B1599" s="16" t="str">
        <f>IFERROR(VLOOKUP(A1599,Consolidado!$B$1:$L$1500,2,FALSE),"")</f>
        <v/>
      </c>
      <c r="C1599" s="16">
        <f>IFERROR(SUMIF(Consolidado!$B$1:$B$1500,VLOOKUP(RegistroPago!A1599,Consolidado!$B$1:$L$1500,1,FALSE),Consolidado!$G$1:$G$1500),"")</f>
        <v>0</v>
      </c>
      <c r="D1599" s="3"/>
      <c r="E1599" s="3"/>
      <c r="F1599" s="5" t="str">
        <f t="shared" si="99"/>
        <v/>
      </c>
      <c r="G1599" s="16" t="str">
        <f>IF(D1599&lt;&gt;"",D1599-VLOOKUP(A1599,Consolidado!$B$1:$L$1500,8,FALSE),"")</f>
        <v/>
      </c>
      <c r="H1599" s="31"/>
      <c r="I1599" s="32">
        <f t="shared" si="100"/>
        <v>0</v>
      </c>
      <c r="J1599" s="33" t="str">
        <f t="shared" si="101"/>
        <v/>
      </c>
      <c r="K1599" s="2"/>
      <c r="L1599" s="15"/>
      <c r="M1599" s="34">
        <f t="shared" si="102"/>
        <v>0</v>
      </c>
    </row>
    <row r="1600" spans="1:13" x14ac:dyDescent="0.25">
      <c r="A1600" s="31"/>
      <c r="B1600" s="16" t="str">
        <f>IFERROR(VLOOKUP(A1600,Consolidado!$B$1:$L$1500,2,FALSE),"")</f>
        <v/>
      </c>
      <c r="C1600" s="16">
        <f>IFERROR(SUMIF(Consolidado!$B$1:$B$1500,VLOOKUP(RegistroPago!A1600,Consolidado!$B$1:$L$1500,1,FALSE),Consolidado!$G$1:$G$1500),"")</f>
        <v>0</v>
      </c>
      <c r="D1600" s="3"/>
      <c r="E1600" s="3"/>
      <c r="F1600" s="5" t="str">
        <f t="shared" si="99"/>
        <v/>
      </c>
      <c r="G1600" s="16" t="str">
        <f>IF(D1600&lt;&gt;"",D1600-VLOOKUP(A1600,Consolidado!$B$1:$L$1500,8,FALSE),"")</f>
        <v/>
      </c>
      <c r="H1600" s="31"/>
      <c r="I1600" s="32">
        <f t="shared" si="100"/>
        <v>0</v>
      </c>
      <c r="J1600" s="33" t="str">
        <f t="shared" si="101"/>
        <v/>
      </c>
      <c r="K1600" s="2"/>
      <c r="L1600" s="15"/>
      <c r="M1600" s="34">
        <f t="shared" si="102"/>
        <v>0</v>
      </c>
    </row>
    <row r="1601" spans="1:13" x14ac:dyDescent="0.25">
      <c r="A1601" s="31"/>
      <c r="B1601" s="16" t="str">
        <f>IFERROR(VLOOKUP(A1601,Consolidado!$B$1:$L$1500,2,FALSE),"")</f>
        <v/>
      </c>
      <c r="C1601" s="16">
        <f>IFERROR(SUMIF(Consolidado!$B$1:$B$1500,VLOOKUP(RegistroPago!A1601,Consolidado!$B$1:$L$1500,1,FALSE),Consolidado!$G$1:$G$1500),"")</f>
        <v>0</v>
      </c>
      <c r="D1601" s="3"/>
      <c r="E1601" s="3"/>
      <c r="F1601" s="5" t="str">
        <f t="shared" si="99"/>
        <v/>
      </c>
      <c r="G1601" s="16" t="str">
        <f>IF(D1601&lt;&gt;"",D1601-VLOOKUP(A1601,Consolidado!$B$1:$L$1500,8,FALSE),"")</f>
        <v/>
      </c>
      <c r="H1601" s="31"/>
      <c r="I1601" s="32">
        <f t="shared" si="100"/>
        <v>0</v>
      </c>
      <c r="J1601" s="33" t="str">
        <f t="shared" si="101"/>
        <v/>
      </c>
      <c r="K1601" s="2"/>
      <c r="L1601" s="15"/>
      <c r="M1601" s="34">
        <f t="shared" si="102"/>
        <v>0</v>
      </c>
    </row>
    <row r="1602" spans="1:13" x14ac:dyDescent="0.25">
      <c r="A1602" s="31"/>
      <c r="B1602" s="16" t="str">
        <f>IFERROR(VLOOKUP(A1602,Consolidado!$B$1:$L$1500,2,FALSE),"")</f>
        <v/>
      </c>
      <c r="C1602" s="16">
        <f>IFERROR(SUMIF(Consolidado!$B$1:$B$1500,VLOOKUP(RegistroPago!A1602,Consolidado!$B$1:$L$1500,1,FALSE),Consolidado!$G$1:$G$1500),"")</f>
        <v>0</v>
      </c>
      <c r="D1602" s="3"/>
      <c r="E1602" s="3"/>
      <c r="F1602" s="5" t="str">
        <f t="shared" si="99"/>
        <v/>
      </c>
      <c r="G1602" s="16" t="str">
        <f>IF(D1602&lt;&gt;"",D1602-VLOOKUP(A1602,Consolidado!$B$1:$L$1500,8,FALSE),"")</f>
        <v/>
      </c>
      <c r="H1602" s="31"/>
      <c r="I1602" s="32">
        <f t="shared" si="100"/>
        <v>0</v>
      </c>
      <c r="J1602" s="33" t="str">
        <f t="shared" si="101"/>
        <v/>
      </c>
      <c r="K1602" s="2"/>
      <c r="L1602" s="15"/>
      <c r="M1602" s="34">
        <f t="shared" si="102"/>
        <v>0</v>
      </c>
    </row>
    <row r="1603" spans="1:13" x14ac:dyDescent="0.25">
      <c r="A1603" s="31"/>
      <c r="B1603" s="16" t="str">
        <f>IFERROR(VLOOKUP(A1603,Consolidado!$B$1:$L$1500,2,FALSE),"")</f>
        <v/>
      </c>
      <c r="C1603" s="16">
        <f>IFERROR(SUMIF(Consolidado!$B$1:$B$1500,VLOOKUP(RegistroPago!A1603,Consolidado!$B$1:$L$1500,1,FALSE),Consolidado!$G$1:$G$1500),"")</f>
        <v>0</v>
      </c>
      <c r="D1603" s="3"/>
      <c r="E1603" s="3"/>
      <c r="F1603" s="5" t="str">
        <f t="shared" ref="F1603:F1666" si="103">IF(COUNTIF($E$2:$E$2000,E1603)&gt;1,"Ya registrado","")</f>
        <v/>
      </c>
      <c r="G1603" s="16" t="str">
        <f>IF(D1603&lt;&gt;"",D1603-VLOOKUP(A1603,Consolidado!$B$1:$L$1500,8,FALSE),"")</f>
        <v/>
      </c>
      <c r="H1603" s="31"/>
      <c r="I1603" s="32">
        <f t="shared" si="100"/>
        <v>0</v>
      </c>
      <c r="J1603" s="33" t="str">
        <f t="shared" si="101"/>
        <v/>
      </c>
      <c r="K1603" s="2"/>
      <c r="L1603" s="15"/>
      <c r="M1603" s="34">
        <f t="shared" si="102"/>
        <v>0</v>
      </c>
    </row>
    <row r="1604" spans="1:13" x14ac:dyDescent="0.25">
      <c r="A1604" s="31"/>
      <c r="B1604" s="16" t="str">
        <f>IFERROR(VLOOKUP(A1604,Consolidado!$B$1:$L$1500,2,FALSE),"")</f>
        <v/>
      </c>
      <c r="C1604" s="16">
        <f>IFERROR(SUMIF(Consolidado!$B$1:$B$1500,VLOOKUP(RegistroPago!A1604,Consolidado!$B$1:$L$1500,1,FALSE),Consolidado!$G$1:$G$1500),"")</f>
        <v>0</v>
      </c>
      <c r="D1604" s="3"/>
      <c r="E1604" s="3"/>
      <c r="F1604" s="5" t="str">
        <f t="shared" si="103"/>
        <v/>
      </c>
      <c r="G1604" s="16" t="str">
        <f>IF(D1604&lt;&gt;"",D1604-VLOOKUP(A1604,Consolidado!$B$1:$L$1500,8,FALSE),"")</f>
        <v/>
      </c>
      <c r="H1604" s="31"/>
      <c r="I1604" s="32">
        <f t="shared" si="100"/>
        <v>0</v>
      </c>
      <c r="J1604" s="33" t="str">
        <f t="shared" si="101"/>
        <v/>
      </c>
      <c r="K1604" s="2"/>
      <c r="L1604" s="15"/>
      <c r="M1604" s="34">
        <f t="shared" si="102"/>
        <v>0</v>
      </c>
    </row>
    <row r="1605" spans="1:13" x14ac:dyDescent="0.25">
      <c r="A1605" s="31"/>
      <c r="B1605" s="16" t="str">
        <f>IFERROR(VLOOKUP(A1605,Consolidado!$B$1:$L$1500,2,FALSE),"")</f>
        <v/>
      </c>
      <c r="C1605" s="16">
        <f>IFERROR(SUMIF(Consolidado!$B$1:$B$1500,VLOOKUP(RegistroPago!A1605,Consolidado!$B$1:$L$1500,1,FALSE),Consolidado!$G$1:$G$1500),"")</f>
        <v>0</v>
      </c>
      <c r="D1605" s="3"/>
      <c r="E1605" s="3"/>
      <c r="F1605" s="5" t="str">
        <f t="shared" si="103"/>
        <v/>
      </c>
      <c r="G1605" s="16" t="str">
        <f>IF(D1605&lt;&gt;"",D1605-VLOOKUP(A1605,Consolidado!$B$1:$L$1500,8,FALSE),"")</f>
        <v/>
      </c>
      <c r="H1605" s="31"/>
      <c r="I1605" s="32">
        <f t="shared" si="100"/>
        <v>0</v>
      </c>
      <c r="J1605" s="33" t="str">
        <f t="shared" si="101"/>
        <v/>
      </c>
      <c r="K1605" s="2"/>
      <c r="L1605" s="15"/>
      <c r="M1605" s="34">
        <f t="shared" si="102"/>
        <v>0</v>
      </c>
    </row>
    <row r="1606" spans="1:13" x14ac:dyDescent="0.25">
      <c r="A1606" s="31"/>
      <c r="B1606" s="16" t="str">
        <f>IFERROR(VLOOKUP(A1606,Consolidado!$B$1:$L$1500,2,FALSE),"")</f>
        <v/>
      </c>
      <c r="C1606" s="16">
        <f>IFERROR(SUMIF(Consolidado!$B$1:$B$1500,VLOOKUP(RegistroPago!A1606,Consolidado!$B$1:$L$1500,1,FALSE),Consolidado!$G$1:$G$1500),"")</f>
        <v>0</v>
      </c>
      <c r="D1606" s="3"/>
      <c r="E1606" s="3"/>
      <c r="F1606" s="5" t="str">
        <f t="shared" si="103"/>
        <v/>
      </c>
      <c r="G1606" s="16" t="str">
        <f>IF(D1606&lt;&gt;"",D1606-VLOOKUP(A1606,Consolidado!$B$1:$L$1500,8,FALSE),"")</f>
        <v/>
      </c>
      <c r="H1606" s="31"/>
      <c r="I1606" s="32">
        <f t="shared" si="100"/>
        <v>0</v>
      </c>
      <c r="J1606" s="33" t="str">
        <f t="shared" si="101"/>
        <v/>
      </c>
      <c r="K1606" s="2"/>
      <c r="L1606" s="15"/>
      <c r="M1606" s="34">
        <f t="shared" si="102"/>
        <v>0</v>
      </c>
    </row>
    <row r="1607" spans="1:13" x14ac:dyDescent="0.25">
      <c r="A1607" s="31"/>
      <c r="B1607" s="16" t="str">
        <f>IFERROR(VLOOKUP(A1607,Consolidado!$B$1:$L$1500,2,FALSE),"")</f>
        <v/>
      </c>
      <c r="C1607" s="16">
        <f>IFERROR(SUMIF(Consolidado!$B$1:$B$1500,VLOOKUP(RegistroPago!A1607,Consolidado!$B$1:$L$1500,1,FALSE),Consolidado!$G$1:$G$1500),"")</f>
        <v>0</v>
      </c>
      <c r="D1607" s="3"/>
      <c r="E1607" s="3"/>
      <c r="F1607" s="5" t="str">
        <f t="shared" si="103"/>
        <v/>
      </c>
      <c r="G1607" s="16" t="str">
        <f>IF(D1607&lt;&gt;"",D1607-VLOOKUP(A1607,Consolidado!$B$1:$L$1500,8,FALSE),"")</f>
        <v/>
      </c>
      <c r="H1607" s="31"/>
      <c r="I1607" s="32">
        <f t="shared" si="100"/>
        <v>0</v>
      </c>
      <c r="J1607" s="33" t="str">
        <f t="shared" si="101"/>
        <v/>
      </c>
      <c r="K1607" s="2"/>
      <c r="L1607" s="15"/>
      <c r="M1607" s="34">
        <f t="shared" si="102"/>
        <v>0</v>
      </c>
    </row>
    <row r="1608" spans="1:13" x14ac:dyDescent="0.25">
      <c r="A1608" s="31"/>
      <c r="B1608" s="16" t="str">
        <f>IFERROR(VLOOKUP(A1608,Consolidado!$B$1:$L$1500,2,FALSE),"")</f>
        <v/>
      </c>
      <c r="C1608" s="16">
        <f>IFERROR(SUMIF(Consolidado!$B$1:$B$1500,VLOOKUP(RegistroPago!A1608,Consolidado!$B$1:$L$1500,1,FALSE),Consolidado!$G$1:$G$1500),"")</f>
        <v>0</v>
      </c>
      <c r="D1608" s="3"/>
      <c r="E1608" s="3"/>
      <c r="F1608" s="5" t="str">
        <f t="shared" si="103"/>
        <v/>
      </c>
      <c r="G1608" s="16" t="str">
        <f>IF(D1608&lt;&gt;"",D1608-VLOOKUP(A1608,Consolidado!$B$1:$L$1500,8,FALSE),"")</f>
        <v/>
      </c>
      <c r="H1608" s="31"/>
      <c r="I1608" s="32">
        <f t="shared" si="100"/>
        <v>0</v>
      </c>
      <c r="J1608" s="33" t="str">
        <f t="shared" si="101"/>
        <v/>
      </c>
      <c r="K1608" s="2"/>
      <c r="L1608" s="15"/>
      <c r="M1608" s="34">
        <f t="shared" si="102"/>
        <v>0</v>
      </c>
    </row>
    <row r="1609" spans="1:13" x14ac:dyDescent="0.25">
      <c r="A1609" s="31"/>
      <c r="B1609" s="16" t="str">
        <f>IFERROR(VLOOKUP(A1609,Consolidado!$B$1:$L$1500,2,FALSE),"")</f>
        <v/>
      </c>
      <c r="C1609" s="16">
        <f>IFERROR(SUMIF(Consolidado!$B$1:$B$1500,VLOOKUP(RegistroPago!A1609,Consolidado!$B$1:$L$1500,1,FALSE),Consolidado!$G$1:$G$1500),"")</f>
        <v>0</v>
      </c>
      <c r="D1609" s="3"/>
      <c r="E1609" s="3"/>
      <c r="F1609" s="5" t="str">
        <f t="shared" si="103"/>
        <v/>
      </c>
      <c r="G1609" s="16" t="str">
        <f>IF(D1609&lt;&gt;"",D1609-VLOOKUP(A1609,Consolidado!$B$1:$L$1500,8,FALSE),"")</f>
        <v/>
      </c>
      <c r="H1609" s="31"/>
      <c r="I1609" s="32">
        <f t="shared" si="100"/>
        <v>0</v>
      </c>
      <c r="J1609" s="33" t="str">
        <f t="shared" si="101"/>
        <v/>
      </c>
      <c r="K1609" s="2"/>
      <c r="L1609" s="15"/>
      <c r="M1609" s="34">
        <f t="shared" si="102"/>
        <v>0</v>
      </c>
    </row>
    <row r="1610" spans="1:13" x14ac:dyDescent="0.25">
      <c r="A1610" s="31"/>
      <c r="B1610" s="16" t="str">
        <f>IFERROR(VLOOKUP(A1610,Consolidado!$B$1:$L$1500,2,FALSE),"")</f>
        <v/>
      </c>
      <c r="C1610" s="16">
        <f>IFERROR(SUMIF(Consolidado!$B$1:$B$1500,VLOOKUP(RegistroPago!A1610,Consolidado!$B$1:$L$1500,1,FALSE),Consolidado!$G$1:$G$1500),"")</f>
        <v>0</v>
      </c>
      <c r="D1610" s="3"/>
      <c r="E1610" s="3"/>
      <c r="F1610" s="5" t="str">
        <f t="shared" si="103"/>
        <v/>
      </c>
      <c r="G1610" s="16" t="str">
        <f>IF(D1610&lt;&gt;"",D1610-VLOOKUP(A1610,Consolidado!$B$1:$L$1500,8,FALSE),"")</f>
        <v/>
      </c>
      <c r="H1610" s="31"/>
      <c r="I1610" s="32">
        <f t="shared" si="100"/>
        <v>0</v>
      </c>
      <c r="J1610" s="33" t="str">
        <f t="shared" si="101"/>
        <v/>
      </c>
      <c r="K1610" s="2"/>
      <c r="L1610" s="15"/>
      <c r="M1610" s="34">
        <f t="shared" si="102"/>
        <v>0</v>
      </c>
    </row>
    <row r="1611" spans="1:13" x14ac:dyDescent="0.25">
      <c r="A1611" s="31"/>
      <c r="B1611" s="16" t="str">
        <f>IFERROR(VLOOKUP(A1611,Consolidado!$B$1:$L$1500,2,FALSE),"")</f>
        <v/>
      </c>
      <c r="C1611" s="16">
        <f>IFERROR(SUMIF(Consolidado!$B$1:$B$1500,VLOOKUP(RegistroPago!A1611,Consolidado!$B$1:$L$1500,1,FALSE),Consolidado!$G$1:$G$1500),"")</f>
        <v>0</v>
      </c>
      <c r="D1611" s="3"/>
      <c r="E1611" s="3"/>
      <c r="F1611" s="5" t="str">
        <f t="shared" si="103"/>
        <v/>
      </c>
      <c r="G1611" s="16" t="str">
        <f>IF(D1611&lt;&gt;"",D1611-VLOOKUP(A1611,Consolidado!$B$1:$L$1500,8,FALSE),"")</f>
        <v/>
      </c>
      <c r="H1611" s="31"/>
      <c r="I1611" s="32">
        <f t="shared" si="100"/>
        <v>0</v>
      </c>
      <c r="J1611" s="33" t="str">
        <f t="shared" si="101"/>
        <v/>
      </c>
      <c r="K1611" s="2"/>
      <c r="L1611" s="15"/>
      <c r="M1611" s="34">
        <f t="shared" si="102"/>
        <v>0</v>
      </c>
    </row>
    <row r="1612" spans="1:13" x14ac:dyDescent="0.25">
      <c r="A1612" s="31"/>
      <c r="B1612" s="16" t="str">
        <f>IFERROR(VLOOKUP(A1612,Consolidado!$B$1:$L$1500,2,FALSE),"")</f>
        <v/>
      </c>
      <c r="C1612" s="16">
        <f>IFERROR(SUMIF(Consolidado!$B$1:$B$1500,VLOOKUP(RegistroPago!A1612,Consolidado!$B$1:$L$1500,1,FALSE),Consolidado!$G$1:$G$1500),"")</f>
        <v>0</v>
      </c>
      <c r="D1612" s="3"/>
      <c r="E1612" s="3"/>
      <c r="F1612" s="5" t="str">
        <f t="shared" si="103"/>
        <v/>
      </c>
      <c r="G1612" s="16" t="str">
        <f>IF(D1612&lt;&gt;"",D1612-VLOOKUP(A1612,Consolidado!$B$1:$L$1500,8,FALSE),"")</f>
        <v/>
      </c>
      <c r="H1612" s="31"/>
      <c r="I1612" s="32">
        <f t="shared" si="100"/>
        <v>0</v>
      </c>
      <c r="J1612" s="33" t="str">
        <f t="shared" si="101"/>
        <v/>
      </c>
      <c r="K1612" s="2"/>
      <c r="L1612" s="15"/>
      <c r="M1612" s="34">
        <f t="shared" si="102"/>
        <v>0</v>
      </c>
    </row>
    <row r="1613" spans="1:13" x14ac:dyDescent="0.25">
      <c r="A1613" s="31"/>
      <c r="B1613" s="16" t="str">
        <f>IFERROR(VLOOKUP(A1613,Consolidado!$B$1:$L$1500,2,FALSE),"")</f>
        <v/>
      </c>
      <c r="C1613" s="16">
        <f>IFERROR(SUMIF(Consolidado!$B$1:$B$1500,VLOOKUP(RegistroPago!A1613,Consolidado!$B$1:$L$1500,1,FALSE),Consolidado!$G$1:$G$1500),"")</f>
        <v>0</v>
      </c>
      <c r="D1613" s="3"/>
      <c r="E1613" s="3"/>
      <c r="F1613" s="5" t="str">
        <f t="shared" si="103"/>
        <v/>
      </c>
      <c r="G1613" s="16" t="str">
        <f>IF(D1613&lt;&gt;"",D1613-VLOOKUP(A1613,Consolidado!$B$1:$L$1500,8,FALSE),"")</f>
        <v/>
      </c>
      <c r="H1613" s="31"/>
      <c r="I1613" s="32">
        <f t="shared" si="100"/>
        <v>0</v>
      </c>
      <c r="J1613" s="33" t="str">
        <f t="shared" si="101"/>
        <v/>
      </c>
      <c r="K1613" s="2"/>
      <c r="L1613" s="15"/>
      <c r="M1613" s="34">
        <f t="shared" si="102"/>
        <v>0</v>
      </c>
    </row>
    <row r="1614" spans="1:13" x14ac:dyDescent="0.25">
      <c r="A1614" s="31"/>
      <c r="B1614" s="16" t="str">
        <f>IFERROR(VLOOKUP(A1614,Consolidado!$B$1:$L$1500,2,FALSE),"")</f>
        <v/>
      </c>
      <c r="C1614" s="16">
        <f>IFERROR(SUMIF(Consolidado!$B$1:$B$1500,VLOOKUP(RegistroPago!A1614,Consolidado!$B$1:$L$1500,1,FALSE),Consolidado!$G$1:$G$1500),"")</f>
        <v>0</v>
      </c>
      <c r="D1614" s="3"/>
      <c r="E1614" s="3"/>
      <c r="F1614" s="5" t="str">
        <f t="shared" si="103"/>
        <v/>
      </c>
      <c r="G1614" s="16" t="str">
        <f>IF(D1614&lt;&gt;"",D1614-VLOOKUP(A1614,Consolidado!$B$1:$L$1500,8,FALSE),"")</f>
        <v/>
      </c>
      <c r="H1614" s="31"/>
      <c r="I1614" s="32">
        <f t="shared" si="100"/>
        <v>0</v>
      </c>
      <c r="J1614" s="33" t="str">
        <f t="shared" si="101"/>
        <v/>
      </c>
      <c r="K1614" s="2"/>
      <c r="L1614" s="15"/>
      <c r="M1614" s="34">
        <f t="shared" si="102"/>
        <v>0</v>
      </c>
    </row>
    <row r="1615" spans="1:13" x14ac:dyDescent="0.25">
      <c r="A1615" s="31"/>
      <c r="B1615" s="16" t="str">
        <f>IFERROR(VLOOKUP(A1615,Consolidado!$B$1:$L$1500,2,FALSE),"")</f>
        <v/>
      </c>
      <c r="C1615" s="16">
        <f>IFERROR(SUMIF(Consolidado!$B$1:$B$1500,VLOOKUP(RegistroPago!A1615,Consolidado!$B$1:$L$1500,1,FALSE),Consolidado!$G$1:$G$1500),"")</f>
        <v>0</v>
      </c>
      <c r="D1615" s="3"/>
      <c r="E1615" s="3"/>
      <c r="F1615" s="5" t="str">
        <f t="shared" si="103"/>
        <v/>
      </c>
      <c r="G1615" s="16" t="str">
        <f>IF(D1615&lt;&gt;"",D1615-VLOOKUP(A1615,Consolidado!$B$1:$L$1500,8,FALSE),"")</f>
        <v/>
      </c>
      <c r="H1615" s="31"/>
      <c r="I1615" s="32">
        <f t="shared" si="100"/>
        <v>0</v>
      </c>
      <c r="J1615" s="33" t="str">
        <f t="shared" si="101"/>
        <v/>
      </c>
      <c r="K1615" s="2"/>
      <c r="L1615" s="15"/>
      <c r="M1615" s="34">
        <f t="shared" si="102"/>
        <v>0</v>
      </c>
    </row>
    <row r="1616" spans="1:13" x14ac:dyDescent="0.25">
      <c r="A1616" s="31"/>
      <c r="B1616" s="16" t="str">
        <f>IFERROR(VLOOKUP(A1616,Consolidado!$B$1:$L$1500,2,FALSE),"")</f>
        <v/>
      </c>
      <c r="C1616" s="16">
        <f>IFERROR(SUMIF(Consolidado!$B$1:$B$1500,VLOOKUP(RegistroPago!A1616,Consolidado!$B$1:$L$1500,1,FALSE),Consolidado!$G$1:$G$1500),"")</f>
        <v>0</v>
      </c>
      <c r="D1616" s="3"/>
      <c r="E1616" s="3"/>
      <c r="F1616" s="5" t="str">
        <f t="shared" si="103"/>
        <v/>
      </c>
      <c r="G1616" s="16" t="str">
        <f>IF(D1616&lt;&gt;"",D1616-VLOOKUP(A1616,Consolidado!$B$1:$L$1500,8,FALSE),"")</f>
        <v/>
      </c>
      <c r="H1616" s="31"/>
      <c r="I1616" s="32">
        <f t="shared" si="100"/>
        <v>0</v>
      </c>
      <c r="J1616" s="33" t="str">
        <f t="shared" si="101"/>
        <v/>
      </c>
      <c r="K1616" s="2"/>
      <c r="L1616" s="15"/>
      <c r="M1616" s="34">
        <f t="shared" si="102"/>
        <v>0</v>
      </c>
    </row>
    <row r="1617" spans="1:13" x14ac:dyDescent="0.25">
      <c r="A1617" s="31"/>
      <c r="B1617" s="16" t="str">
        <f>IFERROR(VLOOKUP(A1617,Consolidado!$B$1:$L$1500,2,FALSE),"")</f>
        <v/>
      </c>
      <c r="C1617" s="16">
        <f>IFERROR(SUMIF(Consolidado!$B$1:$B$1500,VLOOKUP(RegistroPago!A1617,Consolidado!$B$1:$L$1500,1,FALSE),Consolidado!$G$1:$G$1500),"")</f>
        <v>0</v>
      </c>
      <c r="D1617" s="3"/>
      <c r="E1617" s="3"/>
      <c r="F1617" s="5" t="str">
        <f t="shared" si="103"/>
        <v/>
      </c>
      <c r="G1617" s="16" t="str">
        <f>IF(D1617&lt;&gt;"",D1617-VLOOKUP(A1617,Consolidado!$B$1:$L$1500,8,FALSE),"")</f>
        <v/>
      </c>
      <c r="H1617" s="31"/>
      <c r="I1617" s="32">
        <f t="shared" si="100"/>
        <v>0</v>
      </c>
      <c r="J1617" s="33" t="str">
        <f t="shared" si="101"/>
        <v/>
      </c>
      <c r="K1617" s="2"/>
      <c r="L1617" s="15"/>
      <c r="M1617" s="34">
        <f t="shared" si="102"/>
        <v>0</v>
      </c>
    </row>
    <row r="1618" spans="1:13" x14ac:dyDescent="0.25">
      <c r="A1618" s="31"/>
      <c r="B1618" s="16" t="str">
        <f>IFERROR(VLOOKUP(A1618,Consolidado!$B$1:$L$1500,2,FALSE),"")</f>
        <v/>
      </c>
      <c r="C1618" s="16">
        <f>IFERROR(SUMIF(Consolidado!$B$1:$B$1500,VLOOKUP(RegistroPago!A1618,Consolidado!$B$1:$L$1500,1,FALSE),Consolidado!$G$1:$G$1500),"")</f>
        <v>0</v>
      </c>
      <c r="D1618" s="3"/>
      <c r="E1618" s="3"/>
      <c r="F1618" s="5" t="str">
        <f t="shared" si="103"/>
        <v/>
      </c>
      <c r="G1618" s="16" t="str">
        <f>IF(D1618&lt;&gt;"",D1618-VLOOKUP(A1618,Consolidado!$B$1:$L$1500,8,FALSE),"")</f>
        <v/>
      </c>
      <c r="H1618" s="31"/>
      <c r="I1618" s="32">
        <f t="shared" si="100"/>
        <v>0</v>
      </c>
      <c r="J1618" s="33" t="str">
        <f t="shared" si="101"/>
        <v/>
      </c>
      <c r="K1618" s="2"/>
      <c r="L1618" s="15"/>
      <c r="M1618" s="34">
        <f t="shared" si="102"/>
        <v>0</v>
      </c>
    </row>
    <row r="1619" spans="1:13" x14ac:dyDescent="0.25">
      <c r="A1619" s="31"/>
      <c r="B1619" s="16" t="str">
        <f>IFERROR(VLOOKUP(A1619,Consolidado!$B$1:$L$1500,2,FALSE),"")</f>
        <v/>
      </c>
      <c r="C1619" s="16">
        <f>IFERROR(SUMIF(Consolidado!$B$1:$B$1500,VLOOKUP(RegistroPago!A1619,Consolidado!$B$1:$L$1500,1,FALSE),Consolidado!$G$1:$G$1500),"")</f>
        <v>0</v>
      </c>
      <c r="D1619" s="3"/>
      <c r="E1619" s="3"/>
      <c r="F1619" s="5" t="str">
        <f t="shared" si="103"/>
        <v/>
      </c>
      <c r="G1619" s="16" t="str">
        <f>IF(D1619&lt;&gt;"",D1619-VLOOKUP(A1619,Consolidado!$B$1:$L$1500,8,FALSE),"")</f>
        <v/>
      </c>
      <c r="H1619" s="31"/>
      <c r="I1619" s="32">
        <f t="shared" si="100"/>
        <v>0</v>
      </c>
      <c r="J1619" s="33" t="str">
        <f t="shared" si="101"/>
        <v/>
      </c>
      <c r="K1619" s="2"/>
      <c r="L1619" s="15"/>
      <c r="M1619" s="34">
        <f t="shared" si="102"/>
        <v>0</v>
      </c>
    </row>
    <row r="1620" spans="1:13" x14ac:dyDescent="0.25">
      <c r="A1620" s="31"/>
      <c r="B1620" s="16" t="str">
        <f>IFERROR(VLOOKUP(A1620,Consolidado!$B$1:$L$1500,2,FALSE),"")</f>
        <v/>
      </c>
      <c r="C1620" s="16">
        <f>IFERROR(SUMIF(Consolidado!$B$1:$B$1500,VLOOKUP(RegistroPago!A1620,Consolidado!$B$1:$L$1500,1,FALSE),Consolidado!$G$1:$G$1500),"")</f>
        <v>0</v>
      </c>
      <c r="D1620" s="3"/>
      <c r="E1620" s="3"/>
      <c r="F1620" s="5" t="str">
        <f t="shared" si="103"/>
        <v/>
      </c>
      <c r="G1620" s="16" t="str">
        <f>IF(D1620&lt;&gt;"",D1620-VLOOKUP(A1620,Consolidado!$B$1:$L$1500,8,FALSE),"")</f>
        <v/>
      </c>
      <c r="H1620" s="31"/>
      <c r="I1620" s="32">
        <f t="shared" si="100"/>
        <v>0</v>
      </c>
      <c r="J1620" s="33" t="str">
        <f t="shared" si="101"/>
        <v/>
      </c>
      <c r="K1620" s="2"/>
      <c r="L1620" s="15"/>
      <c r="M1620" s="34">
        <f t="shared" si="102"/>
        <v>0</v>
      </c>
    </row>
    <row r="1621" spans="1:13" x14ac:dyDescent="0.25">
      <c r="A1621" s="31"/>
      <c r="B1621" s="16" t="str">
        <f>IFERROR(VLOOKUP(A1621,Consolidado!$B$1:$L$1500,2,FALSE),"")</f>
        <v/>
      </c>
      <c r="C1621" s="16">
        <f>IFERROR(SUMIF(Consolidado!$B$1:$B$1500,VLOOKUP(RegistroPago!A1621,Consolidado!$B$1:$L$1500,1,FALSE),Consolidado!$G$1:$G$1500),"")</f>
        <v>0</v>
      </c>
      <c r="D1621" s="3"/>
      <c r="E1621" s="3"/>
      <c r="F1621" s="5" t="str">
        <f t="shared" si="103"/>
        <v/>
      </c>
      <c r="G1621" s="16" t="str">
        <f>IF(D1621&lt;&gt;"",D1621-VLOOKUP(A1621,Consolidado!$B$1:$L$1500,8,FALSE),"")</f>
        <v/>
      </c>
      <c r="H1621" s="31"/>
      <c r="I1621" s="32">
        <f t="shared" si="100"/>
        <v>0</v>
      </c>
      <c r="J1621" s="33" t="str">
        <f t="shared" si="101"/>
        <v/>
      </c>
      <c r="K1621" s="2"/>
      <c r="L1621" s="15"/>
      <c r="M1621" s="34">
        <f t="shared" si="102"/>
        <v>0</v>
      </c>
    </row>
    <row r="1622" spans="1:13" x14ac:dyDescent="0.25">
      <c r="A1622" s="31"/>
      <c r="B1622" s="16" t="str">
        <f>IFERROR(VLOOKUP(A1622,Consolidado!$B$1:$L$1500,2,FALSE),"")</f>
        <v/>
      </c>
      <c r="C1622" s="16">
        <f>IFERROR(SUMIF(Consolidado!$B$1:$B$1500,VLOOKUP(RegistroPago!A1622,Consolidado!$B$1:$L$1500,1,FALSE),Consolidado!$G$1:$G$1500),"")</f>
        <v>0</v>
      </c>
      <c r="D1622" s="3"/>
      <c r="E1622" s="3"/>
      <c r="F1622" s="5" t="str">
        <f t="shared" si="103"/>
        <v/>
      </c>
      <c r="G1622" s="16" t="str">
        <f>IF(D1622&lt;&gt;"",D1622-VLOOKUP(A1622,Consolidado!$B$1:$L$1500,8,FALSE),"")</f>
        <v/>
      </c>
      <c r="H1622" s="31"/>
      <c r="I1622" s="32">
        <f t="shared" si="100"/>
        <v>0</v>
      </c>
      <c r="J1622" s="33" t="str">
        <f t="shared" si="101"/>
        <v/>
      </c>
      <c r="K1622" s="2"/>
      <c r="L1622" s="15"/>
      <c r="M1622" s="34">
        <f t="shared" si="102"/>
        <v>0</v>
      </c>
    </row>
    <row r="1623" spans="1:13" x14ac:dyDescent="0.25">
      <c r="A1623" s="31"/>
      <c r="B1623" s="16" t="str">
        <f>IFERROR(VLOOKUP(A1623,Consolidado!$B$1:$L$1500,2,FALSE),"")</f>
        <v/>
      </c>
      <c r="C1623" s="16">
        <f>IFERROR(SUMIF(Consolidado!$B$1:$B$1500,VLOOKUP(RegistroPago!A1623,Consolidado!$B$1:$L$1500,1,FALSE),Consolidado!$G$1:$G$1500),"")</f>
        <v>0</v>
      </c>
      <c r="D1623" s="3"/>
      <c r="E1623" s="3"/>
      <c r="F1623" s="5" t="str">
        <f t="shared" si="103"/>
        <v/>
      </c>
      <c r="G1623" s="16" t="str">
        <f>IF(D1623&lt;&gt;"",D1623-VLOOKUP(A1623,Consolidado!$B$1:$L$1500,8,FALSE),"")</f>
        <v/>
      </c>
      <c r="H1623" s="31"/>
      <c r="I1623" s="32">
        <f t="shared" si="100"/>
        <v>0</v>
      </c>
      <c r="J1623" s="33" t="str">
        <f t="shared" si="101"/>
        <v/>
      </c>
      <c r="K1623" s="2"/>
      <c r="L1623" s="15"/>
      <c r="M1623" s="34">
        <f t="shared" si="102"/>
        <v>0</v>
      </c>
    </row>
    <row r="1624" spans="1:13" x14ac:dyDescent="0.25">
      <c r="A1624" s="31"/>
      <c r="B1624" s="16" t="str">
        <f>IFERROR(VLOOKUP(A1624,Consolidado!$B$1:$L$1500,2,FALSE),"")</f>
        <v/>
      </c>
      <c r="C1624" s="16">
        <f>IFERROR(SUMIF(Consolidado!$B$1:$B$1500,VLOOKUP(RegistroPago!A1624,Consolidado!$B$1:$L$1500,1,FALSE),Consolidado!$G$1:$G$1500),"")</f>
        <v>0</v>
      </c>
      <c r="D1624" s="3"/>
      <c r="E1624" s="3"/>
      <c r="F1624" s="5" t="str">
        <f t="shared" si="103"/>
        <v/>
      </c>
      <c r="G1624" s="16" t="str">
        <f>IF(D1624&lt;&gt;"",D1624-VLOOKUP(A1624,Consolidado!$B$1:$L$1500,8,FALSE),"")</f>
        <v/>
      </c>
      <c r="H1624" s="31"/>
      <c r="I1624" s="32">
        <f t="shared" si="100"/>
        <v>0</v>
      </c>
      <c r="J1624" s="33" t="str">
        <f t="shared" si="101"/>
        <v/>
      </c>
      <c r="K1624" s="2"/>
      <c r="L1624" s="15"/>
      <c r="M1624" s="34">
        <f t="shared" si="102"/>
        <v>0</v>
      </c>
    </row>
    <row r="1625" spans="1:13" x14ac:dyDescent="0.25">
      <c r="A1625" s="31"/>
      <c r="B1625" s="16" t="str">
        <f>IFERROR(VLOOKUP(A1625,Consolidado!$B$1:$L$1500,2,FALSE),"")</f>
        <v/>
      </c>
      <c r="C1625" s="16">
        <f>IFERROR(SUMIF(Consolidado!$B$1:$B$1500,VLOOKUP(RegistroPago!A1625,Consolidado!$B$1:$L$1500,1,FALSE),Consolidado!$G$1:$G$1500),"")</f>
        <v>0</v>
      </c>
      <c r="D1625" s="3"/>
      <c r="E1625" s="3"/>
      <c r="F1625" s="5" t="str">
        <f t="shared" si="103"/>
        <v/>
      </c>
      <c r="G1625" s="16" t="str">
        <f>IF(D1625&lt;&gt;"",D1625-VLOOKUP(A1625,Consolidado!$B$1:$L$1500,8,FALSE),"")</f>
        <v/>
      </c>
      <c r="H1625" s="31"/>
      <c r="I1625" s="32">
        <f t="shared" si="100"/>
        <v>0</v>
      </c>
      <c r="J1625" s="33" t="str">
        <f t="shared" si="101"/>
        <v/>
      </c>
      <c r="K1625" s="2"/>
      <c r="L1625" s="15"/>
      <c r="M1625" s="34">
        <f t="shared" si="102"/>
        <v>0</v>
      </c>
    </row>
    <row r="1626" spans="1:13" x14ac:dyDescent="0.25">
      <c r="A1626" s="31"/>
      <c r="B1626" s="16" t="str">
        <f>IFERROR(VLOOKUP(A1626,Consolidado!$B$1:$L$1500,2,FALSE),"")</f>
        <v/>
      </c>
      <c r="C1626" s="16">
        <f>IFERROR(SUMIF(Consolidado!$B$1:$B$1500,VLOOKUP(RegistroPago!A1626,Consolidado!$B$1:$L$1500,1,FALSE),Consolidado!$G$1:$G$1500),"")</f>
        <v>0</v>
      </c>
      <c r="D1626" s="3"/>
      <c r="E1626" s="3"/>
      <c r="F1626" s="5" t="str">
        <f t="shared" si="103"/>
        <v/>
      </c>
      <c r="G1626" s="16" t="str">
        <f>IF(D1626&lt;&gt;"",D1626-VLOOKUP(A1626,Consolidado!$B$1:$L$1500,8,FALSE),"")</f>
        <v/>
      </c>
      <c r="H1626" s="31"/>
      <c r="I1626" s="32">
        <f t="shared" si="100"/>
        <v>0</v>
      </c>
      <c r="J1626" s="33" t="str">
        <f t="shared" si="101"/>
        <v/>
      </c>
      <c r="K1626" s="2"/>
      <c r="L1626" s="15"/>
      <c r="M1626" s="34">
        <f t="shared" si="102"/>
        <v>0</v>
      </c>
    </row>
    <row r="1627" spans="1:13" x14ac:dyDescent="0.25">
      <c r="A1627" s="31"/>
      <c r="B1627" s="16" t="str">
        <f>IFERROR(VLOOKUP(A1627,Consolidado!$B$1:$L$1500,2,FALSE),"")</f>
        <v/>
      </c>
      <c r="C1627" s="16">
        <f>IFERROR(SUMIF(Consolidado!$B$1:$B$1500,VLOOKUP(RegistroPago!A1627,Consolidado!$B$1:$L$1500,1,FALSE),Consolidado!$G$1:$G$1500),"")</f>
        <v>0</v>
      </c>
      <c r="D1627" s="3"/>
      <c r="E1627" s="3"/>
      <c r="F1627" s="5" t="str">
        <f t="shared" si="103"/>
        <v/>
      </c>
      <c r="G1627" s="16" t="str">
        <f>IF(D1627&lt;&gt;"",D1627-VLOOKUP(A1627,Consolidado!$B$1:$L$1500,8,FALSE),"")</f>
        <v/>
      </c>
      <c r="H1627" s="31"/>
      <c r="I1627" s="32">
        <f t="shared" si="100"/>
        <v>0</v>
      </c>
      <c r="J1627" s="33" t="str">
        <f t="shared" si="101"/>
        <v/>
      </c>
      <c r="K1627" s="2"/>
      <c r="L1627" s="15"/>
      <c r="M1627" s="34">
        <f t="shared" si="102"/>
        <v>0</v>
      </c>
    </row>
    <row r="1628" spans="1:13" x14ac:dyDescent="0.25">
      <c r="A1628" s="31"/>
      <c r="B1628" s="16" t="str">
        <f>IFERROR(VLOOKUP(A1628,Consolidado!$B$1:$L$1500,2,FALSE),"")</f>
        <v/>
      </c>
      <c r="C1628" s="16">
        <f>IFERROR(SUMIF(Consolidado!$B$1:$B$1500,VLOOKUP(RegistroPago!A1628,Consolidado!$B$1:$L$1500,1,FALSE),Consolidado!$G$1:$G$1500),"")</f>
        <v>0</v>
      </c>
      <c r="D1628" s="3"/>
      <c r="E1628" s="3"/>
      <c r="F1628" s="5" t="str">
        <f t="shared" si="103"/>
        <v/>
      </c>
      <c r="G1628" s="16" t="str">
        <f>IF(D1628&lt;&gt;"",D1628-VLOOKUP(A1628,Consolidado!$B$1:$L$1500,8,FALSE),"")</f>
        <v/>
      </c>
      <c r="H1628" s="31"/>
      <c r="I1628" s="32">
        <f t="shared" si="100"/>
        <v>0</v>
      </c>
      <c r="J1628" s="33" t="str">
        <f t="shared" si="101"/>
        <v/>
      </c>
      <c r="K1628" s="2"/>
      <c r="L1628" s="15"/>
      <c r="M1628" s="34">
        <f t="shared" si="102"/>
        <v>0</v>
      </c>
    </row>
    <row r="1629" spans="1:13" x14ac:dyDescent="0.25">
      <c r="A1629" s="31"/>
      <c r="B1629" s="16" t="str">
        <f>IFERROR(VLOOKUP(A1629,Consolidado!$B$1:$L$1500,2,FALSE),"")</f>
        <v/>
      </c>
      <c r="C1629" s="16">
        <f>IFERROR(SUMIF(Consolidado!$B$1:$B$1500,VLOOKUP(RegistroPago!A1629,Consolidado!$B$1:$L$1500,1,FALSE),Consolidado!$G$1:$G$1500),"")</f>
        <v>0</v>
      </c>
      <c r="D1629" s="3"/>
      <c r="E1629" s="3"/>
      <c r="F1629" s="5" t="str">
        <f t="shared" si="103"/>
        <v/>
      </c>
      <c r="G1629" s="16" t="str">
        <f>IF(D1629&lt;&gt;"",D1629-VLOOKUP(A1629,Consolidado!$B$1:$L$1500,8,FALSE),"")</f>
        <v/>
      </c>
      <c r="H1629" s="31"/>
      <c r="I1629" s="32">
        <f t="shared" si="100"/>
        <v>0</v>
      </c>
      <c r="J1629" s="33" t="str">
        <f t="shared" si="101"/>
        <v/>
      </c>
      <c r="K1629" s="2"/>
      <c r="L1629" s="15"/>
      <c r="M1629" s="34">
        <f t="shared" si="102"/>
        <v>0</v>
      </c>
    </row>
    <row r="1630" spans="1:13" x14ac:dyDescent="0.25">
      <c r="A1630" s="31"/>
      <c r="B1630" s="16" t="str">
        <f>IFERROR(VLOOKUP(A1630,Consolidado!$B$1:$L$1500,2,FALSE),"")</f>
        <v/>
      </c>
      <c r="C1630" s="16">
        <f>IFERROR(SUMIF(Consolidado!$B$1:$B$1500,VLOOKUP(RegistroPago!A1630,Consolidado!$B$1:$L$1500,1,FALSE),Consolidado!$G$1:$G$1500),"")</f>
        <v>0</v>
      </c>
      <c r="D1630" s="3"/>
      <c r="E1630" s="3"/>
      <c r="F1630" s="5" t="str">
        <f t="shared" si="103"/>
        <v/>
      </c>
      <c r="G1630" s="16" t="str">
        <f>IF(D1630&lt;&gt;"",D1630-VLOOKUP(A1630,Consolidado!$B$1:$L$1500,8,FALSE),"")</f>
        <v/>
      </c>
      <c r="H1630" s="31"/>
      <c r="I1630" s="32">
        <f t="shared" si="100"/>
        <v>0</v>
      </c>
      <c r="J1630" s="33" t="str">
        <f t="shared" si="101"/>
        <v/>
      </c>
      <c r="K1630" s="2"/>
      <c r="L1630" s="15"/>
      <c r="M1630" s="34">
        <f t="shared" si="102"/>
        <v>0</v>
      </c>
    </row>
    <row r="1631" spans="1:13" x14ac:dyDescent="0.25">
      <c r="A1631" s="31"/>
      <c r="B1631" s="16" t="str">
        <f>IFERROR(VLOOKUP(A1631,Consolidado!$B$1:$L$1500,2,FALSE),"")</f>
        <v/>
      </c>
      <c r="C1631" s="16">
        <f>IFERROR(SUMIF(Consolidado!$B$1:$B$1500,VLOOKUP(RegistroPago!A1631,Consolidado!$B$1:$L$1500,1,FALSE),Consolidado!$G$1:$G$1500),"")</f>
        <v>0</v>
      </c>
      <c r="D1631" s="3"/>
      <c r="E1631" s="3"/>
      <c r="F1631" s="5" t="str">
        <f t="shared" si="103"/>
        <v/>
      </c>
      <c r="G1631" s="16" t="str">
        <f>IF(D1631&lt;&gt;"",D1631-VLOOKUP(A1631,Consolidado!$B$1:$L$1500,8,FALSE),"")</f>
        <v/>
      </c>
      <c r="H1631" s="31"/>
      <c r="I1631" s="32">
        <f t="shared" si="100"/>
        <v>0</v>
      </c>
      <c r="J1631" s="33" t="str">
        <f t="shared" si="101"/>
        <v/>
      </c>
      <c r="K1631" s="2"/>
      <c r="L1631" s="15"/>
      <c r="M1631" s="34">
        <f t="shared" si="102"/>
        <v>0</v>
      </c>
    </row>
    <row r="1632" spans="1:13" x14ac:dyDescent="0.25">
      <c r="A1632" s="31"/>
      <c r="B1632" s="16" t="str">
        <f>IFERROR(VLOOKUP(A1632,Consolidado!$B$1:$L$1500,2,FALSE),"")</f>
        <v/>
      </c>
      <c r="C1632" s="16">
        <f>IFERROR(SUMIF(Consolidado!$B$1:$B$1500,VLOOKUP(RegistroPago!A1632,Consolidado!$B$1:$L$1500,1,FALSE),Consolidado!$G$1:$G$1500),"")</f>
        <v>0</v>
      </c>
      <c r="D1632" s="3"/>
      <c r="E1632" s="3"/>
      <c r="F1632" s="5" t="str">
        <f t="shared" si="103"/>
        <v/>
      </c>
      <c r="G1632" s="16" t="str">
        <f>IF(D1632&lt;&gt;"",D1632-VLOOKUP(A1632,Consolidado!$B$1:$L$1500,8,FALSE),"")</f>
        <v/>
      </c>
      <c r="H1632" s="31"/>
      <c r="I1632" s="32">
        <f t="shared" si="100"/>
        <v>0</v>
      </c>
      <c r="J1632" s="33" t="str">
        <f t="shared" si="101"/>
        <v/>
      </c>
      <c r="K1632" s="2"/>
      <c r="L1632" s="15"/>
      <c r="M1632" s="34">
        <f t="shared" si="102"/>
        <v>0</v>
      </c>
    </row>
    <row r="1633" spans="1:13" x14ac:dyDescent="0.25">
      <c r="A1633" s="31"/>
      <c r="B1633" s="16" t="str">
        <f>IFERROR(VLOOKUP(A1633,Consolidado!$B$1:$L$1500,2,FALSE),"")</f>
        <v/>
      </c>
      <c r="C1633" s="16">
        <f>IFERROR(SUMIF(Consolidado!$B$1:$B$1500,VLOOKUP(RegistroPago!A1633,Consolidado!$B$1:$L$1500,1,FALSE),Consolidado!$G$1:$G$1500),"")</f>
        <v>0</v>
      </c>
      <c r="D1633" s="3"/>
      <c r="E1633" s="3"/>
      <c r="F1633" s="5" t="str">
        <f t="shared" si="103"/>
        <v/>
      </c>
      <c r="G1633" s="16" t="str">
        <f>IF(D1633&lt;&gt;"",D1633-VLOOKUP(A1633,Consolidado!$B$1:$L$1500,8,FALSE),"")</f>
        <v/>
      </c>
      <c r="H1633" s="31"/>
      <c r="I1633" s="32">
        <f t="shared" si="100"/>
        <v>0</v>
      </c>
      <c r="J1633" s="33" t="str">
        <f t="shared" si="101"/>
        <v/>
      </c>
      <c r="K1633" s="2"/>
      <c r="L1633" s="15"/>
      <c r="M1633" s="34">
        <f t="shared" si="102"/>
        <v>0</v>
      </c>
    </row>
    <row r="1634" spans="1:13" x14ac:dyDescent="0.25">
      <c r="A1634" s="31"/>
      <c r="B1634" s="16" t="str">
        <f>IFERROR(VLOOKUP(A1634,Consolidado!$B$1:$L$1500,2,FALSE),"")</f>
        <v/>
      </c>
      <c r="C1634" s="16">
        <f>IFERROR(SUMIF(Consolidado!$B$1:$B$1500,VLOOKUP(RegistroPago!A1634,Consolidado!$B$1:$L$1500,1,FALSE),Consolidado!$G$1:$G$1500),"")</f>
        <v>0</v>
      </c>
      <c r="D1634" s="3"/>
      <c r="E1634" s="3"/>
      <c r="F1634" s="5" t="str">
        <f t="shared" si="103"/>
        <v/>
      </c>
      <c r="G1634" s="16" t="str">
        <f>IF(D1634&lt;&gt;"",D1634-VLOOKUP(A1634,Consolidado!$B$1:$L$1500,8,FALSE),"")</f>
        <v/>
      </c>
      <c r="H1634" s="31"/>
      <c r="I1634" s="32">
        <f t="shared" si="100"/>
        <v>0</v>
      </c>
      <c r="J1634" s="33" t="str">
        <f t="shared" si="101"/>
        <v/>
      </c>
      <c r="K1634" s="2"/>
      <c r="L1634" s="15"/>
      <c r="M1634" s="34">
        <f t="shared" si="102"/>
        <v>0</v>
      </c>
    </row>
    <row r="1635" spans="1:13" x14ac:dyDescent="0.25">
      <c r="A1635" s="31"/>
      <c r="B1635" s="16" t="str">
        <f>IFERROR(VLOOKUP(A1635,Consolidado!$B$1:$L$1500,2,FALSE),"")</f>
        <v/>
      </c>
      <c r="C1635" s="16">
        <f>IFERROR(SUMIF(Consolidado!$B$1:$B$1500,VLOOKUP(RegistroPago!A1635,Consolidado!$B$1:$L$1500,1,FALSE),Consolidado!$G$1:$G$1500),"")</f>
        <v>0</v>
      </c>
      <c r="D1635" s="3"/>
      <c r="E1635" s="3"/>
      <c r="F1635" s="5" t="str">
        <f t="shared" si="103"/>
        <v/>
      </c>
      <c r="G1635" s="16" t="str">
        <f>IF(D1635&lt;&gt;"",D1635-VLOOKUP(A1635,Consolidado!$B$1:$L$1500,8,FALSE),"")</f>
        <v/>
      </c>
      <c r="H1635" s="31"/>
      <c r="I1635" s="32">
        <f t="shared" si="100"/>
        <v>0</v>
      </c>
      <c r="J1635" s="33" t="str">
        <f t="shared" si="101"/>
        <v/>
      </c>
      <c r="K1635" s="2"/>
      <c r="L1635" s="15"/>
      <c r="M1635" s="34">
        <f t="shared" si="102"/>
        <v>0</v>
      </c>
    </row>
    <row r="1636" spans="1:13" x14ac:dyDescent="0.25">
      <c r="A1636" s="31"/>
      <c r="B1636" s="16" t="str">
        <f>IFERROR(VLOOKUP(A1636,Consolidado!$B$1:$L$1500,2,FALSE),"")</f>
        <v/>
      </c>
      <c r="C1636" s="16">
        <f>IFERROR(SUMIF(Consolidado!$B$1:$B$1500,VLOOKUP(RegistroPago!A1636,Consolidado!$B$1:$L$1500,1,FALSE),Consolidado!$G$1:$G$1500),"")</f>
        <v>0</v>
      </c>
      <c r="D1636" s="3"/>
      <c r="E1636" s="3"/>
      <c r="F1636" s="5" t="str">
        <f t="shared" si="103"/>
        <v/>
      </c>
      <c r="G1636" s="16" t="str">
        <f>IF(D1636&lt;&gt;"",D1636-VLOOKUP(A1636,Consolidado!$B$1:$L$1500,8,FALSE),"")</f>
        <v/>
      </c>
      <c r="H1636" s="31"/>
      <c r="I1636" s="32">
        <f t="shared" si="100"/>
        <v>0</v>
      </c>
      <c r="J1636" s="33" t="str">
        <f t="shared" si="101"/>
        <v/>
      </c>
      <c r="K1636" s="2"/>
      <c r="L1636" s="15"/>
      <c r="M1636" s="34">
        <f t="shared" si="102"/>
        <v>0</v>
      </c>
    </row>
    <row r="1637" spans="1:13" x14ac:dyDescent="0.25">
      <c r="A1637" s="31"/>
      <c r="B1637" s="16" t="str">
        <f>IFERROR(VLOOKUP(A1637,Consolidado!$B$1:$L$1500,2,FALSE),"")</f>
        <v/>
      </c>
      <c r="C1637" s="16">
        <f>IFERROR(SUMIF(Consolidado!$B$1:$B$1500,VLOOKUP(RegistroPago!A1637,Consolidado!$B$1:$L$1500,1,FALSE),Consolidado!$G$1:$G$1500),"")</f>
        <v>0</v>
      </c>
      <c r="D1637" s="3"/>
      <c r="E1637" s="3"/>
      <c r="F1637" s="5" t="str">
        <f t="shared" si="103"/>
        <v/>
      </c>
      <c r="G1637" s="16" t="str">
        <f>IF(D1637&lt;&gt;"",D1637-VLOOKUP(A1637,Consolidado!$B$1:$L$1500,8,FALSE),"")</f>
        <v/>
      </c>
      <c r="H1637" s="31"/>
      <c r="I1637" s="32">
        <f t="shared" si="100"/>
        <v>0</v>
      </c>
      <c r="J1637" s="33" t="str">
        <f t="shared" si="101"/>
        <v/>
      </c>
      <c r="K1637" s="2"/>
      <c r="L1637" s="15"/>
      <c r="M1637" s="34">
        <f t="shared" si="102"/>
        <v>0</v>
      </c>
    </row>
    <row r="1638" spans="1:13" x14ac:dyDescent="0.25">
      <c r="A1638" s="31"/>
      <c r="B1638" s="16" t="str">
        <f>IFERROR(VLOOKUP(A1638,Consolidado!$B$1:$L$1500,2,FALSE),"")</f>
        <v/>
      </c>
      <c r="C1638" s="16">
        <f>IFERROR(SUMIF(Consolidado!$B$1:$B$1500,VLOOKUP(RegistroPago!A1638,Consolidado!$B$1:$L$1500,1,FALSE),Consolidado!$G$1:$G$1500),"")</f>
        <v>0</v>
      </c>
      <c r="D1638" s="3"/>
      <c r="E1638" s="3"/>
      <c r="F1638" s="5" t="str">
        <f t="shared" si="103"/>
        <v/>
      </c>
      <c r="G1638" s="16" t="str">
        <f>IF(D1638&lt;&gt;"",D1638-VLOOKUP(A1638,Consolidado!$B$1:$L$1500,8,FALSE),"")</f>
        <v/>
      </c>
      <c r="H1638" s="31"/>
      <c r="I1638" s="32">
        <f t="shared" si="100"/>
        <v>0</v>
      </c>
      <c r="J1638" s="33" t="str">
        <f t="shared" si="101"/>
        <v/>
      </c>
      <c r="K1638" s="2"/>
      <c r="L1638" s="15"/>
      <c r="M1638" s="34">
        <f t="shared" si="102"/>
        <v>0</v>
      </c>
    </row>
    <row r="1639" spans="1:13" x14ac:dyDescent="0.25">
      <c r="A1639" s="31"/>
      <c r="B1639" s="16" t="str">
        <f>IFERROR(VLOOKUP(A1639,Consolidado!$B$1:$L$1500,2,FALSE),"")</f>
        <v/>
      </c>
      <c r="C1639" s="16">
        <f>IFERROR(SUMIF(Consolidado!$B$1:$B$1500,VLOOKUP(RegistroPago!A1639,Consolidado!$B$1:$L$1500,1,FALSE),Consolidado!$G$1:$G$1500),"")</f>
        <v>0</v>
      </c>
      <c r="D1639" s="3"/>
      <c r="E1639" s="3"/>
      <c r="F1639" s="5" t="str">
        <f t="shared" si="103"/>
        <v/>
      </c>
      <c r="G1639" s="16" t="str">
        <f>IF(D1639&lt;&gt;"",D1639-VLOOKUP(A1639,Consolidado!$B$1:$L$1500,8,FALSE),"")</f>
        <v/>
      </c>
      <c r="H1639" s="31"/>
      <c r="I1639" s="32">
        <f t="shared" si="100"/>
        <v>0</v>
      </c>
      <c r="J1639" s="33" t="str">
        <f t="shared" si="101"/>
        <v/>
      </c>
      <c r="K1639" s="2"/>
      <c r="L1639" s="15"/>
      <c r="M1639" s="34">
        <f t="shared" si="102"/>
        <v>0</v>
      </c>
    </row>
    <row r="1640" spans="1:13" x14ac:dyDescent="0.25">
      <c r="A1640" s="31"/>
      <c r="B1640" s="16" t="str">
        <f>IFERROR(VLOOKUP(A1640,Consolidado!$B$1:$L$1500,2,FALSE),"")</f>
        <v/>
      </c>
      <c r="C1640" s="16">
        <f>IFERROR(SUMIF(Consolidado!$B$1:$B$1500,VLOOKUP(RegistroPago!A1640,Consolidado!$B$1:$L$1500,1,FALSE),Consolidado!$G$1:$G$1500),"")</f>
        <v>0</v>
      </c>
      <c r="D1640" s="3"/>
      <c r="E1640" s="3"/>
      <c r="F1640" s="5" t="str">
        <f t="shared" si="103"/>
        <v/>
      </c>
      <c r="G1640" s="16" t="str">
        <f>IF(D1640&lt;&gt;"",D1640-VLOOKUP(A1640,Consolidado!$B$1:$L$1500,8,FALSE),"")</f>
        <v/>
      </c>
      <c r="H1640" s="31"/>
      <c r="I1640" s="32">
        <f t="shared" si="100"/>
        <v>0</v>
      </c>
      <c r="J1640" s="33" t="str">
        <f t="shared" si="101"/>
        <v/>
      </c>
      <c r="K1640" s="2"/>
      <c r="L1640" s="15"/>
      <c r="M1640" s="34">
        <f t="shared" si="102"/>
        <v>0</v>
      </c>
    </row>
    <row r="1641" spans="1:13" x14ac:dyDescent="0.25">
      <c r="A1641" s="31"/>
      <c r="B1641" s="16" t="str">
        <f>IFERROR(VLOOKUP(A1641,Consolidado!$B$1:$L$1500,2,FALSE),"")</f>
        <v/>
      </c>
      <c r="C1641" s="16">
        <f>IFERROR(SUMIF(Consolidado!$B$1:$B$1500,VLOOKUP(RegistroPago!A1641,Consolidado!$B$1:$L$1500,1,FALSE),Consolidado!$G$1:$G$1500),"")</f>
        <v>0</v>
      </c>
      <c r="D1641" s="3"/>
      <c r="E1641" s="3"/>
      <c r="F1641" s="5" t="str">
        <f t="shared" si="103"/>
        <v/>
      </c>
      <c r="G1641" s="16" t="str">
        <f>IF(D1641&lt;&gt;"",D1641-VLOOKUP(A1641,Consolidado!$B$1:$L$1500,8,FALSE),"")</f>
        <v/>
      </c>
      <c r="H1641" s="31"/>
      <c r="I1641" s="32">
        <f t="shared" ref="I1641:I1704" si="104">IFERROR(SUMIF($E$1:$E$2000,H1641,$C$1:$C$2000)-SUMIF($E$1:$E$2000,H1641,$F$1:$F$2000),"")</f>
        <v>0</v>
      </c>
      <c r="J1641" s="33" t="str">
        <f t="shared" ref="J1641:J1704" si="105">IFERROR(I1641/SUMIF($E$1:$E$2000,H1641,$C$1:$C$2000),"")</f>
        <v/>
      </c>
      <c r="K1641" s="2"/>
      <c r="L1641" s="15"/>
      <c r="M1641" s="34">
        <f t="shared" ref="M1641:M1704" si="106">IFERROR(L1641*SUMIF($E$1:$E$2000,H1641,$F$1:$F$2000),"")</f>
        <v>0</v>
      </c>
    </row>
    <row r="1642" spans="1:13" x14ac:dyDescent="0.25">
      <c r="A1642" s="31"/>
      <c r="B1642" s="16" t="str">
        <f>IFERROR(VLOOKUP(A1642,Consolidado!$B$1:$L$1500,2,FALSE),"")</f>
        <v/>
      </c>
      <c r="C1642" s="16">
        <f>IFERROR(SUMIF(Consolidado!$B$1:$B$1500,VLOOKUP(RegistroPago!A1642,Consolidado!$B$1:$L$1500,1,FALSE),Consolidado!$G$1:$G$1500),"")</f>
        <v>0</v>
      </c>
      <c r="D1642" s="3"/>
      <c r="E1642" s="3"/>
      <c r="F1642" s="5" t="str">
        <f t="shared" si="103"/>
        <v/>
      </c>
      <c r="G1642" s="16" t="str">
        <f>IF(D1642&lt;&gt;"",D1642-VLOOKUP(A1642,Consolidado!$B$1:$L$1500,8,FALSE),"")</f>
        <v/>
      </c>
      <c r="H1642" s="31"/>
      <c r="I1642" s="32">
        <f t="shared" si="104"/>
        <v>0</v>
      </c>
      <c r="J1642" s="33" t="str">
        <f t="shared" si="105"/>
        <v/>
      </c>
      <c r="K1642" s="2"/>
      <c r="L1642" s="15"/>
      <c r="M1642" s="34">
        <f t="shared" si="106"/>
        <v>0</v>
      </c>
    </row>
    <row r="1643" spans="1:13" x14ac:dyDescent="0.25">
      <c r="A1643" s="31"/>
      <c r="B1643" s="16" t="str">
        <f>IFERROR(VLOOKUP(A1643,Consolidado!$B$1:$L$1500,2,FALSE),"")</f>
        <v/>
      </c>
      <c r="C1643" s="16">
        <f>IFERROR(SUMIF(Consolidado!$B$1:$B$1500,VLOOKUP(RegistroPago!A1643,Consolidado!$B$1:$L$1500,1,FALSE),Consolidado!$G$1:$G$1500),"")</f>
        <v>0</v>
      </c>
      <c r="D1643" s="3"/>
      <c r="E1643" s="3"/>
      <c r="F1643" s="5" t="str">
        <f t="shared" si="103"/>
        <v/>
      </c>
      <c r="G1643" s="16" t="str">
        <f>IF(D1643&lt;&gt;"",D1643-VLOOKUP(A1643,Consolidado!$B$1:$L$1500,8,FALSE),"")</f>
        <v/>
      </c>
      <c r="H1643" s="31"/>
      <c r="I1643" s="32">
        <f t="shared" si="104"/>
        <v>0</v>
      </c>
      <c r="J1643" s="33" t="str">
        <f t="shared" si="105"/>
        <v/>
      </c>
      <c r="K1643" s="2"/>
      <c r="L1643" s="15"/>
      <c r="M1643" s="34">
        <f t="shared" si="106"/>
        <v>0</v>
      </c>
    </row>
    <row r="1644" spans="1:13" x14ac:dyDescent="0.25">
      <c r="A1644" s="31"/>
      <c r="B1644" s="16" t="str">
        <f>IFERROR(VLOOKUP(A1644,Consolidado!$B$1:$L$1500,2,FALSE),"")</f>
        <v/>
      </c>
      <c r="C1644" s="16">
        <f>IFERROR(SUMIF(Consolidado!$B$1:$B$1500,VLOOKUP(RegistroPago!A1644,Consolidado!$B$1:$L$1500,1,FALSE),Consolidado!$G$1:$G$1500),"")</f>
        <v>0</v>
      </c>
      <c r="D1644" s="3"/>
      <c r="E1644" s="3"/>
      <c r="F1644" s="5" t="str">
        <f t="shared" si="103"/>
        <v/>
      </c>
      <c r="G1644" s="16" t="str">
        <f>IF(D1644&lt;&gt;"",D1644-VLOOKUP(A1644,Consolidado!$B$1:$L$1500,8,FALSE),"")</f>
        <v/>
      </c>
      <c r="H1644" s="31"/>
      <c r="I1644" s="32">
        <f t="shared" si="104"/>
        <v>0</v>
      </c>
      <c r="J1644" s="33" t="str">
        <f t="shared" si="105"/>
        <v/>
      </c>
      <c r="K1644" s="2"/>
      <c r="L1644" s="15"/>
      <c r="M1644" s="34">
        <f t="shared" si="106"/>
        <v>0</v>
      </c>
    </row>
    <row r="1645" spans="1:13" x14ac:dyDescent="0.25">
      <c r="A1645" s="31"/>
      <c r="B1645" s="16" t="str">
        <f>IFERROR(VLOOKUP(A1645,Consolidado!$B$1:$L$1500,2,FALSE),"")</f>
        <v/>
      </c>
      <c r="C1645" s="16">
        <f>IFERROR(SUMIF(Consolidado!$B$1:$B$1500,VLOOKUP(RegistroPago!A1645,Consolidado!$B$1:$L$1500,1,FALSE),Consolidado!$G$1:$G$1500),"")</f>
        <v>0</v>
      </c>
      <c r="D1645" s="3"/>
      <c r="E1645" s="3"/>
      <c r="F1645" s="5" t="str">
        <f t="shared" si="103"/>
        <v/>
      </c>
      <c r="G1645" s="16" t="str">
        <f>IF(D1645&lt;&gt;"",D1645-VLOOKUP(A1645,Consolidado!$B$1:$L$1500,8,FALSE),"")</f>
        <v/>
      </c>
      <c r="H1645" s="31"/>
      <c r="I1645" s="32">
        <f t="shared" si="104"/>
        <v>0</v>
      </c>
      <c r="J1645" s="33" t="str">
        <f t="shared" si="105"/>
        <v/>
      </c>
      <c r="K1645" s="2"/>
      <c r="L1645" s="15"/>
      <c r="M1645" s="34">
        <f t="shared" si="106"/>
        <v>0</v>
      </c>
    </row>
    <row r="1646" spans="1:13" x14ac:dyDescent="0.25">
      <c r="A1646" s="31"/>
      <c r="B1646" s="16" t="str">
        <f>IFERROR(VLOOKUP(A1646,Consolidado!$B$1:$L$1500,2,FALSE),"")</f>
        <v/>
      </c>
      <c r="C1646" s="16">
        <f>IFERROR(SUMIF(Consolidado!$B$1:$B$1500,VLOOKUP(RegistroPago!A1646,Consolidado!$B$1:$L$1500,1,FALSE),Consolidado!$G$1:$G$1500),"")</f>
        <v>0</v>
      </c>
      <c r="D1646" s="3"/>
      <c r="E1646" s="3"/>
      <c r="F1646" s="5" t="str">
        <f t="shared" si="103"/>
        <v/>
      </c>
      <c r="G1646" s="16" t="str">
        <f>IF(D1646&lt;&gt;"",D1646-VLOOKUP(A1646,Consolidado!$B$1:$L$1500,8,FALSE),"")</f>
        <v/>
      </c>
      <c r="H1646" s="31"/>
      <c r="I1646" s="32">
        <f t="shared" si="104"/>
        <v>0</v>
      </c>
      <c r="J1646" s="33" t="str">
        <f t="shared" si="105"/>
        <v/>
      </c>
      <c r="K1646" s="2"/>
      <c r="L1646" s="15"/>
      <c r="M1646" s="34">
        <f t="shared" si="106"/>
        <v>0</v>
      </c>
    </row>
    <row r="1647" spans="1:13" x14ac:dyDescent="0.25">
      <c r="A1647" s="31"/>
      <c r="B1647" s="16" t="str">
        <f>IFERROR(VLOOKUP(A1647,Consolidado!$B$1:$L$1500,2,FALSE),"")</f>
        <v/>
      </c>
      <c r="C1647" s="16">
        <f>IFERROR(SUMIF(Consolidado!$B$1:$B$1500,VLOOKUP(RegistroPago!A1647,Consolidado!$B$1:$L$1500,1,FALSE),Consolidado!$G$1:$G$1500),"")</f>
        <v>0</v>
      </c>
      <c r="D1647" s="3"/>
      <c r="E1647" s="3"/>
      <c r="F1647" s="5" t="str">
        <f t="shared" si="103"/>
        <v/>
      </c>
      <c r="G1647" s="16" t="str">
        <f>IF(D1647&lt;&gt;"",D1647-VLOOKUP(A1647,Consolidado!$B$1:$L$1500,8,FALSE),"")</f>
        <v/>
      </c>
      <c r="H1647" s="31"/>
      <c r="I1647" s="32">
        <f t="shared" si="104"/>
        <v>0</v>
      </c>
      <c r="J1647" s="33" t="str">
        <f t="shared" si="105"/>
        <v/>
      </c>
      <c r="K1647" s="2"/>
      <c r="L1647" s="15"/>
      <c r="M1647" s="34">
        <f t="shared" si="106"/>
        <v>0</v>
      </c>
    </row>
    <row r="1648" spans="1:13" x14ac:dyDescent="0.25">
      <c r="A1648" s="31"/>
      <c r="B1648" s="16" t="str">
        <f>IFERROR(VLOOKUP(A1648,Consolidado!$B$1:$L$1500,2,FALSE),"")</f>
        <v/>
      </c>
      <c r="C1648" s="16">
        <f>IFERROR(SUMIF(Consolidado!$B$1:$B$1500,VLOOKUP(RegistroPago!A1648,Consolidado!$B$1:$L$1500,1,FALSE),Consolidado!$G$1:$G$1500),"")</f>
        <v>0</v>
      </c>
      <c r="D1648" s="3"/>
      <c r="E1648" s="3"/>
      <c r="F1648" s="5" t="str">
        <f t="shared" si="103"/>
        <v/>
      </c>
      <c r="G1648" s="16" t="str">
        <f>IF(D1648&lt;&gt;"",D1648-VLOOKUP(A1648,Consolidado!$B$1:$L$1500,8,FALSE),"")</f>
        <v/>
      </c>
      <c r="H1648" s="31"/>
      <c r="I1648" s="32">
        <f t="shared" si="104"/>
        <v>0</v>
      </c>
      <c r="J1648" s="33" t="str">
        <f t="shared" si="105"/>
        <v/>
      </c>
      <c r="K1648" s="2"/>
      <c r="L1648" s="15"/>
      <c r="M1648" s="34">
        <f t="shared" si="106"/>
        <v>0</v>
      </c>
    </row>
    <row r="1649" spans="1:13" x14ac:dyDescent="0.25">
      <c r="A1649" s="31"/>
      <c r="B1649" s="16" t="str">
        <f>IFERROR(VLOOKUP(A1649,Consolidado!$B$1:$L$1500,2,FALSE),"")</f>
        <v/>
      </c>
      <c r="C1649" s="16">
        <f>IFERROR(SUMIF(Consolidado!$B$1:$B$1500,VLOOKUP(RegistroPago!A1649,Consolidado!$B$1:$L$1500,1,FALSE),Consolidado!$G$1:$G$1500),"")</f>
        <v>0</v>
      </c>
      <c r="D1649" s="3"/>
      <c r="E1649" s="3"/>
      <c r="F1649" s="5" t="str">
        <f t="shared" si="103"/>
        <v/>
      </c>
      <c r="G1649" s="16" t="str">
        <f>IF(D1649&lt;&gt;"",D1649-VLOOKUP(A1649,Consolidado!$B$1:$L$1500,8,FALSE),"")</f>
        <v/>
      </c>
      <c r="H1649" s="31"/>
      <c r="I1649" s="32">
        <f t="shared" si="104"/>
        <v>0</v>
      </c>
      <c r="J1649" s="33" t="str">
        <f t="shared" si="105"/>
        <v/>
      </c>
      <c r="K1649" s="2"/>
      <c r="L1649" s="15"/>
      <c r="M1649" s="34">
        <f t="shared" si="106"/>
        <v>0</v>
      </c>
    </row>
    <row r="1650" spans="1:13" x14ac:dyDescent="0.25">
      <c r="A1650" s="31"/>
      <c r="B1650" s="16" t="str">
        <f>IFERROR(VLOOKUP(A1650,Consolidado!$B$1:$L$1500,2,FALSE),"")</f>
        <v/>
      </c>
      <c r="C1650" s="16">
        <f>IFERROR(SUMIF(Consolidado!$B$1:$B$1500,VLOOKUP(RegistroPago!A1650,Consolidado!$B$1:$L$1500,1,FALSE),Consolidado!$G$1:$G$1500),"")</f>
        <v>0</v>
      </c>
      <c r="D1650" s="3"/>
      <c r="E1650" s="3"/>
      <c r="F1650" s="5" t="str">
        <f t="shared" si="103"/>
        <v/>
      </c>
      <c r="G1650" s="16" t="str">
        <f>IF(D1650&lt;&gt;"",D1650-VLOOKUP(A1650,Consolidado!$B$1:$L$1500,8,FALSE),"")</f>
        <v/>
      </c>
      <c r="H1650" s="31"/>
      <c r="I1650" s="32">
        <f t="shared" si="104"/>
        <v>0</v>
      </c>
      <c r="J1650" s="33" t="str">
        <f t="shared" si="105"/>
        <v/>
      </c>
      <c r="K1650" s="2"/>
      <c r="L1650" s="15"/>
      <c r="M1650" s="34">
        <f t="shared" si="106"/>
        <v>0</v>
      </c>
    </row>
    <row r="1651" spans="1:13" x14ac:dyDescent="0.25">
      <c r="A1651" s="31"/>
      <c r="B1651" s="16" t="str">
        <f>IFERROR(VLOOKUP(A1651,Consolidado!$B$1:$L$1500,2,FALSE),"")</f>
        <v/>
      </c>
      <c r="C1651" s="16">
        <f>IFERROR(SUMIF(Consolidado!$B$1:$B$1500,VLOOKUP(RegistroPago!A1651,Consolidado!$B$1:$L$1500,1,FALSE),Consolidado!$G$1:$G$1500),"")</f>
        <v>0</v>
      </c>
      <c r="D1651" s="3"/>
      <c r="E1651" s="3"/>
      <c r="F1651" s="5" t="str">
        <f t="shared" si="103"/>
        <v/>
      </c>
      <c r="G1651" s="16" t="str">
        <f>IF(D1651&lt;&gt;"",D1651-VLOOKUP(A1651,Consolidado!$B$1:$L$1500,8,FALSE),"")</f>
        <v/>
      </c>
      <c r="H1651" s="31"/>
      <c r="I1651" s="32">
        <f t="shared" si="104"/>
        <v>0</v>
      </c>
      <c r="J1651" s="33" t="str">
        <f t="shared" si="105"/>
        <v/>
      </c>
      <c r="K1651" s="2"/>
      <c r="L1651" s="15"/>
      <c r="M1651" s="34">
        <f t="shared" si="106"/>
        <v>0</v>
      </c>
    </row>
    <row r="1652" spans="1:13" x14ac:dyDescent="0.25">
      <c r="A1652" s="31"/>
      <c r="B1652" s="16" t="str">
        <f>IFERROR(VLOOKUP(A1652,Consolidado!$B$1:$L$1500,2,FALSE),"")</f>
        <v/>
      </c>
      <c r="C1652" s="16">
        <f>IFERROR(SUMIF(Consolidado!$B$1:$B$1500,VLOOKUP(RegistroPago!A1652,Consolidado!$B$1:$L$1500,1,FALSE),Consolidado!$G$1:$G$1500),"")</f>
        <v>0</v>
      </c>
      <c r="D1652" s="3"/>
      <c r="E1652" s="3"/>
      <c r="F1652" s="5" t="str">
        <f t="shared" si="103"/>
        <v/>
      </c>
      <c r="G1652" s="16" t="str">
        <f>IF(D1652&lt;&gt;"",D1652-VLOOKUP(A1652,Consolidado!$B$1:$L$1500,8,FALSE),"")</f>
        <v/>
      </c>
      <c r="H1652" s="31"/>
      <c r="I1652" s="32">
        <f t="shared" si="104"/>
        <v>0</v>
      </c>
      <c r="J1652" s="33" t="str">
        <f t="shared" si="105"/>
        <v/>
      </c>
      <c r="K1652" s="2"/>
      <c r="L1652" s="15"/>
      <c r="M1652" s="34">
        <f t="shared" si="106"/>
        <v>0</v>
      </c>
    </row>
    <row r="1653" spans="1:13" x14ac:dyDescent="0.25">
      <c r="A1653" s="31"/>
      <c r="B1653" s="16" t="str">
        <f>IFERROR(VLOOKUP(A1653,Consolidado!$B$1:$L$1500,2,FALSE),"")</f>
        <v/>
      </c>
      <c r="C1653" s="16">
        <f>IFERROR(SUMIF(Consolidado!$B$1:$B$1500,VLOOKUP(RegistroPago!A1653,Consolidado!$B$1:$L$1500,1,FALSE),Consolidado!$G$1:$G$1500),"")</f>
        <v>0</v>
      </c>
      <c r="D1653" s="3"/>
      <c r="E1653" s="3"/>
      <c r="F1653" s="5" t="str">
        <f t="shared" si="103"/>
        <v/>
      </c>
      <c r="G1653" s="16" t="str">
        <f>IF(D1653&lt;&gt;"",D1653-VLOOKUP(A1653,Consolidado!$B$1:$L$1500,8,FALSE),"")</f>
        <v/>
      </c>
      <c r="H1653" s="31"/>
      <c r="I1653" s="32">
        <f t="shared" si="104"/>
        <v>0</v>
      </c>
      <c r="J1653" s="33" t="str">
        <f t="shared" si="105"/>
        <v/>
      </c>
      <c r="K1653" s="2"/>
      <c r="L1653" s="15"/>
      <c r="M1653" s="34">
        <f t="shared" si="106"/>
        <v>0</v>
      </c>
    </row>
    <row r="1654" spans="1:13" x14ac:dyDescent="0.25">
      <c r="A1654" s="31"/>
      <c r="B1654" s="16" t="str">
        <f>IFERROR(VLOOKUP(A1654,Consolidado!$B$1:$L$1500,2,FALSE),"")</f>
        <v/>
      </c>
      <c r="C1654" s="16">
        <f>IFERROR(SUMIF(Consolidado!$B$1:$B$1500,VLOOKUP(RegistroPago!A1654,Consolidado!$B$1:$L$1500,1,FALSE),Consolidado!$G$1:$G$1500),"")</f>
        <v>0</v>
      </c>
      <c r="D1654" s="3"/>
      <c r="E1654" s="3"/>
      <c r="F1654" s="5" t="str">
        <f t="shared" si="103"/>
        <v/>
      </c>
      <c r="G1654" s="16" t="str">
        <f>IF(D1654&lt;&gt;"",D1654-VLOOKUP(A1654,Consolidado!$B$1:$L$1500,8,FALSE),"")</f>
        <v/>
      </c>
      <c r="H1654" s="31"/>
      <c r="I1654" s="32">
        <f t="shared" si="104"/>
        <v>0</v>
      </c>
      <c r="J1654" s="33" t="str">
        <f t="shared" si="105"/>
        <v/>
      </c>
      <c r="K1654" s="2"/>
      <c r="L1654" s="15"/>
      <c r="M1654" s="34">
        <f t="shared" si="106"/>
        <v>0</v>
      </c>
    </row>
    <row r="1655" spans="1:13" x14ac:dyDescent="0.25">
      <c r="A1655" s="31"/>
      <c r="B1655" s="16" t="str">
        <f>IFERROR(VLOOKUP(A1655,Consolidado!$B$1:$L$1500,2,FALSE),"")</f>
        <v/>
      </c>
      <c r="C1655" s="16">
        <f>IFERROR(SUMIF(Consolidado!$B$1:$B$1500,VLOOKUP(RegistroPago!A1655,Consolidado!$B$1:$L$1500,1,FALSE),Consolidado!$G$1:$G$1500),"")</f>
        <v>0</v>
      </c>
      <c r="D1655" s="3"/>
      <c r="E1655" s="3"/>
      <c r="F1655" s="5" t="str">
        <f t="shared" si="103"/>
        <v/>
      </c>
      <c r="G1655" s="16" t="str">
        <f>IF(D1655&lt;&gt;"",D1655-VLOOKUP(A1655,Consolidado!$B$1:$L$1500,8,FALSE),"")</f>
        <v/>
      </c>
      <c r="H1655" s="31"/>
      <c r="I1655" s="32">
        <f t="shared" si="104"/>
        <v>0</v>
      </c>
      <c r="J1655" s="33" t="str">
        <f t="shared" si="105"/>
        <v/>
      </c>
      <c r="K1655" s="2"/>
      <c r="L1655" s="15"/>
      <c r="M1655" s="34">
        <f t="shared" si="106"/>
        <v>0</v>
      </c>
    </row>
    <row r="1656" spans="1:13" x14ac:dyDescent="0.25">
      <c r="A1656" s="31"/>
      <c r="B1656" s="16" t="str">
        <f>IFERROR(VLOOKUP(A1656,Consolidado!$B$1:$L$1500,2,FALSE),"")</f>
        <v/>
      </c>
      <c r="C1656" s="16">
        <f>IFERROR(SUMIF(Consolidado!$B$1:$B$1500,VLOOKUP(RegistroPago!A1656,Consolidado!$B$1:$L$1500,1,FALSE),Consolidado!$G$1:$G$1500),"")</f>
        <v>0</v>
      </c>
      <c r="D1656" s="3"/>
      <c r="E1656" s="3"/>
      <c r="F1656" s="5" t="str">
        <f t="shared" si="103"/>
        <v/>
      </c>
      <c r="G1656" s="16" t="str">
        <f>IF(D1656&lt;&gt;"",D1656-VLOOKUP(A1656,Consolidado!$B$1:$L$1500,8,FALSE),"")</f>
        <v/>
      </c>
      <c r="H1656" s="31"/>
      <c r="I1656" s="32">
        <f t="shared" si="104"/>
        <v>0</v>
      </c>
      <c r="J1656" s="33" t="str">
        <f t="shared" si="105"/>
        <v/>
      </c>
      <c r="K1656" s="2"/>
      <c r="L1656" s="15"/>
      <c r="M1656" s="34">
        <f t="shared" si="106"/>
        <v>0</v>
      </c>
    </row>
    <row r="1657" spans="1:13" x14ac:dyDescent="0.25">
      <c r="A1657" s="31"/>
      <c r="B1657" s="16" t="str">
        <f>IFERROR(VLOOKUP(A1657,Consolidado!$B$1:$L$1500,2,FALSE),"")</f>
        <v/>
      </c>
      <c r="C1657" s="16">
        <f>IFERROR(SUMIF(Consolidado!$B$1:$B$1500,VLOOKUP(RegistroPago!A1657,Consolidado!$B$1:$L$1500,1,FALSE),Consolidado!$G$1:$G$1500),"")</f>
        <v>0</v>
      </c>
      <c r="D1657" s="3"/>
      <c r="E1657" s="3"/>
      <c r="F1657" s="5" t="str">
        <f t="shared" si="103"/>
        <v/>
      </c>
      <c r="G1657" s="16" t="str">
        <f>IF(D1657&lt;&gt;"",D1657-VLOOKUP(A1657,Consolidado!$B$1:$L$1500,8,FALSE),"")</f>
        <v/>
      </c>
      <c r="H1657" s="31"/>
      <c r="I1657" s="32">
        <f t="shared" si="104"/>
        <v>0</v>
      </c>
      <c r="J1657" s="33" t="str">
        <f t="shared" si="105"/>
        <v/>
      </c>
      <c r="K1657" s="2"/>
      <c r="L1657" s="15"/>
      <c r="M1657" s="34">
        <f t="shared" si="106"/>
        <v>0</v>
      </c>
    </row>
    <row r="1658" spans="1:13" x14ac:dyDescent="0.25">
      <c r="A1658" s="31"/>
      <c r="B1658" s="16" t="str">
        <f>IFERROR(VLOOKUP(A1658,Consolidado!$B$1:$L$1500,2,FALSE),"")</f>
        <v/>
      </c>
      <c r="C1658" s="16">
        <f>IFERROR(SUMIF(Consolidado!$B$1:$B$1500,VLOOKUP(RegistroPago!A1658,Consolidado!$B$1:$L$1500,1,FALSE),Consolidado!$G$1:$G$1500),"")</f>
        <v>0</v>
      </c>
      <c r="D1658" s="3"/>
      <c r="E1658" s="3"/>
      <c r="F1658" s="5" t="str">
        <f t="shared" si="103"/>
        <v/>
      </c>
      <c r="G1658" s="16" t="str">
        <f>IF(D1658&lt;&gt;"",D1658-VLOOKUP(A1658,Consolidado!$B$1:$L$1500,8,FALSE),"")</f>
        <v/>
      </c>
      <c r="H1658" s="31"/>
      <c r="I1658" s="32">
        <f t="shared" si="104"/>
        <v>0</v>
      </c>
      <c r="J1658" s="33" t="str">
        <f t="shared" si="105"/>
        <v/>
      </c>
      <c r="K1658" s="2"/>
      <c r="L1658" s="15"/>
      <c r="M1658" s="34">
        <f t="shared" si="106"/>
        <v>0</v>
      </c>
    </row>
    <row r="1659" spans="1:13" x14ac:dyDescent="0.25">
      <c r="A1659" s="31"/>
      <c r="B1659" s="16" t="str">
        <f>IFERROR(VLOOKUP(A1659,Consolidado!$B$1:$L$1500,2,FALSE),"")</f>
        <v/>
      </c>
      <c r="C1659" s="16">
        <f>IFERROR(SUMIF(Consolidado!$B$1:$B$1500,VLOOKUP(RegistroPago!A1659,Consolidado!$B$1:$L$1500,1,FALSE),Consolidado!$G$1:$G$1500),"")</f>
        <v>0</v>
      </c>
      <c r="D1659" s="3"/>
      <c r="E1659" s="3"/>
      <c r="F1659" s="5" t="str">
        <f t="shared" si="103"/>
        <v/>
      </c>
      <c r="G1659" s="16" t="str">
        <f>IF(D1659&lt;&gt;"",D1659-VLOOKUP(A1659,Consolidado!$B$1:$L$1500,8,FALSE),"")</f>
        <v/>
      </c>
      <c r="H1659" s="31"/>
      <c r="I1659" s="32">
        <f t="shared" si="104"/>
        <v>0</v>
      </c>
      <c r="J1659" s="33" t="str">
        <f t="shared" si="105"/>
        <v/>
      </c>
      <c r="K1659" s="2"/>
      <c r="L1659" s="15"/>
      <c r="M1659" s="34">
        <f t="shared" si="106"/>
        <v>0</v>
      </c>
    </row>
    <row r="1660" spans="1:13" x14ac:dyDescent="0.25">
      <c r="A1660" s="31"/>
      <c r="B1660" s="16" t="str">
        <f>IFERROR(VLOOKUP(A1660,Consolidado!$B$1:$L$1500,2,FALSE),"")</f>
        <v/>
      </c>
      <c r="C1660" s="16">
        <f>IFERROR(SUMIF(Consolidado!$B$1:$B$1500,VLOOKUP(RegistroPago!A1660,Consolidado!$B$1:$L$1500,1,FALSE),Consolidado!$G$1:$G$1500),"")</f>
        <v>0</v>
      </c>
      <c r="D1660" s="3"/>
      <c r="E1660" s="3"/>
      <c r="F1660" s="5" t="str">
        <f t="shared" si="103"/>
        <v/>
      </c>
      <c r="G1660" s="16" t="str">
        <f>IF(D1660&lt;&gt;"",D1660-VLOOKUP(A1660,Consolidado!$B$1:$L$1500,8,FALSE),"")</f>
        <v/>
      </c>
      <c r="H1660" s="31"/>
      <c r="I1660" s="32">
        <f t="shared" si="104"/>
        <v>0</v>
      </c>
      <c r="J1660" s="33" t="str">
        <f t="shared" si="105"/>
        <v/>
      </c>
      <c r="K1660" s="2"/>
      <c r="L1660" s="15"/>
      <c r="M1660" s="34">
        <f t="shared" si="106"/>
        <v>0</v>
      </c>
    </row>
    <row r="1661" spans="1:13" x14ac:dyDescent="0.25">
      <c r="A1661" s="31"/>
      <c r="B1661" s="16" t="str">
        <f>IFERROR(VLOOKUP(A1661,Consolidado!$B$1:$L$1500,2,FALSE),"")</f>
        <v/>
      </c>
      <c r="C1661" s="16">
        <f>IFERROR(SUMIF(Consolidado!$B$1:$B$1500,VLOOKUP(RegistroPago!A1661,Consolidado!$B$1:$L$1500,1,FALSE),Consolidado!$G$1:$G$1500),"")</f>
        <v>0</v>
      </c>
      <c r="D1661" s="3"/>
      <c r="E1661" s="3"/>
      <c r="F1661" s="5" t="str">
        <f t="shared" si="103"/>
        <v/>
      </c>
      <c r="G1661" s="16" t="str">
        <f>IF(D1661&lt;&gt;"",D1661-VLOOKUP(A1661,Consolidado!$B$1:$L$1500,8,FALSE),"")</f>
        <v/>
      </c>
      <c r="H1661" s="31"/>
      <c r="I1661" s="32">
        <f t="shared" si="104"/>
        <v>0</v>
      </c>
      <c r="J1661" s="33" t="str">
        <f t="shared" si="105"/>
        <v/>
      </c>
      <c r="K1661" s="2"/>
      <c r="L1661" s="15"/>
      <c r="M1661" s="34">
        <f t="shared" si="106"/>
        <v>0</v>
      </c>
    </row>
    <row r="1662" spans="1:13" x14ac:dyDescent="0.25">
      <c r="A1662" s="31"/>
      <c r="B1662" s="16" t="str">
        <f>IFERROR(VLOOKUP(A1662,Consolidado!$B$1:$L$1500,2,FALSE),"")</f>
        <v/>
      </c>
      <c r="C1662" s="16">
        <f>IFERROR(SUMIF(Consolidado!$B$1:$B$1500,VLOOKUP(RegistroPago!A1662,Consolidado!$B$1:$L$1500,1,FALSE),Consolidado!$G$1:$G$1500),"")</f>
        <v>0</v>
      </c>
      <c r="D1662" s="3"/>
      <c r="E1662" s="3"/>
      <c r="F1662" s="5" t="str">
        <f t="shared" si="103"/>
        <v/>
      </c>
      <c r="G1662" s="16" t="str">
        <f>IF(D1662&lt;&gt;"",D1662-VLOOKUP(A1662,Consolidado!$B$1:$L$1500,8,FALSE),"")</f>
        <v/>
      </c>
      <c r="H1662" s="31"/>
      <c r="I1662" s="32">
        <f t="shared" si="104"/>
        <v>0</v>
      </c>
      <c r="J1662" s="33" t="str">
        <f t="shared" si="105"/>
        <v/>
      </c>
      <c r="K1662" s="2"/>
      <c r="L1662" s="15"/>
      <c r="M1662" s="34">
        <f t="shared" si="106"/>
        <v>0</v>
      </c>
    </row>
    <row r="1663" spans="1:13" x14ac:dyDescent="0.25">
      <c r="A1663" s="31"/>
      <c r="B1663" s="16" t="str">
        <f>IFERROR(VLOOKUP(A1663,Consolidado!$B$1:$L$1500,2,FALSE),"")</f>
        <v/>
      </c>
      <c r="C1663" s="16">
        <f>IFERROR(SUMIF(Consolidado!$B$1:$B$1500,VLOOKUP(RegistroPago!A1663,Consolidado!$B$1:$L$1500,1,FALSE),Consolidado!$G$1:$G$1500),"")</f>
        <v>0</v>
      </c>
      <c r="D1663" s="3"/>
      <c r="E1663" s="3"/>
      <c r="F1663" s="5" t="str">
        <f t="shared" si="103"/>
        <v/>
      </c>
      <c r="G1663" s="16" t="str">
        <f>IF(D1663&lt;&gt;"",D1663-VLOOKUP(A1663,Consolidado!$B$1:$L$1500,8,FALSE),"")</f>
        <v/>
      </c>
      <c r="H1663" s="31"/>
      <c r="I1663" s="32">
        <f t="shared" si="104"/>
        <v>0</v>
      </c>
      <c r="J1663" s="33" t="str">
        <f t="shared" si="105"/>
        <v/>
      </c>
      <c r="K1663" s="2"/>
      <c r="L1663" s="15"/>
      <c r="M1663" s="34">
        <f t="shared" si="106"/>
        <v>0</v>
      </c>
    </row>
    <row r="1664" spans="1:13" x14ac:dyDescent="0.25">
      <c r="A1664" s="31"/>
      <c r="B1664" s="16" t="str">
        <f>IFERROR(VLOOKUP(A1664,Consolidado!$B$1:$L$1500,2,FALSE),"")</f>
        <v/>
      </c>
      <c r="C1664" s="16">
        <f>IFERROR(SUMIF(Consolidado!$B$1:$B$1500,VLOOKUP(RegistroPago!A1664,Consolidado!$B$1:$L$1500,1,FALSE),Consolidado!$G$1:$G$1500),"")</f>
        <v>0</v>
      </c>
      <c r="D1664" s="3"/>
      <c r="E1664" s="3"/>
      <c r="F1664" s="5" t="str">
        <f t="shared" si="103"/>
        <v/>
      </c>
      <c r="G1664" s="16" t="str">
        <f>IF(D1664&lt;&gt;"",D1664-VLOOKUP(A1664,Consolidado!$B$1:$L$1500,8,FALSE),"")</f>
        <v/>
      </c>
      <c r="H1664" s="31"/>
      <c r="I1664" s="32">
        <f t="shared" si="104"/>
        <v>0</v>
      </c>
      <c r="J1664" s="33" t="str">
        <f t="shared" si="105"/>
        <v/>
      </c>
      <c r="K1664" s="2"/>
      <c r="L1664" s="15"/>
      <c r="M1664" s="34">
        <f t="shared" si="106"/>
        <v>0</v>
      </c>
    </row>
    <row r="1665" spans="1:13" x14ac:dyDescent="0.25">
      <c r="A1665" s="31"/>
      <c r="B1665" s="16" t="str">
        <f>IFERROR(VLOOKUP(A1665,Consolidado!$B$1:$L$1500,2,FALSE),"")</f>
        <v/>
      </c>
      <c r="C1665" s="16">
        <f>IFERROR(SUMIF(Consolidado!$B$1:$B$1500,VLOOKUP(RegistroPago!A1665,Consolidado!$B$1:$L$1500,1,FALSE),Consolidado!$G$1:$G$1500),"")</f>
        <v>0</v>
      </c>
      <c r="D1665" s="3"/>
      <c r="E1665" s="3"/>
      <c r="F1665" s="5" t="str">
        <f t="shared" si="103"/>
        <v/>
      </c>
      <c r="G1665" s="16" t="str">
        <f>IF(D1665&lt;&gt;"",D1665-VLOOKUP(A1665,Consolidado!$B$1:$L$1500,8,FALSE),"")</f>
        <v/>
      </c>
      <c r="H1665" s="31"/>
      <c r="I1665" s="32">
        <f t="shared" si="104"/>
        <v>0</v>
      </c>
      <c r="J1665" s="33" t="str">
        <f t="shared" si="105"/>
        <v/>
      </c>
      <c r="K1665" s="2"/>
      <c r="L1665" s="15"/>
      <c r="M1665" s="34">
        <f t="shared" si="106"/>
        <v>0</v>
      </c>
    </row>
    <row r="1666" spans="1:13" x14ac:dyDescent="0.25">
      <c r="A1666" s="31"/>
      <c r="B1666" s="16" t="str">
        <f>IFERROR(VLOOKUP(A1666,Consolidado!$B$1:$L$1500,2,FALSE),"")</f>
        <v/>
      </c>
      <c r="C1666" s="16">
        <f>IFERROR(SUMIF(Consolidado!$B$1:$B$1500,VLOOKUP(RegistroPago!A1666,Consolidado!$B$1:$L$1500,1,FALSE),Consolidado!$G$1:$G$1500),"")</f>
        <v>0</v>
      </c>
      <c r="D1666" s="3"/>
      <c r="E1666" s="3"/>
      <c r="F1666" s="5" t="str">
        <f t="shared" si="103"/>
        <v/>
      </c>
      <c r="G1666" s="16" t="str">
        <f>IF(D1666&lt;&gt;"",D1666-VLOOKUP(A1666,Consolidado!$B$1:$L$1500,8,FALSE),"")</f>
        <v/>
      </c>
      <c r="H1666" s="31"/>
      <c r="I1666" s="32">
        <f t="shared" si="104"/>
        <v>0</v>
      </c>
      <c r="J1666" s="33" t="str">
        <f t="shared" si="105"/>
        <v/>
      </c>
      <c r="K1666" s="2"/>
      <c r="L1666" s="15"/>
      <c r="M1666" s="34">
        <f t="shared" si="106"/>
        <v>0</v>
      </c>
    </row>
    <row r="1667" spans="1:13" x14ac:dyDescent="0.25">
      <c r="A1667" s="31"/>
      <c r="B1667" s="16" t="str">
        <f>IFERROR(VLOOKUP(A1667,Consolidado!$B$1:$L$1500,2,FALSE),"")</f>
        <v/>
      </c>
      <c r="C1667" s="16">
        <f>IFERROR(SUMIF(Consolidado!$B$1:$B$1500,VLOOKUP(RegistroPago!A1667,Consolidado!$B$1:$L$1500,1,FALSE),Consolidado!$G$1:$G$1500),"")</f>
        <v>0</v>
      </c>
      <c r="D1667" s="3"/>
      <c r="E1667" s="3"/>
      <c r="F1667" s="5" t="str">
        <f t="shared" ref="F1667:F1730" si="107">IF(COUNTIF($E$2:$E$2000,E1667)&gt;1,"Ya registrado","")</f>
        <v/>
      </c>
      <c r="G1667" s="16" t="str">
        <f>IF(D1667&lt;&gt;"",D1667-VLOOKUP(A1667,Consolidado!$B$1:$L$1500,8,FALSE),"")</f>
        <v/>
      </c>
      <c r="H1667" s="31"/>
      <c r="I1667" s="32">
        <f t="shared" si="104"/>
        <v>0</v>
      </c>
      <c r="J1667" s="33" t="str">
        <f t="shared" si="105"/>
        <v/>
      </c>
      <c r="K1667" s="2"/>
      <c r="L1667" s="15"/>
      <c r="M1667" s="34">
        <f t="shared" si="106"/>
        <v>0</v>
      </c>
    </row>
    <row r="1668" spans="1:13" x14ac:dyDescent="0.25">
      <c r="A1668" s="31"/>
      <c r="B1668" s="16" t="str">
        <f>IFERROR(VLOOKUP(A1668,Consolidado!$B$1:$L$1500,2,FALSE),"")</f>
        <v/>
      </c>
      <c r="C1668" s="16">
        <f>IFERROR(SUMIF(Consolidado!$B$1:$B$1500,VLOOKUP(RegistroPago!A1668,Consolidado!$B$1:$L$1500,1,FALSE),Consolidado!$G$1:$G$1500),"")</f>
        <v>0</v>
      </c>
      <c r="D1668" s="3"/>
      <c r="E1668" s="3"/>
      <c r="F1668" s="5" t="str">
        <f t="shared" si="107"/>
        <v/>
      </c>
      <c r="G1668" s="16" t="str">
        <f>IF(D1668&lt;&gt;"",D1668-VLOOKUP(A1668,Consolidado!$B$1:$L$1500,8,FALSE),"")</f>
        <v/>
      </c>
      <c r="H1668" s="31"/>
      <c r="I1668" s="32">
        <f t="shared" si="104"/>
        <v>0</v>
      </c>
      <c r="J1668" s="33" t="str">
        <f t="shared" si="105"/>
        <v/>
      </c>
      <c r="K1668" s="2"/>
      <c r="L1668" s="15"/>
      <c r="M1668" s="34">
        <f t="shared" si="106"/>
        <v>0</v>
      </c>
    </row>
    <row r="1669" spans="1:13" x14ac:dyDescent="0.25">
      <c r="A1669" s="31"/>
      <c r="B1669" s="16" t="str">
        <f>IFERROR(VLOOKUP(A1669,Consolidado!$B$1:$L$1500,2,FALSE),"")</f>
        <v/>
      </c>
      <c r="C1669" s="16">
        <f>IFERROR(SUMIF(Consolidado!$B$1:$B$1500,VLOOKUP(RegistroPago!A1669,Consolidado!$B$1:$L$1500,1,FALSE),Consolidado!$G$1:$G$1500),"")</f>
        <v>0</v>
      </c>
      <c r="D1669" s="3"/>
      <c r="E1669" s="3"/>
      <c r="F1669" s="5" t="str">
        <f t="shared" si="107"/>
        <v/>
      </c>
      <c r="G1669" s="16" t="str">
        <f>IF(D1669&lt;&gt;"",D1669-VLOOKUP(A1669,Consolidado!$B$1:$L$1500,8,FALSE),"")</f>
        <v/>
      </c>
      <c r="H1669" s="31"/>
      <c r="I1669" s="32">
        <f t="shared" si="104"/>
        <v>0</v>
      </c>
      <c r="J1669" s="33" t="str">
        <f t="shared" si="105"/>
        <v/>
      </c>
      <c r="K1669" s="2"/>
      <c r="L1669" s="15"/>
      <c r="M1669" s="34">
        <f t="shared" si="106"/>
        <v>0</v>
      </c>
    </row>
    <row r="1670" spans="1:13" x14ac:dyDescent="0.25">
      <c r="A1670" s="31"/>
      <c r="B1670" s="16" t="str">
        <f>IFERROR(VLOOKUP(A1670,Consolidado!$B$1:$L$1500,2,FALSE),"")</f>
        <v/>
      </c>
      <c r="C1670" s="16">
        <f>IFERROR(SUMIF(Consolidado!$B$1:$B$1500,VLOOKUP(RegistroPago!A1670,Consolidado!$B$1:$L$1500,1,FALSE),Consolidado!$G$1:$G$1500),"")</f>
        <v>0</v>
      </c>
      <c r="D1670" s="3"/>
      <c r="E1670" s="3"/>
      <c r="F1670" s="5" t="str">
        <f t="shared" si="107"/>
        <v/>
      </c>
      <c r="G1670" s="16" t="str">
        <f>IF(D1670&lt;&gt;"",D1670-VLOOKUP(A1670,Consolidado!$B$1:$L$1500,8,FALSE),"")</f>
        <v/>
      </c>
      <c r="H1670" s="31"/>
      <c r="I1670" s="32">
        <f t="shared" si="104"/>
        <v>0</v>
      </c>
      <c r="J1670" s="33" t="str">
        <f t="shared" si="105"/>
        <v/>
      </c>
      <c r="K1670" s="2"/>
      <c r="L1670" s="15"/>
      <c r="M1670" s="34">
        <f t="shared" si="106"/>
        <v>0</v>
      </c>
    </row>
    <row r="1671" spans="1:13" x14ac:dyDescent="0.25">
      <c r="A1671" s="31"/>
      <c r="B1671" s="16" t="str">
        <f>IFERROR(VLOOKUP(A1671,Consolidado!$B$1:$L$1500,2,FALSE),"")</f>
        <v/>
      </c>
      <c r="C1671" s="16">
        <f>IFERROR(SUMIF(Consolidado!$B$1:$B$1500,VLOOKUP(RegistroPago!A1671,Consolidado!$B$1:$L$1500,1,FALSE),Consolidado!$G$1:$G$1500),"")</f>
        <v>0</v>
      </c>
      <c r="D1671" s="3"/>
      <c r="E1671" s="3"/>
      <c r="F1671" s="5" t="str">
        <f t="shared" si="107"/>
        <v/>
      </c>
      <c r="G1671" s="16" t="str">
        <f>IF(D1671&lt;&gt;"",D1671-VLOOKUP(A1671,Consolidado!$B$1:$L$1500,8,FALSE),"")</f>
        <v/>
      </c>
      <c r="H1671" s="31"/>
      <c r="I1671" s="32">
        <f t="shared" si="104"/>
        <v>0</v>
      </c>
      <c r="J1671" s="33" t="str">
        <f t="shared" si="105"/>
        <v/>
      </c>
      <c r="K1671" s="2"/>
      <c r="L1671" s="15"/>
      <c r="M1671" s="34">
        <f t="shared" si="106"/>
        <v>0</v>
      </c>
    </row>
    <row r="1672" spans="1:13" x14ac:dyDescent="0.25">
      <c r="A1672" s="31"/>
      <c r="B1672" s="16" t="str">
        <f>IFERROR(VLOOKUP(A1672,Consolidado!$B$1:$L$1500,2,FALSE),"")</f>
        <v/>
      </c>
      <c r="C1672" s="16">
        <f>IFERROR(SUMIF(Consolidado!$B$1:$B$1500,VLOOKUP(RegistroPago!A1672,Consolidado!$B$1:$L$1500,1,FALSE),Consolidado!$G$1:$G$1500),"")</f>
        <v>0</v>
      </c>
      <c r="D1672" s="3"/>
      <c r="E1672" s="3"/>
      <c r="F1672" s="5" t="str">
        <f t="shared" si="107"/>
        <v/>
      </c>
      <c r="G1672" s="16" t="str">
        <f>IF(D1672&lt;&gt;"",D1672-VLOOKUP(A1672,Consolidado!$B$1:$L$1500,8,FALSE),"")</f>
        <v/>
      </c>
      <c r="H1672" s="31"/>
      <c r="I1672" s="32">
        <f t="shared" si="104"/>
        <v>0</v>
      </c>
      <c r="J1672" s="33" t="str">
        <f t="shared" si="105"/>
        <v/>
      </c>
      <c r="K1672" s="2"/>
      <c r="L1672" s="15"/>
      <c r="M1672" s="34">
        <f t="shared" si="106"/>
        <v>0</v>
      </c>
    </row>
    <row r="1673" spans="1:13" x14ac:dyDescent="0.25">
      <c r="A1673" s="31"/>
      <c r="B1673" s="16" t="str">
        <f>IFERROR(VLOOKUP(A1673,Consolidado!$B$1:$L$1500,2,FALSE),"")</f>
        <v/>
      </c>
      <c r="C1673" s="16">
        <f>IFERROR(SUMIF(Consolidado!$B$1:$B$1500,VLOOKUP(RegistroPago!A1673,Consolidado!$B$1:$L$1500,1,FALSE),Consolidado!$G$1:$G$1500),"")</f>
        <v>0</v>
      </c>
      <c r="D1673" s="3"/>
      <c r="E1673" s="3"/>
      <c r="F1673" s="5" t="str">
        <f t="shared" si="107"/>
        <v/>
      </c>
      <c r="G1673" s="16" t="str">
        <f>IF(D1673&lt;&gt;"",D1673-VLOOKUP(A1673,Consolidado!$B$1:$L$1500,8,FALSE),"")</f>
        <v/>
      </c>
      <c r="H1673" s="31"/>
      <c r="I1673" s="32">
        <f t="shared" si="104"/>
        <v>0</v>
      </c>
      <c r="J1673" s="33" t="str">
        <f t="shared" si="105"/>
        <v/>
      </c>
      <c r="K1673" s="2"/>
      <c r="L1673" s="15"/>
      <c r="M1673" s="34">
        <f t="shared" si="106"/>
        <v>0</v>
      </c>
    </row>
    <row r="1674" spans="1:13" x14ac:dyDescent="0.25">
      <c r="A1674" s="31"/>
      <c r="B1674" s="16" t="str">
        <f>IFERROR(VLOOKUP(A1674,Consolidado!$B$1:$L$1500,2,FALSE),"")</f>
        <v/>
      </c>
      <c r="C1674" s="16">
        <f>IFERROR(SUMIF(Consolidado!$B$1:$B$1500,VLOOKUP(RegistroPago!A1674,Consolidado!$B$1:$L$1500,1,FALSE),Consolidado!$G$1:$G$1500),"")</f>
        <v>0</v>
      </c>
      <c r="D1674" s="3"/>
      <c r="E1674" s="3"/>
      <c r="F1674" s="5" t="str">
        <f t="shared" si="107"/>
        <v/>
      </c>
      <c r="G1674" s="16" t="str">
        <f>IF(D1674&lt;&gt;"",D1674-VLOOKUP(A1674,Consolidado!$B$1:$L$1500,8,FALSE),"")</f>
        <v/>
      </c>
      <c r="H1674" s="31"/>
      <c r="I1674" s="32">
        <f t="shared" si="104"/>
        <v>0</v>
      </c>
      <c r="J1674" s="33" t="str">
        <f t="shared" si="105"/>
        <v/>
      </c>
      <c r="K1674" s="2"/>
      <c r="L1674" s="15"/>
      <c r="M1674" s="34">
        <f t="shared" si="106"/>
        <v>0</v>
      </c>
    </row>
    <row r="1675" spans="1:13" x14ac:dyDescent="0.25">
      <c r="A1675" s="31"/>
      <c r="B1675" s="16" t="str">
        <f>IFERROR(VLOOKUP(A1675,Consolidado!$B$1:$L$1500,2,FALSE),"")</f>
        <v/>
      </c>
      <c r="C1675" s="16">
        <f>IFERROR(SUMIF(Consolidado!$B$1:$B$1500,VLOOKUP(RegistroPago!A1675,Consolidado!$B$1:$L$1500,1,FALSE),Consolidado!$G$1:$G$1500),"")</f>
        <v>0</v>
      </c>
      <c r="D1675" s="3"/>
      <c r="E1675" s="3"/>
      <c r="F1675" s="5" t="str">
        <f t="shared" si="107"/>
        <v/>
      </c>
      <c r="G1675" s="16" t="str">
        <f>IF(D1675&lt;&gt;"",D1675-VLOOKUP(A1675,Consolidado!$B$1:$L$1500,8,FALSE),"")</f>
        <v/>
      </c>
      <c r="H1675" s="31"/>
      <c r="I1675" s="32">
        <f t="shared" si="104"/>
        <v>0</v>
      </c>
      <c r="J1675" s="33" t="str">
        <f t="shared" si="105"/>
        <v/>
      </c>
      <c r="K1675" s="2"/>
      <c r="L1675" s="15"/>
      <c r="M1675" s="34">
        <f t="shared" si="106"/>
        <v>0</v>
      </c>
    </row>
    <row r="1676" spans="1:13" x14ac:dyDescent="0.25">
      <c r="A1676" s="31"/>
      <c r="B1676" s="16" t="str">
        <f>IFERROR(VLOOKUP(A1676,Consolidado!$B$1:$L$1500,2,FALSE),"")</f>
        <v/>
      </c>
      <c r="C1676" s="16">
        <f>IFERROR(SUMIF(Consolidado!$B$1:$B$1500,VLOOKUP(RegistroPago!A1676,Consolidado!$B$1:$L$1500,1,FALSE),Consolidado!$G$1:$G$1500),"")</f>
        <v>0</v>
      </c>
      <c r="D1676" s="3"/>
      <c r="E1676" s="3"/>
      <c r="F1676" s="5" t="str">
        <f t="shared" si="107"/>
        <v/>
      </c>
      <c r="G1676" s="16" t="str">
        <f>IF(D1676&lt;&gt;"",D1676-VLOOKUP(A1676,Consolidado!$B$1:$L$1500,8,FALSE),"")</f>
        <v/>
      </c>
      <c r="H1676" s="31"/>
      <c r="I1676" s="32">
        <f t="shared" si="104"/>
        <v>0</v>
      </c>
      <c r="J1676" s="33" t="str">
        <f t="shared" si="105"/>
        <v/>
      </c>
      <c r="K1676" s="2"/>
      <c r="L1676" s="15"/>
      <c r="M1676" s="34">
        <f t="shared" si="106"/>
        <v>0</v>
      </c>
    </row>
    <row r="1677" spans="1:13" x14ac:dyDescent="0.25">
      <c r="A1677" s="31"/>
      <c r="B1677" s="16" t="str">
        <f>IFERROR(VLOOKUP(A1677,Consolidado!$B$1:$L$1500,2,FALSE),"")</f>
        <v/>
      </c>
      <c r="C1677" s="16">
        <f>IFERROR(SUMIF(Consolidado!$B$1:$B$1500,VLOOKUP(RegistroPago!A1677,Consolidado!$B$1:$L$1500,1,FALSE),Consolidado!$G$1:$G$1500),"")</f>
        <v>0</v>
      </c>
      <c r="D1677" s="3"/>
      <c r="E1677" s="3"/>
      <c r="F1677" s="5" t="str">
        <f t="shared" si="107"/>
        <v/>
      </c>
      <c r="G1677" s="16" t="str">
        <f>IF(D1677&lt;&gt;"",D1677-VLOOKUP(A1677,Consolidado!$B$1:$L$1500,8,FALSE),"")</f>
        <v/>
      </c>
      <c r="H1677" s="31"/>
      <c r="I1677" s="32">
        <f t="shared" si="104"/>
        <v>0</v>
      </c>
      <c r="J1677" s="33" t="str">
        <f t="shared" si="105"/>
        <v/>
      </c>
      <c r="K1677" s="2"/>
      <c r="L1677" s="15"/>
      <c r="M1677" s="34">
        <f t="shared" si="106"/>
        <v>0</v>
      </c>
    </row>
    <row r="1678" spans="1:13" x14ac:dyDescent="0.25">
      <c r="A1678" s="31"/>
      <c r="B1678" s="16" t="str">
        <f>IFERROR(VLOOKUP(A1678,Consolidado!$B$1:$L$1500,2,FALSE),"")</f>
        <v/>
      </c>
      <c r="C1678" s="16">
        <f>IFERROR(SUMIF(Consolidado!$B$1:$B$1500,VLOOKUP(RegistroPago!A1678,Consolidado!$B$1:$L$1500,1,FALSE),Consolidado!$G$1:$G$1500),"")</f>
        <v>0</v>
      </c>
      <c r="D1678" s="3"/>
      <c r="E1678" s="3"/>
      <c r="F1678" s="5" t="str">
        <f t="shared" si="107"/>
        <v/>
      </c>
      <c r="G1678" s="16" t="str">
        <f>IF(D1678&lt;&gt;"",D1678-VLOOKUP(A1678,Consolidado!$B$1:$L$1500,8,FALSE),"")</f>
        <v/>
      </c>
      <c r="H1678" s="31"/>
      <c r="I1678" s="32">
        <f t="shared" si="104"/>
        <v>0</v>
      </c>
      <c r="J1678" s="33" t="str">
        <f t="shared" si="105"/>
        <v/>
      </c>
      <c r="K1678" s="2"/>
      <c r="L1678" s="15"/>
      <c r="M1678" s="34">
        <f t="shared" si="106"/>
        <v>0</v>
      </c>
    </row>
    <row r="1679" spans="1:13" x14ac:dyDescent="0.25">
      <c r="A1679" s="31"/>
      <c r="B1679" s="16" t="str">
        <f>IFERROR(VLOOKUP(A1679,Consolidado!$B$1:$L$1500,2,FALSE),"")</f>
        <v/>
      </c>
      <c r="C1679" s="16">
        <f>IFERROR(SUMIF(Consolidado!$B$1:$B$1500,VLOOKUP(RegistroPago!A1679,Consolidado!$B$1:$L$1500,1,FALSE),Consolidado!$G$1:$G$1500),"")</f>
        <v>0</v>
      </c>
      <c r="D1679" s="3"/>
      <c r="E1679" s="3"/>
      <c r="F1679" s="5" t="str">
        <f t="shared" si="107"/>
        <v/>
      </c>
      <c r="G1679" s="16" t="str">
        <f>IF(D1679&lt;&gt;"",D1679-VLOOKUP(A1679,Consolidado!$B$1:$L$1500,8,FALSE),"")</f>
        <v/>
      </c>
      <c r="H1679" s="31"/>
      <c r="I1679" s="32">
        <f t="shared" si="104"/>
        <v>0</v>
      </c>
      <c r="J1679" s="33" t="str">
        <f t="shared" si="105"/>
        <v/>
      </c>
      <c r="K1679" s="2"/>
      <c r="L1679" s="15"/>
      <c r="M1679" s="34">
        <f t="shared" si="106"/>
        <v>0</v>
      </c>
    </row>
    <row r="1680" spans="1:13" x14ac:dyDescent="0.25">
      <c r="A1680" s="31"/>
      <c r="B1680" s="16" t="str">
        <f>IFERROR(VLOOKUP(A1680,Consolidado!$B$1:$L$1500,2,FALSE),"")</f>
        <v/>
      </c>
      <c r="C1680" s="16">
        <f>IFERROR(SUMIF(Consolidado!$B$1:$B$1500,VLOOKUP(RegistroPago!A1680,Consolidado!$B$1:$L$1500,1,FALSE),Consolidado!$G$1:$G$1500),"")</f>
        <v>0</v>
      </c>
      <c r="D1680" s="3"/>
      <c r="E1680" s="3"/>
      <c r="F1680" s="5" t="str">
        <f t="shared" si="107"/>
        <v/>
      </c>
      <c r="G1680" s="16" t="str">
        <f>IF(D1680&lt;&gt;"",D1680-VLOOKUP(A1680,Consolidado!$B$1:$L$1500,8,FALSE),"")</f>
        <v/>
      </c>
      <c r="H1680" s="31"/>
      <c r="I1680" s="32">
        <f t="shared" si="104"/>
        <v>0</v>
      </c>
      <c r="J1680" s="33" t="str">
        <f t="shared" si="105"/>
        <v/>
      </c>
      <c r="K1680" s="2"/>
      <c r="L1680" s="15"/>
      <c r="M1680" s="34">
        <f t="shared" si="106"/>
        <v>0</v>
      </c>
    </row>
    <row r="1681" spans="1:13" x14ac:dyDescent="0.25">
      <c r="A1681" s="31"/>
      <c r="B1681" s="16" t="str">
        <f>IFERROR(VLOOKUP(A1681,Consolidado!$B$1:$L$1500,2,FALSE),"")</f>
        <v/>
      </c>
      <c r="C1681" s="16">
        <f>IFERROR(SUMIF(Consolidado!$B$1:$B$1500,VLOOKUP(RegistroPago!A1681,Consolidado!$B$1:$L$1500,1,FALSE),Consolidado!$G$1:$G$1500),"")</f>
        <v>0</v>
      </c>
      <c r="D1681" s="3"/>
      <c r="E1681" s="3"/>
      <c r="F1681" s="5" t="str">
        <f t="shared" si="107"/>
        <v/>
      </c>
      <c r="G1681" s="16" t="str">
        <f>IF(D1681&lt;&gt;"",D1681-VLOOKUP(A1681,Consolidado!$B$1:$L$1500,8,FALSE),"")</f>
        <v/>
      </c>
      <c r="H1681" s="31"/>
      <c r="I1681" s="32">
        <f t="shared" si="104"/>
        <v>0</v>
      </c>
      <c r="J1681" s="33" t="str">
        <f t="shared" si="105"/>
        <v/>
      </c>
      <c r="K1681" s="2"/>
      <c r="L1681" s="15"/>
      <c r="M1681" s="34">
        <f t="shared" si="106"/>
        <v>0</v>
      </c>
    </row>
    <row r="1682" spans="1:13" x14ac:dyDescent="0.25">
      <c r="A1682" s="31"/>
      <c r="B1682" s="16" t="str">
        <f>IFERROR(VLOOKUP(A1682,Consolidado!$B$1:$L$1500,2,FALSE),"")</f>
        <v/>
      </c>
      <c r="C1682" s="16">
        <f>IFERROR(SUMIF(Consolidado!$B$1:$B$1500,VLOOKUP(RegistroPago!A1682,Consolidado!$B$1:$L$1500,1,FALSE),Consolidado!$G$1:$G$1500),"")</f>
        <v>0</v>
      </c>
      <c r="D1682" s="3"/>
      <c r="E1682" s="3"/>
      <c r="F1682" s="5" t="str">
        <f t="shared" si="107"/>
        <v/>
      </c>
      <c r="G1682" s="16" t="str">
        <f>IF(D1682&lt;&gt;"",D1682-VLOOKUP(A1682,Consolidado!$B$1:$L$1500,8,FALSE),"")</f>
        <v/>
      </c>
      <c r="H1682" s="31"/>
      <c r="I1682" s="32">
        <f t="shared" si="104"/>
        <v>0</v>
      </c>
      <c r="J1682" s="33" t="str">
        <f t="shared" si="105"/>
        <v/>
      </c>
      <c r="K1682" s="2"/>
      <c r="L1682" s="15"/>
      <c r="M1682" s="34">
        <f t="shared" si="106"/>
        <v>0</v>
      </c>
    </row>
    <row r="1683" spans="1:13" x14ac:dyDescent="0.25">
      <c r="A1683" s="31"/>
      <c r="B1683" s="16" t="str">
        <f>IFERROR(VLOOKUP(A1683,Consolidado!$B$1:$L$1500,2,FALSE),"")</f>
        <v/>
      </c>
      <c r="C1683" s="16">
        <f>IFERROR(SUMIF(Consolidado!$B$1:$B$1500,VLOOKUP(RegistroPago!A1683,Consolidado!$B$1:$L$1500,1,FALSE),Consolidado!$G$1:$G$1500),"")</f>
        <v>0</v>
      </c>
      <c r="D1683" s="3"/>
      <c r="E1683" s="3"/>
      <c r="F1683" s="5" t="str">
        <f t="shared" si="107"/>
        <v/>
      </c>
      <c r="G1683" s="16" t="str">
        <f>IF(D1683&lt;&gt;"",D1683-VLOOKUP(A1683,Consolidado!$B$1:$L$1500,8,FALSE),"")</f>
        <v/>
      </c>
      <c r="H1683" s="31"/>
      <c r="I1683" s="32">
        <f t="shared" si="104"/>
        <v>0</v>
      </c>
      <c r="J1683" s="33" t="str">
        <f t="shared" si="105"/>
        <v/>
      </c>
      <c r="K1683" s="2"/>
      <c r="L1683" s="15"/>
      <c r="M1683" s="34">
        <f t="shared" si="106"/>
        <v>0</v>
      </c>
    </row>
    <row r="1684" spans="1:13" x14ac:dyDescent="0.25">
      <c r="A1684" s="31"/>
      <c r="B1684" s="16" t="str">
        <f>IFERROR(VLOOKUP(A1684,Consolidado!$B$1:$L$1500,2,FALSE),"")</f>
        <v/>
      </c>
      <c r="C1684" s="16">
        <f>IFERROR(SUMIF(Consolidado!$B$1:$B$1500,VLOOKUP(RegistroPago!A1684,Consolidado!$B$1:$L$1500,1,FALSE),Consolidado!$G$1:$G$1500),"")</f>
        <v>0</v>
      </c>
      <c r="D1684" s="3"/>
      <c r="E1684" s="3"/>
      <c r="F1684" s="5" t="str">
        <f t="shared" si="107"/>
        <v/>
      </c>
      <c r="G1684" s="16" t="str">
        <f>IF(D1684&lt;&gt;"",D1684-VLOOKUP(A1684,Consolidado!$B$1:$L$1500,8,FALSE),"")</f>
        <v/>
      </c>
      <c r="H1684" s="31"/>
      <c r="I1684" s="32">
        <f t="shared" si="104"/>
        <v>0</v>
      </c>
      <c r="J1684" s="33" t="str">
        <f t="shared" si="105"/>
        <v/>
      </c>
      <c r="K1684" s="2"/>
      <c r="L1684" s="15"/>
      <c r="M1684" s="34">
        <f t="shared" si="106"/>
        <v>0</v>
      </c>
    </row>
    <row r="1685" spans="1:13" x14ac:dyDescent="0.25">
      <c r="A1685" s="31"/>
      <c r="B1685" s="16" t="str">
        <f>IFERROR(VLOOKUP(A1685,Consolidado!$B$1:$L$1500,2,FALSE),"")</f>
        <v/>
      </c>
      <c r="C1685" s="16">
        <f>IFERROR(SUMIF(Consolidado!$B$1:$B$1500,VLOOKUP(RegistroPago!A1685,Consolidado!$B$1:$L$1500,1,FALSE),Consolidado!$G$1:$G$1500),"")</f>
        <v>0</v>
      </c>
      <c r="D1685" s="3"/>
      <c r="E1685" s="3"/>
      <c r="F1685" s="5" t="str">
        <f t="shared" si="107"/>
        <v/>
      </c>
      <c r="G1685" s="16" t="str">
        <f>IF(D1685&lt;&gt;"",D1685-VLOOKUP(A1685,Consolidado!$B$1:$L$1500,8,FALSE),"")</f>
        <v/>
      </c>
      <c r="H1685" s="31"/>
      <c r="I1685" s="32">
        <f t="shared" si="104"/>
        <v>0</v>
      </c>
      <c r="J1685" s="33" t="str">
        <f t="shared" si="105"/>
        <v/>
      </c>
      <c r="K1685" s="2"/>
      <c r="L1685" s="15"/>
      <c r="M1685" s="34">
        <f t="shared" si="106"/>
        <v>0</v>
      </c>
    </row>
    <row r="1686" spans="1:13" x14ac:dyDescent="0.25">
      <c r="A1686" s="31"/>
      <c r="B1686" s="16" t="str">
        <f>IFERROR(VLOOKUP(A1686,Consolidado!$B$1:$L$1500,2,FALSE),"")</f>
        <v/>
      </c>
      <c r="C1686" s="16">
        <f>IFERROR(SUMIF(Consolidado!$B$1:$B$1500,VLOOKUP(RegistroPago!A1686,Consolidado!$B$1:$L$1500,1,FALSE),Consolidado!$G$1:$G$1500),"")</f>
        <v>0</v>
      </c>
      <c r="D1686" s="3"/>
      <c r="E1686" s="3"/>
      <c r="F1686" s="5" t="str">
        <f t="shared" si="107"/>
        <v/>
      </c>
      <c r="G1686" s="16" t="str">
        <f>IF(D1686&lt;&gt;"",D1686-VLOOKUP(A1686,Consolidado!$B$1:$L$1500,8,FALSE),"")</f>
        <v/>
      </c>
      <c r="H1686" s="31"/>
      <c r="I1686" s="32">
        <f t="shared" si="104"/>
        <v>0</v>
      </c>
      <c r="J1686" s="33" t="str">
        <f t="shared" si="105"/>
        <v/>
      </c>
      <c r="K1686" s="2"/>
      <c r="L1686" s="15"/>
      <c r="M1686" s="34">
        <f t="shared" si="106"/>
        <v>0</v>
      </c>
    </row>
    <row r="1687" spans="1:13" x14ac:dyDescent="0.25">
      <c r="A1687" s="31"/>
      <c r="B1687" s="16" t="str">
        <f>IFERROR(VLOOKUP(A1687,Consolidado!$B$1:$L$1500,2,FALSE),"")</f>
        <v/>
      </c>
      <c r="C1687" s="16">
        <f>IFERROR(SUMIF(Consolidado!$B$1:$B$1500,VLOOKUP(RegistroPago!A1687,Consolidado!$B$1:$L$1500,1,FALSE),Consolidado!$G$1:$G$1500),"")</f>
        <v>0</v>
      </c>
      <c r="D1687" s="3"/>
      <c r="E1687" s="3"/>
      <c r="F1687" s="5" t="str">
        <f t="shared" si="107"/>
        <v/>
      </c>
      <c r="G1687" s="16" t="str">
        <f>IF(D1687&lt;&gt;"",D1687-VLOOKUP(A1687,Consolidado!$B$1:$L$1500,8,FALSE),"")</f>
        <v/>
      </c>
      <c r="H1687" s="31"/>
      <c r="I1687" s="32">
        <f t="shared" si="104"/>
        <v>0</v>
      </c>
      <c r="J1687" s="33" t="str">
        <f t="shared" si="105"/>
        <v/>
      </c>
      <c r="K1687" s="2"/>
      <c r="L1687" s="15"/>
      <c r="M1687" s="34">
        <f t="shared" si="106"/>
        <v>0</v>
      </c>
    </row>
    <row r="1688" spans="1:13" x14ac:dyDescent="0.25">
      <c r="A1688" s="31"/>
      <c r="B1688" s="16" t="str">
        <f>IFERROR(VLOOKUP(A1688,Consolidado!$B$1:$L$1500,2,FALSE),"")</f>
        <v/>
      </c>
      <c r="C1688" s="16">
        <f>IFERROR(SUMIF(Consolidado!$B$1:$B$1500,VLOOKUP(RegistroPago!A1688,Consolidado!$B$1:$L$1500,1,FALSE),Consolidado!$G$1:$G$1500),"")</f>
        <v>0</v>
      </c>
      <c r="D1688" s="3"/>
      <c r="E1688" s="3"/>
      <c r="F1688" s="5" t="str">
        <f t="shared" si="107"/>
        <v/>
      </c>
      <c r="G1688" s="16" t="str">
        <f>IF(D1688&lt;&gt;"",D1688-VLOOKUP(A1688,Consolidado!$B$1:$L$1500,8,FALSE),"")</f>
        <v/>
      </c>
      <c r="H1688" s="31"/>
      <c r="I1688" s="32">
        <f t="shared" si="104"/>
        <v>0</v>
      </c>
      <c r="J1688" s="33" t="str">
        <f t="shared" si="105"/>
        <v/>
      </c>
      <c r="K1688" s="2"/>
      <c r="L1688" s="15"/>
      <c r="M1688" s="34">
        <f t="shared" si="106"/>
        <v>0</v>
      </c>
    </row>
    <row r="1689" spans="1:13" x14ac:dyDescent="0.25">
      <c r="A1689" s="31"/>
      <c r="B1689" s="16" t="str">
        <f>IFERROR(VLOOKUP(A1689,Consolidado!$B$1:$L$1500,2,FALSE),"")</f>
        <v/>
      </c>
      <c r="C1689" s="16">
        <f>IFERROR(SUMIF(Consolidado!$B$1:$B$1500,VLOOKUP(RegistroPago!A1689,Consolidado!$B$1:$L$1500,1,FALSE),Consolidado!$G$1:$G$1500),"")</f>
        <v>0</v>
      </c>
      <c r="D1689" s="3"/>
      <c r="E1689" s="3"/>
      <c r="F1689" s="5" t="str">
        <f t="shared" si="107"/>
        <v/>
      </c>
      <c r="G1689" s="16" t="str">
        <f>IF(D1689&lt;&gt;"",D1689-VLOOKUP(A1689,Consolidado!$B$1:$L$1500,8,FALSE),"")</f>
        <v/>
      </c>
      <c r="H1689" s="31"/>
      <c r="I1689" s="32">
        <f t="shared" si="104"/>
        <v>0</v>
      </c>
      <c r="J1689" s="33" t="str">
        <f t="shared" si="105"/>
        <v/>
      </c>
      <c r="K1689" s="2"/>
      <c r="L1689" s="15"/>
      <c r="M1689" s="34">
        <f t="shared" si="106"/>
        <v>0</v>
      </c>
    </row>
    <row r="1690" spans="1:13" x14ac:dyDescent="0.25">
      <c r="A1690" s="31"/>
      <c r="B1690" s="16" t="str">
        <f>IFERROR(VLOOKUP(A1690,Consolidado!$B$1:$L$1500,2,FALSE),"")</f>
        <v/>
      </c>
      <c r="C1690" s="16">
        <f>IFERROR(SUMIF(Consolidado!$B$1:$B$1500,VLOOKUP(RegistroPago!A1690,Consolidado!$B$1:$L$1500,1,FALSE),Consolidado!$G$1:$G$1500),"")</f>
        <v>0</v>
      </c>
      <c r="D1690" s="3"/>
      <c r="E1690" s="3"/>
      <c r="F1690" s="5" t="str">
        <f t="shared" si="107"/>
        <v/>
      </c>
      <c r="G1690" s="16" t="str">
        <f>IF(D1690&lt;&gt;"",D1690-VLOOKUP(A1690,Consolidado!$B$1:$L$1500,8,FALSE),"")</f>
        <v/>
      </c>
      <c r="H1690" s="31"/>
      <c r="I1690" s="32">
        <f t="shared" si="104"/>
        <v>0</v>
      </c>
      <c r="J1690" s="33" t="str">
        <f t="shared" si="105"/>
        <v/>
      </c>
      <c r="K1690" s="2"/>
      <c r="L1690" s="15"/>
      <c r="M1690" s="34">
        <f t="shared" si="106"/>
        <v>0</v>
      </c>
    </row>
    <row r="1691" spans="1:13" x14ac:dyDescent="0.25">
      <c r="A1691" s="31"/>
      <c r="B1691" s="16" t="str">
        <f>IFERROR(VLOOKUP(A1691,Consolidado!$B$1:$L$1500,2,FALSE),"")</f>
        <v/>
      </c>
      <c r="C1691" s="16">
        <f>IFERROR(SUMIF(Consolidado!$B$1:$B$1500,VLOOKUP(RegistroPago!A1691,Consolidado!$B$1:$L$1500,1,FALSE),Consolidado!$G$1:$G$1500),"")</f>
        <v>0</v>
      </c>
      <c r="D1691" s="3"/>
      <c r="E1691" s="3"/>
      <c r="F1691" s="5" t="str">
        <f t="shared" si="107"/>
        <v/>
      </c>
      <c r="G1691" s="16" t="str">
        <f>IF(D1691&lt;&gt;"",D1691-VLOOKUP(A1691,Consolidado!$B$1:$L$1500,8,FALSE),"")</f>
        <v/>
      </c>
      <c r="H1691" s="31"/>
      <c r="I1691" s="32">
        <f t="shared" si="104"/>
        <v>0</v>
      </c>
      <c r="J1691" s="33" t="str">
        <f t="shared" si="105"/>
        <v/>
      </c>
      <c r="K1691" s="2"/>
      <c r="L1691" s="15"/>
      <c r="M1691" s="34">
        <f t="shared" si="106"/>
        <v>0</v>
      </c>
    </row>
    <row r="1692" spans="1:13" x14ac:dyDescent="0.25">
      <c r="A1692" s="31"/>
      <c r="B1692" s="16" t="str">
        <f>IFERROR(VLOOKUP(A1692,Consolidado!$B$1:$L$1500,2,FALSE),"")</f>
        <v/>
      </c>
      <c r="C1692" s="16">
        <f>IFERROR(SUMIF(Consolidado!$B$1:$B$1500,VLOOKUP(RegistroPago!A1692,Consolidado!$B$1:$L$1500,1,FALSE),Consolidado!$G$1:$G$1500),"")</f>
        <v>0</v>
      </c>
      <c r="D1692" s="3"/>
      <c r="E1692" s="3"/>
      <c r="F1692" s="5" t="str">
        <f t="shared" si="107"/>
        <v/>
      </c>
      <c r="G1692" s="16" t="str">
        <f>IF(D1692&lt;&gt;"",D1692-VLOOKUP(A1692,Consolidado!$B$1:$L$1500,8,FALSE),"")</f>
        <v/>
      </c>
      <c r="H1692" s="31"/>
      <c r="I1692" s="32">
        <f t="shared" si="104"/>
        <v>0</v>
      </c>
      <c r="J1692" s="33" t="str">
        <f t="shared" si="105"/>
        <v/>
      </c>
      <c r="K1692" s="2"/>
      <c r="L1692" s="15"/>
      <c r="M1692" s="34">
        <f t="shared" si="106"/>
        <v>0</v>
      </c>
    </row>
    <row r="1693" spans="1:13" x14ac:dyDescent="0.25">
      <c r="A1693" s="31"/>
      <c r="B1693" s="16" t="str">
        <f>IFERROR(VLOOKUP(A1693,Consolidado!$B$1:$L$1500,2,FALSE),"")</f>
        <v/>
      </c>
      <c r="C1693" s="16">
        <f>IFERROR(SUMIF(Consolidado!$B$1:$B$1500,VLOOKUP(RegistroPago!A1693,Consolidado!$B$1:$L$1500,1,FALSE),Consolidado!$G$1:$G$1500),"")</f>
        <v>0</v>
      </c>
      <c r="D1693" s="3"/>
      <c r="E1693" s="3"/>
      <c r="F1693" s="5" t="str">
        <f t="shared" si="107"/>
        <v/>
      </c>
      <c r="G1693" s="16" t="str">
        <f>IF(D1693&lt;&gt;"",D1693-VLOOKUP(A1693,Consolidado!$B$1:$L$1500,8,FALSE),"")</f>
        <v/>
      </c>
      <c r="H1693" s="31"/>
      <c r="I1693" s="32">
        <f t="shared" si="104"/>
        <v>0</v>
      </c>
      <c r="J1693" s="33" t="str">
        <f t="shared" si="105"/>
        <v/>
      </c>
      <c r="K1693" s="2"/>
      <c r="L1693" s="15"/>
      <c r="M1693" s="34">
        <f t="shared" si="106"/>
        <v>0</v>
      </c>
    </row>
    <row r="1694" spans="1:13" x14ac:dyDescent="0.25">
      <c r="A1694" s="31"/>
      <c r="B1694" s="16" t="str">
        <f>IFERROR(VLOOKUP(A1694,Consolidado!$B$1:$L$1500,2,FALSE),"")</f>
        <v/>
      </c>
      <c r="C1694" s="16">
        <f>IFERROR(SUMIF(Consolidado!$B$1:$B$1500,VLOOKUP(RegistroPago!A1694,Consolidado!$B$1:$L$1500,1,FALSE),Consolidado!$G$1:$G$1500),"")</f>
        <v>0</v>
      </c>
      <c r="D1694" s="3"/>
      <c r="E1694" s="3"/>
      <c r="F1694" s="5" t="str">
        <f t="shared" si="107"/>
        <v/>
      </c>
      <c r="G1694" s="16" t="str">
        <f>IF(D1694&lt;&gt;"",D1694-VLOOKUP(A1694,Consolidado!$B$1:$L$1500,8,FALSE),"")</f>
        <v/>
      </c>
      <c r="H1694" s="31"/>
      <c r="I1694" s="32">
        <f t="shared" si="104"/>
        <v>0</v>
      </c>
      <c r="J1694" s="33" t="str">
        <f t="shared" si="105"/>
        <v/>
      </c>
      <c r="K1694" s="2"/>
      <c r="L1694" s="15"/>
      <c r="M1694" s="34">
        <f t="shared" si="106"/>
        <v>0</v>
      </c>
    </row>
    <row r="1695" spans="1:13" x14ac:dyDescent="0.25">
      <c r="A1695" s="31"/>
      <c r="B1695" s="16" t="str">
        <f>IFERROR(VLOOKUP(A1695,Consolidado!$B$1:$L$1500,2,FALSE),"")</f>
        <v/>
      </c>
      <c r="C1695" s="16">
        <f>IFERROR(SUMIF(Consolidado!$B$1:$B$1500,VLOOKUP(RegistroPago!A1695,Consolidado!$B$1:$L$1500,1,FALSE),Consolidado!$G$1:$G$1500),"")</f>
        <v>0</v>
      </c>
      <c r="D1695" s="3"/>
      <c r="E1695" s="3"/>
      <c r="F1695" s="5" t="str">
        <f t="shared" si="107"/>
        <v/>
      </c>
      <c r="G1695" s="16" t="str">
        <f>IF(D1695&lt;&gt;"",D1695-VLOOKUP(A1695,Consolidado!$B$1:$L$1500,8,FALSE),"")</f>
        <v/>
      </c>
      <c r="H1695" s="31"/>
      <c r="I1695" s="32">
        <f t="shared" si="104"/>
        <v>0</v>
      </c>
      <c r="J1695" s="33" t="str">
        <f t="shared" si="105"/>
        <v/>
      </c>
      <c r="K1695" s="2"/>
      <c r="L1695" s="15"/>
      <c r="M1695" s="34">
        <f t="shared" si="106"/>
        <v>0</v>
      </c>
    </row>
    <row r="1696" spans="1:13" x14ac:dyDescent="0.25">
      <c r="A1696" s="31"/>
      <c r="B1696" s="16" t="str">
        <f>IFERROR(VLOOKUP(A1696,Consolidado!$B$1:$L$1500,2,FALSE),"")</f>
        <v/>
      </c>
      <c r="C1696" s="16">
        <f>IFERROR(SUMIF(Consolidado!$B$1:$B$1500,VLOOKUP(RegistroPago!A1696,Consolidado!$B$1:$L$1500,1,FALSE),Consolidado!$G$1:$G$1500),"")</f>
        <v>0</v>
      </c>
      <c r="D1696" s="3"/>
      <c r="E1696" s="3"/>
      <c r="F1696" s="5" t="str">
        <f t="shared" si="107"/>
        <v/>
      </c>
      <c r="G1696" s="16" t="str">
        <f>IF(D1696&lt;&gt;"",D1696-VLOOKUP(A1696,Consolidado!$B$1:$L$1500,8,FALSE),"")</f>
        <v/>
      </c>
      <c r="H1696" s="31"/>
      <c r="I1696" s="32">
        <f t="shared" si="104"/>
        <v>0</v>
      </c>
      <c r="J1696" s="33" t="str">
        <f t="shared" si="105"/>
        <v/>
      </c>
      <c r="K1696" s="2"/>
      <c r="L1696" s="15"/>
      <c r="M1696" s="34">
        <f t="shared" si="106"/>
        <v>0</v>
      </c>
    </row>
    <row r="1697" spans="1:13" x14ac:dyDescent="0.25">
      <c r="A1697" s="31"/>
      <c r="B1697" s="16" t="str">
        <f>IFERROR(VLOOKUP(A1697,Consolidado!$B$1:$L$1500,2,FALSE),"")</f>
        <v/>
      </c>
      <c r="C1697" s="16">
        <f>IFERROR(SUMIF(Consolidado!$B$1:$B$1500,VLOOKUP(RegistroPago!A1697,Consolidado!$B$1:$L$1500,1,FALSE),Consolidado!$G$1:$G$1500),"")</f>
        <v>0</v>
      </c>
      <c r="D1697" s="3"/>
      <c r="E1697" s="3"/>
      <c r="F1697" s="5" t="str">
        <f t="shared" si="107"/>
        <v/>
      </c>
      <c r="G1697" s="16" t="str">
        <f>IF(D1697&lt;&gt;"",D1697-VLOOKUP(A1697,Consolidado!$B$1:$L$1500,8,FALSE),"")</f>
        <v/>
      </c>
      <c r="H1697" s="31"/>
      <c r="I1697" s="32">
        <f t="shared" si="104"/>
        <v>0</v>
      </c>
      <c r="J1697" s="33" t="str">
        <f t="shared" si="105"/>
        <v/>
      </c>
      <c r="K1697" s="2"/>
      <c r="L1697" s="15"/>
      <c r="M1697" s="34">
        <f t="shared" si="106"/>
        <v>0</v>
      </c>
    </row>
    <row r="1698" spans="1:13" x14ac:dyDescent="0.25">
      <c r="A1698" s="31"/>
      <c r="B1698" s="16" t="str">
        <f>IFERROR(VLOOKUP(A1698,Consolidado!$B$1:$L$1500,2,FALSE),"")</f>
        <v/>
      </c>
      <c r="C1698" s="16">
        <f>IFERROR(SUMIF(Consolidado!$B$1:$B$1500,VLOOKUP(RegistroPago!A1698,Consolidado!$B$1:$L$1500,1,FALSE),Consolidado!$G$1:$G$1500),"")</f>
        <v>0</v>
      </c>
      <c r="D1698" s="3"/>
      <c r="E1698" s="3"/>
      <c r="F1698" s="5" t="str">
        <f t="shared" si="107"/>
        <v/>
      </c>
      <c r="G1698" s="16" t="str">
        <f>IF(D1698&lt;&gt;"",D1698-VLOOKUP(A1698,Consolidado!$B$1:$L$1500,8,FALSE),"")</f>
        <v/>
      </c>
      <c r="H1698" s="31"/>
      <c r="I1698" s="32">
        <f t="shared" si="104"/>
        <v>0</v>
      </c>
      <c r="J1698" s="33" t="str">
        <f t="shared" si="105"/>
        <v/>
      </c>
      <c r="K1698" s="2"/>
      <c r="L1698" s="15"/>
      <c r="M1698" s="34">
        <f t="shared" si="106"/>
        <v>0</v>
      </c>
    </row>
    <row r="1699" spans="1:13" x14ac:dyDescent="0.25">
      <c r="A1699" s="31"/>
      <c r="B1699" s="16" t="str">
        <f>IFERROR(VLOOKUP(A1699,Consolidado!$B$1:$L$1500,2,FALSE),"")</f>
        <v/>
      </c>
      <c r="C1699" s="16">
        <f>IFERROR(SUMIF(Consolidado!$B$1:$B$1500,VLOOKUP(RegistroPago!A1699,Consolidado!$B$1:$L$1500,1,FALSE),Consolidado!$G$1:$G$1500),"")</f>
        <v>0</v>
      </c>
      <c r="D1699" s="3"/>
      <c r="E1699" s="3"/>
      <c r="F1699" s="5" t="str">
        <f t="shared" si="107"/>
        <v/>
      </c>
      <c r="G1699" s="16" t="str">
        <f>IF(D1699&lt;&gt;"",D1699-VLOOKUP(A1699,Consolidado!$B$1:$L$1500,8,FALSE),"")</f>
        <v/>
      </c>
      <c r="H1699" s="31"/>
      <c r="I1699" s="32">
        <f t="shared" si="104"/>
        <v>0</v>
      </c>
      <c r="J1699" s="33" t="str">
        <f t="shared" si="105"/>
        <v/>
      </c>
      <c r="K1699" s="2"/>
      <c r="L1699" s="15"/>
      <c r="M1699" s="34">
        <f t="shared" si="106"/>
        <v>0</v>
      </c>
    </row>
    <row r="1700" spans="1:13" x14ac:dyDescent="0.25">
      <c r="A1700" s="31"/>
      <c r="B1700" s="16" t="str">
        <f>IFERROR(VLOOKUP(A1700,Consolidado!$B$1:$L$1500,2,FALSE),"")</f>
        <v/>
      </c>
      <c r="C1700" s="16">
        <f>IFERROR(SUMIF(Consolidado!$B$1:$B$1500,VLOOKUP(RegistroPago!A1700,Consolidado!$B$1:$L$1500,1,FALSE),Consolidado!$G$1:$G$1500),"")</f>
        <v>0</v>
      </c>
      <c r="D1700" s="3"/>
      <c r="E1700" s="3"/>
      <c r="F1700" s="5" t="str">
        <f t="shared" si="107"/>
        <v/>
      </c>
      <c r="G1700" s="16" t="str">
        <f>IF(D1700&lt;&gt;"",D1700-VLOOKUP(A1700,Consolidado!$B$1:$L$1500,8,FALSE),"")</f>
        <v/>
      </c>
      <c r="H1700" s="31"/>
      <c r="I1700" s="32">
        <f t="shared" si="104"/>
        <v>0</v>
      </c>
      <c r="J1700" s="33" t="str">
        <f t="shared" si="105"/>
        <v/>
      </c>
      <c r="K1700" s="2"/>
      <c r="L1700" s="15"/>
      <c r="M1700" s="34">
        <f t="shared" si="106"/>
        <v>0</v>
      </c>
    </row>
    <row r="1701" spans="1:13" x14ac:dyDescent="0.25">
      <c r="A1701" s="31"/>
      <c r="B1701" s="16" t="str">
        <f>IFERROR(VLOOKUP(A1701,Consolidado!$B$1:$L$1500,2,FALSE),"")</f>
        <v/>
      </c>
      <c r="C1701" s="16">
        <f>IFERROR(SUMIF(Consolidado!$B$1:$B$1500,VLOOKUP(RegistroPago!A1701,Consolidado!$B$1:$L$1500,1,FALSE),Consolidado!$G$1:$G$1500),"")</f>
        <v>0</v>
      </c>
      <c r="D1701" s="3"/>
      <c r="E1701" s="3"/>
      <c r="F1701" s="5" t="str">
        <f t="shared" si="107"/>
        <v/>
      </c>
      <c r="G1701" s="16" t="str">
        <f>IF(D1701&lt;&gt;"",D1701-VLOOKUP(A1701,Consolidado!$B$1:$L$1500,8,FALSE),"")</f>
        <v/>
      </c>
      <c r="H1701" s="31"/>
      <c r="I1701" s="32">
        <f t="shared" si="104"/>
        <v>0</v>
      </c>
      <c r="J1701" s="33" t="str">
        <f t="shared" si="105"/>
        <v/>
      </c>
      <c r="K1701" s="2"/>
      <c r="L1701" s="15"/>
      <c r="M1701" s="34">
        <f t="shared" si="106"/>
        <v>0</v>
      </c>
    </row>
    <row r="1702" spans="1:13" x14ac:dyDescent="0.25">
      <c r="A1702" s="31"/>
      <c r="B1702" s="16" t="str">
        <f>IFERROR(VLOOKUP(A1702,Consolidado!$B$1:$L$1500,2,FALSE),"")</f>
        <v/>
      </c>
      <c r="C1702" s="16">
        <f>IFERROR(SUMIF(Consolidado!$B$1:$B$1500,VLOOKUP(RegistroPago!A1702,Consolidado!$B$1:$L$1500,1,FALSE),Consolidado!$G$1:$G$1500),"")</f>
        <v>0</v>
      </c>
      <c r="D1702" s="3"/>
      <c r="E1702" s="3"/>
      <c r="F1702" s="5" t="str">
        <f t="shared" si="107"/>
        <v/>
      </c>
      <c r="G1702" s="16" t="str">
        <f>IF(D1702&lt;&gt;"",D1702-VLOOKUP(A1702,Consolidado!$B$1:$L$1500,8,FALSE),"")</f>
        <v/>
      </c>
      <c r="H1702" s="31"/>
      <c r="I1702" s="32">
        <f t="shared" si="104"/>
        <v>0</v>
      </c>
      <c r="J1702" s="33" t="str">
        <f t="shared" si="105"/>
        <v/>
      </c>
      <c r="K1702" s="2"/>
      <c r="L1702" s="15"/>
      <c r="M1702" s="34">
        <f t="shared" si="106"/>
        <v>0</v>
      </c>
    </row>
    <row r="1703" spans="1:13" x14ac:dyDescent="0.25">
      <c r="A1703" s="31"/>
      <c r="B1703" s="16" t="str">
        <f>IFERROR(VLOOKUP(A1703,Consolidado!$B$1:$L$1500,2,FALSE),"")</f>
        <v/>
      </c>
      <c r="C1703" s="16">
        <f>IFERROR(SUMIF(Consolidado!$B$1:$B$1500,VLOOKUP(RegistroPago!A1703,Consolidado!$B$1:$L$1500,1,FALSE),Consolidado!$G$1:$G$1500),"")</f>
        <v>0</v>
      </c>
      <c r="D1703" s="3"/>
      <c r="E1703" s="3"/>
      <c r="F1703" s="5" t="str">
        <f t="shared" si="107"/>
        <v/>
      </c>
      <c r="G1703" s="16" t="str">
        <f>IF(D1703&lt;&gt;"",D1703-VLOOKUP(A1703,Consolidado!$B$1:$L$1500,8,FALSE),"")</f>
        <v/>
      </c>
      <c r="H1703" s="31"/>
      <c r="I1703" s="32">
        <f t="shared" si="104"/>
        <v>0</v>
      </c>
      <c r="J1703" s="33" t="str">
        <f t="shared" si="105"/>
        <v/>
      </c>
      <c r="K1703" s="2"/>
      <c r="L1703" s="15"/>
      <c r="M1703" s="34">
        <f t="shared" si="106"/>
        <v>0</v>
      </c>
    </row>
    <row r="1704" spans="1:13" x14ac:dyDescent="0.25">
      <c r="A1704" s="31"/>
      <c r="B1704" s="16" t="str">
        <f>IFERROR(VLOOKUP(A1704,Consolidado!$B$1:$L$1500,2,FALSE),"")</f>
        <v/>
      </c>
      <c r="C1704" s="16">
        <f>IFERROR(SUMIF(Consolidado!$B$1:$B$1500,VLOOKUP(RegistroPago!A1704,Consolidado!$B$1:$L$1500,1,FALSE),Consolidado!$G$1:$G$1500),"")</f>
        <v>0</v>
      </c>
      <c r="D1704" s="3"/>
      <c r="E1704" s="3"/>
      <c r="F1704" s="5" t="str">
        <f t="shared" si="107"/>
        <v/>
      </c>
      <c r="G1704" s="16" t="str">
        <f>IF(D1704&lt;&gt;"",D1704-VLOOKUP(A1704,Consolidado!$B$1:$L$1500,8,FALSE),"")</f>
        <v/>
      </c>
      <c r="H1704" s="31"/>
      <c r="I1704" s="32">
        <f t="shared" si="104"/>
        <v>0</v>
      </c>
      <c r="J1704" s="33" t="str">
        <f t="shared" si="105"/>
        <v/>
      </c>
      <c r="K1704" s="2"/>
      <c r="L1704" s="15"/>
      <c r="M1704" s="34">
        <f t="shared" si="106"/>
        <v>0</v>
      </c>
    </row>
    <row r="1705" spans="1:13" x14ac:dyDescent="0.25">
      <c r="A1705" s="31"/>
      <c r="B1705" s="16" t="str">
        <f>IFERROR(VLOOKUP(A1705,Consolidado!$B$1:$L$1500,2,FALSE),"")</f>
        <v/>
      </c>
      <c r="C1705" s="16">
        <f>IFERROR(SUMIF(Consolidado!$B$1:$B$1500,VLOOKUP(RegistroPago!A1705,Consolidado!$B$1:$L$1500,1,FALSE),Consolidado!$G$1:$G$1500),"")</f>
        <v>0</v>
      </c>
      <c r="D1705" s="3"/>
      <c r="E1705" s="3"/>
      <c r="F1705" s="5" t="str">
        <f t="shared" si="107"/>
        <v/>
      </c>
      <c r="G1705" s="16" t="str">
        <f>IF(D1705&lt;&gt;"",D1705-VLOOKUP(A1705,Consolidado!$B$1:$L$1500,8,FALSE),"")</f>
        <v/>
      </c>
      <c r="H1705" s="31"/>
      <c r="I1705" s="32">
        <f t="shared" ref="I1705:I1768" si="108">IFERROR(SUMIF($E$1:$E$2000,H1705,$C$1:$C$2000)-SUMIF($E$1:$E$2000,H1705,$F$1:$F$2000),"")</f>
        <v>0</v>
      </c>
      <c r="J1705" s="33" t="str">
        <f t="shared" ref="J1705:J1768" si="109">IFERROR(I1705/SUMIF($E$1:$E$2000,H1705,$C$1:$C$2000),"")</f>
        <v/>
      </c>
      <c r="K1705" s="2"/>
      <c r="L1705" s="15"/>
      <c r="M1705" s="34">
        <f t="shared" ref="M1705:M1768" si="110">IFERROR(L1705*SUMIF($E$1:$E$2000,H1705,$F$1:$F$2000),"")</f>
        <v>0</v>
      </c>
    </row>
    <row r="1706" spans="1:13" x14ac:dyDescent="0.25">
      <c r="A1706" s="31"/>
      <c r="B1706" s="16" t="str">
        <f>IFERROR(VLOOKUP(A1706,Consolidado!$B$1:$L$1500,2,FALSE),"")</f>
        <v/>
      </c>
      <c r="C1706" s="16">
        <f>IFERROR(SUMIF(Consolidado!$B$1:$B$1500,VLOOKUP(RegistroPago!A1706,Consolidado!$B$1:$L$1500,1,FALSE),Consolidado!$G$1:$G$1500),"")</f>
        <v>0</v>
      </c>
      <c r="D1706" s="3"/>
      <c r="E1706" s="3"/>
      <c r="F1706" s="5" t="str">
        <f t="shared" si="107"/>
        <v/>
      </c>
      <c r="G1706" s="16" t="str">
        <f>IF(D1706&lt;&gt;"",D1706-VLOOKUP(A1706,Consolidado!$B$1:$L$1500,8,FALSE),"")</f>
        <v/>
      </c>
      <c r="H1706" s="31"/>
      <c r="I1706" s="32">
        <f t="shared" si="108"/>
        <v>0</v>
      </c>
      <c r="J1706" s="33" t="str">
        <f t="shared" si="109"/>
        <v/>
      </c>
      <c r="K1706" s="2"/>
      <c r="L1706" s="15"/>
      <c r="M1706" s="34">
        <f t="shared" si="110"/>
        <v>0</v>
      </c>
    </row>
    <row r="1707" spans="1:13" x14ac:dyDescent="0.25">
      <c r="A1707" s="31"/>
      <c r="B1707" s="16" t="str">
        <f>IFERROR(VLOOKUP(A1707,Consolidado!$B$1:$L$1500,2,FALSE),"")</f>
        <v/>
      </c>
      <c r="C1707" s="16">
        <f>IFERROR(SUMIF(Consolidado!$B$1:$B$1500,VLOOKUP(RegistroPago!A1707,Consolidado!$B$1:$L$1500,1,FALSE),Consolidado!$G$1:$G$1500),"")</f>
        <v>0</v>
      </c>
      <c r="D1707" s="3"/>
      <c r="E1707" s="3"/>
      <c r="F1707" s="5" t="str">
        <f t="shared" si="107"/>
        <v/>
      </c>
      <c r="G1707" s="16" t="str">
        <f>IF(D1707&lt;&gt;"",D1707-VLOOKUP(A1707,Consolidado!$B$1:$L$1500,8,FALSE),"")</f>
        <v/>
      </c>
      <c r="H1707" s="31"/>
      <c r="I1707" s="32">
        <f t="shared" si="108"/>
        <v>0</v>
      </c>
      <c r="J1707" s="33" t="str">
        <f t="shared" si="109"/>
        <v/>
      </c>
      <c r="K1707" s="2"/>
      <c r="L1707" s="15"/>
      <c r="M1707" s="34">
        <f t="shared" si="110"/>
        <v>0</v>
      </c>
    </row>
    <row r="1708" spans="1:13" x14ac:dyDescent="0.25">
      <c r="A1708" s="31"/>
      <c r="B1708" s="16" t="str">
        <f>IFERROR(VLOOKUP(A1708,Consolidado!$B$1:$L$1500,2,FALSE),"")</f>
        <v/>
      </c>
      <c r="C1708" s="16">
        <f>IFERROR(SUMIF(Consolidado!$B$1:$B$1500,VLOOKUP(RegistroPago!A1708,Consolidado!$B$1:$L$1500,1,FALSE),Consolidado!$G$1:$G$1500),"")</f>
        <v>0</v>
      </c>
      <c r="D1708" s="3"/>
      <c r="E1708" s="3"/>
      <c r="F1708" s="5" t="str">
        <f t="shared" si="107"/>
        <v/>
      </c>
      <c r="G1708" s="16" t="str">
        <f>IF(D1708&lt;&gt;"",D1708-VLOOKUP(A1708,Consolidado!$B$1:$L$1500,8,FALSE),"")</f>
        <v/>
      </c>
      <c r="H1708" s="31"/>
      <c r="I1708" s="32">
        <f t="shared" si="108"/>
        <v>0</v>
      </c>
      <c r="J1708" s="33" t="str">
        <f t="shared" si="109"/>
        <v/>
      </c>
      <c r="K1708" s="2"/>
      <c r="L1708" s="15"/>
      <c r="M1708" s="34">
        <f t="shared" si="110"/>
        <v>0</v>
      </c>
    </row>
    <row r="1709" spans="1:13" x14ac:dyDescent="0.25">
      <c r="A1709" s="31"/>
      <c r="B1709" s="16" t="str">
        <f>IFERROR(VLOOKUP(A1709,Consolidado!$B$1:$L$1500,2,FALSE),"")</f>
        <v/>
      </c>
      <c r="C1709" s="16">
        <f>IFERROR(SUMIF(Consolidado!$B$1:$B$1500,VLOOKUP(RegistroPago!A1709,Consolidado!$B$1:$L$1500,1,FALSE),Consolidado!$G$1:$G$1500),"")</f>
        <v>0</v>
      </c>
      <c r="D1709" s="3"/>
      <c r="E1709" s="3"/>
      <c r="F1709" s="5" t="str">
        <f t="shared" si="107"/>
        <v/>
      </c>
      <c r="G1709" s="16" t="str">
        <f>IF(D1709&lt;&gt;"",D1709-VLOOKUP(A1709,Consolidado!$B$1:$L$1500,8,FALSE),"")</f>
        <v/>
      </c>
      <c r="H1709" s="31"/>
      <c r="I1709" s="32">
        <f t="shared" si="108"/>
        <v>0</v>
      </c>
      <c r="J1709" s="33" t="str">
        <f t="shared" si="109"/>
        <v/>
      </c>
      <c r="K1709" s="2"/>
      <c r="L1709" s="15"/>
      <c r="M1709" s="34">
        <f t="shared" si="110"/>
        <v>0</v>
      </c>
    </row>
    <row r="1710" spans="1:13" x14ac:dyDescent="0.25">
      <c r="A1710" s="31"/>
      <c r="B1710" s="16" t="str">
        <f>IFERROR(VLOOKUP(A1710,Consolidado!$B$1:$L$1500,2,FALSE),"")</f>
        <v/>
      </c>
      <c r="C1710" s="16">
        <f>IFERROR(SUMIF(Consolidado!$B$1:$B$1500,VLOOKUP(RegistroPago!A1710,Consolidado!$B$1:$L$1500,1,FALSE),Consolidado!$G$1:$G$1500),"")</f>
        <v>0</v>
      </c>
      <c r="D1710" s="3"/>
      <c r="E1710" s="3"/>
      <c r="F1710" s="5" t="str">
        <f t="shared" si="107"/>
        <v/>
      </c>
      <c r="G1710" s="16" t="str">
        <f>IF(D1710&lt;&gt;"",D1710-VLOOKUP(A1710,Consolidado!$B$1:$L$1500,8,FALSE),"")</f>
        <v/>
      </c>
      <c r="H1710" s="31"/>
      <c r="I1710" s="32">
        <f t="shared" si="108"/>
        <v>0</v>
      </c>
      <c r="J1710" s="33" t="str">
        <f t="shared" si="109"/>
        <v/>
      </c>
      <c r="K1710" s="2"/>
      <c r="L1710" s="15"/>
      <c r="M1710" s="34">
        <f t="shared" si="110"/>
        <v>0</v>
      </c>
    </row>
    <row r="1711" spans="1:13" x14ac:dyDescent="0.25">
      <c r="A1711" s="31"/>
      <c r="B1711" s="16" t="str">
        <f>IFERROR(VLOOKUP(A1711,Consolidado!$B$1:$L$1500,2,FALSE),"")</f>
        <v/>
      </c>
      <c r="C1711" s="16">
        <f>IFERROR(SUMIF(Consolidado!$B$1:$B$1500,VLOOKUP(RegistroPago!A1711,Consolidado!$B$1:$L$1500,1,FALSE),Consolidado!$G$1:$G$1500),"")</f>
        <v>0</v>
      </c>
      <c r="D1711" s="3"/>
      <c r="E1711" s="3"/>
      <c r="F1711" s="5" t="str">
        <f t="shared" si="107"/>
        <v/>
      </c>
      <c r="G1711" s="16" t="str">
        <f>IF(D1711&lt;&gt;"",D1711-VLOOKUP(A1711,Consolidado!$B$1:$L$1500,8,FALSE),"")</f>
        <v/>
      </c>
      <c r="H1711" s="31"/>
      <c r="I1711" s="32">
        <f t="shared" si="108"/>
        <v>0</v>
      </c>
      <c r="J1711" s="33" t="str">
        <f t="shared" si="109"/>
        <v/>
      </c>
      <c r="K1711" s="2"/>
      <c r="L1711" s="15"/>
      <c r="M1711" s="34">
        <f t="shared" si="110"/>
        <v>0</v>
      </c>
    </row>
    <row r="1712" spans="1:13" x14ac:dyDescent="0.25">
      <c r="A1712" s="31"/>
      <c r="B1712" s="16" t="str">
        <f>IFERROR(VLOOKUP(A1712,Consolidado!$B$1:$L$1500,2,FALSE),"")</f>
        <v/>
      </c>
      <c r="C1712" s="16">
        <f>IFERROR(SUMIF(Consolidado!$B$1:$B$1500,VLOOKUP(RegistroPago!A1712,Consolidado!$B$1:$L$1500,1,FALSE),Consolidado!$G$1:$G$1500),"")</f>
        <v>0</v>
      </c>
      <c r="D1712" s="3"/>
      <c r="E1712" s="3"/>
      <c r="F1712" s="5" t="str">
        <f t="shared" si="107"/>
        <v/>
      </c>
      <c r="G1712" s="16" t="str">
        <f>IF(D1712&lt;&gt;"",D1712-VLOOKUP(A1712,Consolidado!$B$1:$L$1500,8,FALSE),"")</f>
        <v/>
      </c>
      <c r="H1712" s="31"/>
      <c r="I1712" s="32">
        <f t="shared" si="108"/>
        <v>0</v>
      </c>
      <c r="J1712" s="33" t="str">
        <f t="shared" si="109"/>
        <v/>
      </c>
      <c r="K1712" s="2"/>
      <c r="L1712" s="15"/>
      <c r="M1712" s="34">
        <f t="shared" si="110"/>
        <v>0</v>
      </c>
    </row>
    <row r="1713" spans="1:13" x14ac:dyDescent="0.25">
      <c r="A1713" s="31"/>
      <c r="B1713" s="16" t="str">
        <f>IFERROR(VLOOKUP(A1713,Consolidado!$B$1:$L$1500,2,FALSE),"")</f>
        <v/>
      </c>
      <c r="C1713" s="16">
        <f>IFERROR(SUMIF(Consolidado!$B$1:$B$1500,VLOOKUP(RegistroPago!A1713,Consolidado!$B$1:$L$1500,1,FALSE),Consolidado!$G$1:$G$1500),"")</f>
        <v>0</v>
      </c>
      <c r="D1713" s="3"/>
      <c r="E1713" s="3"/>
      <c r="F1713" s="5" t="str">
        <f t="shared" si="107"/>
        <v/>
      </c>
      <c r="G1713" s="16" t="str">
        <f>IF(D1713&lt;&gt;"",D1713-VLOOKUP(A1713,Consolidado!$B$1:$L$1500,8,FALSE),"")</f>
        <v/>
      </c>
      <c r="H1713" s="31"/>
      <c r="I1713" s="32">
        <f t="shared" si="108"/>
        <v>0</v>
      </c>
      <c r="J1713" s="33" t="str">
        <f t="shared" si="109"/>
        <v/>
      </c>
      <c r="K1713" s="2"/>
      <c r="L1713" s="15"/>
      <c r="M1713" s="34">
        <f t="shared" si="110"/>
        <v>0</v>
      </c>
    </row>
    <row r="1714" spans="1:13" x14ac:dyDescent="0.25">
      <c r="A1714" s="31"/>
      <c r="B1714" s="16" t="str">
        <f>IFERROR(VLOOKUP(A1714,Consolidado!$B$1:$L$1500,2,FALSE),"")</f>
        <v/>
      </c>
      <c r="C1714" s="16">
        <f>IFERROR(SUMIF(Consolidado!$B$1:$B$1500,VLOOKUP(RegistroPago!A1714,Consolidado!$B$1:$L$1500,1,FALSE),Consolidado!$G$1:$G$1500),"")</f>
        <v>0</v>
      </c>
      <c r="D1714" s="3"/>
      <c r="E1714" s="3"/>
      <c r="F1714" s="5" t="str">
        <f t="shared" si="107"/>
        <v/>
      </c>
      <c r="G1714" s="16" t="str">
        <f>IF(D1714&lt;&gt;"",D1714-VLOOKUP(A1714,Consolidado!$B$1:$L$1500,8,FALSE),"")</f>
        <v/>
      </c>
      <c r="H1714" s="31"/>
      <c r="I1714" s="32">
        <f t="shared" si="108"/>
        <v>0</v>
      </c>
      <c r="J1714" s="33" t="str">
        <f t="shared" si="109"/>
        <v/>
      </c>
      <c r="K1714" s="2"/>
      <c r="L1714" s="15"/>
      <c r="M1714" s="34">
        <f t="shared" si="110"/>
        <v>0</v>
      </c>
    </row>
    <row r="1715" spans="1:13" x14ac:dyDescent="0.25">
      <c r="A1715" s="31"/>
      <c r="B1715" s="16" t="str">
        <f>IFERROR(VLOOKUP(A1715,Consolidado!$B$1:$L$1500,2,FALSE),"")</f>
        <v/>
      </c>
      <c r="C1715" s="16">
        <f>IFERROR(SUMIF(Consolidado!$B$1:$B$1500,VLOOKUP(RegistroPago!A1715,Consolidado!$B$1:$L$1500,1,FALSE),Consolidado!$G$1:$G$1500),"")</f>
        <v>0</v>
      </c>
      <c r="D1715" s="3"/>
      <c r="E1715" s="3"/>
      <c r="F1715" s="5" t="str">
        <f t="shared" si="107"/>
        <v/>
      </c>
      <c r="G1715" s="16" t="str">
        <f>IF(D1715&lt;&gt;"",D1715-VLOOKUP(A1715,Consolidado!$B$1:$L$1500,8,FALSE),"")</f>
        <v/>
      </c>
      <c r="H1715" s="31"/>
      <c r="I1715" s="32">
        <f t="shared" si="108"/>
        <v>0</v>
      </c>
      <c r="J1715" s="33" t="str">
        <f t="shared" si="109"/>
        <v/>
      </c>
      <c r="K1715" s="2"/>
      <c r="L1715" s="15"/>
      <c r="M1715" s="34">
        <f t="shared" si="110"/>
        <v>0</v>
      </c>
    </row>
    <row r="1716" spans="1:13" x14ac:dyDescent="0.25">
      <c r="A1716" s="31"/>
      <c r="B1716" s="16" t="str">
        <f>IFERROR(VLOOKUP(A1716,Consolidado!$B$1:$L$1500,2,FALSE),"")</f>
        <v/>
      </c>
      <c r="C1716" s="16">
        <f>IFERROR(SUMIF(Consolidado!$B$1:$B$1500,VLOOKUP(RegistroPago!A1716,Consolidado!$B$1:$L$1500,1,FALSE),Consolidado!$G$1:$G$1500),"")</f>
        <v>0</v>
      </c>
      <c r="D1716" s="3"/>
      <c r="E1716" s="3"/>
      <c r="F1716" s="5" t="str">
        <f t="shared" si="107"/>
        <v/>
      </c>
      <c r="G1716" s="16" t="str">
        <f>IF(D1716&lt;&gt;"",D1716-VLOOKUP(A1716,Consolidado!$B$1:$L$1500,8,FALSE),"")</f>
        <v/>
      </c>
      <c r="H1716" s="31"/>
      <c r="I1716" s="32">
        <f t="shared" si="108"/>
        <v>0</v>
      </c>
      <c r="J1716" s="33" t="str">
        <f t="shared" si="109"/>
        <v/>
      </c>
      <c r="K1716" s="2"/>
      <c r="L1716" s="15"/>
      <c r="M1716" s="34">
        <f t="shared" si="110"/>
        <v>0</v>
      </c>
    </row>
    <row r="1717" spans="1:13" x14ac:dyDescent="0.25">
      <c r="A1717" s="31"/>
      <c r="B1717" s="16" t="str">
        <f>IFERROR(VLOOKUP(A1717,Consolidado!$B$1:$L$1500,2,FALSE),"")</f>
        <v/>
      </c>
      <c r="C1717" s="16">
        <f>IFERROR(SUMIF(Consolidado!$B$1:$B$1500,VLOOKUP(RegistroPago!A1717,Consolidado!$B$1:$L$1500,1,FALSE),Consolidado!$G$1:$G$1500),"")</f>
        <v>0</v>
      </c>
      <c r="D1717" s="3"/>
      <c r="E1717" s="3"/>
      <c r="F1717" s="5" t="str">
        <f t="shared" si="107"/>
        <v/>
      </c>
      <c r="G1717" s="16" t="str">
        <f>IF(D1717&lt;&gt;"",D1717-VLOOKUP(A1717,Consolidado!$B$1:$L$1500,8,FALSE),"")</f>
        <v/>
      </c>
      <c r="H1717" s="31"/>
      <c r="I1717" s="32">
        <f t="shared" si="108"/>
        <v>0</v>
      </c>
      <c r="J1717" s="33" t="str">
        <f t="shared" si="109"/>
        <v/>
      </c>
      <c r="K1717" s="2"/>
      <c r="L1717" s="15"/>
      <c r="M1717" s="34">
        <f t="shared" si="110"/>
        <v>0</v>
      </c>
    </row>
    <row r="1718" spans="1:13" x14ac:dyDescent="0.25">
      <c r="A1718" s="31"/>
      <c r="B1718" s="16" t="str">
        <f>IFERROR(VLOOKUP(A1718,Consolidado!$B$1:$L$1500,2,FALSE),"")</f>
        <v/>
      </c>
      <c r="C1718" s="16">
        <f>IFERROR(SUMIF(Consolidado!$B$1:$B$1500,VLOOKUP(RegistroPago!A1718,Consolidado!$B$1:$L$1500,1,FALSE),Consolidado!$G$1:$G$1500),"")</f>
        <v>0</v>
      </c>
      <c r="D1718" s="3"/>
      <c r="E1718" s="3"/>
      <c r="F1718" s="5" t="str">
        <f t="shared" si="107"/>
        <v/>
      </c>
      <c r="G1718" s="16" t="str">
        <f>IF(D1718&lt;&gt;"",D1718-VLOOKUP(A1718,Consolidado!$B$1:$L$1500,8,FALSE),"")</f>
        <v/>
      </c>
      <c r="H1718" s="31"/>
      <c r="I1718" s="32">
        <f t="shared" si="108"/>
        <v>0</v>
      </c>
      <c r="J1718" s="33" t="str">
        <f t="shared" si="109"/>
        <v/>
      </c>
      <c r="K1718" s="2"/>
      <c r="L1718" s="15"/>
      <c r="M1718" s="34">
        <f t="shared" si="110"/>
        <v>0</v>
      </c>
    </row>
    <row r="1719" spans="1:13" x14ac:dyDescent="0.25">
      <c r="A1719" s="31"/>
      <c r="B1719" s="16" t="str">
        <f>IFERROR(VLOOKUP(A1719,Consolidado!$B$1:$L$1500,2,FALSE),"")</f>
        <v/>
      </c>
      <c r="C1719" s="16">
        <f>IFERROR(SUMIF(Consolidado!$B$1:$B$1500,VLOOKUP(RegistroPago!A1719,Consolidado!$B$1:$L$1500,1,FALSE),Consolidado!$G$1:$G$1500),"")</f>
        <v>0</v>
      </c>
      <c r="D1719" s="3"/>
      <c r="E1719" s="3"/>
      <c r="F1719" s="5" t="str">
        <f t="shared" si="107"/>
        <v/>
      </c>
      <c r="G1719" s="16" t="str">
        <f>IF(D1719&lt;&gt;"",D1719-VLOOKUP(A1719,Consolidado!$B$1:$L$1500,8,FALSE),"")</f>
        <v/>
      </c>
      <c r="H1719" s="31"/>
      <c r="I1719" s="32">
        <f t="shared" si="108"/>
        <v>0</v>
      </c>
      <c r="J1719" s="33" t="str">
        <f t="shared" si="109"/>
        <v/>
      </c>
      <c r="K1719" s="2"/>
      <c r="L1719" s="15"/>
      <c r="M1719" s="34">
        <f t="shared" si="110"/>
        <v>0</v>
      </c>
    </row>
    <row r="1720" spans="1:13" x14ac:dyDescent="0.25">
      <c r="A1720" s="31"/>
      <c r="B1720" s="16" t="str">
        <f>IFERROR(VLOOKUP(A1720,Consolidado!$B$1:$L$1500,2,FALSE),"")</f>
        <v/>
      </c>
      <c r="C1720" s="16">
        <f>IFERROR(SUMIF(Consolidado!$B$1:$B$1500,VLOOKUP(RegistroPago!A1720,Consolidado!$B$1:$L$1500,1,FALSE),Consolidado!$G$1:$G$1500),"")</f>
        <v>0</v>
      </c>
      <c r="D1720" s="3"/>
      <c r="E1720" s="3"/>
      <c r="F1720" s="5" t="str">
        <f t="shared" si="107"/>
        <v/>
      </c>
      <c r="G1720" s="16" t="str">
        <f>IF(D1720&lt;&gt;"",D1720-VLOOKUP(A1720,Consolidado!$B$1:$L$1500,8,FALSE),"")</f>
        <v/>
      </c>
      <c r="H1720" s="31"/>
      <c r="I1720" s="32">
        <f t="shared" si="108"/>
        <v>0</v>
      </c>
      <c r="J1720" s="33" t="str">
        <f t="shared" si="109"/>
        <v/>
      </c>
      <c r="K1720" s="2"/>
      <c r="L1720" s="15"/>
      <c r="M1720" s="34">
        <f t="shared" si="110"/>
        <v>0</v>
      </c>
    </row>
    <row r="1721" spans="1:13" x14ac:dyDescent="0.25">
      <c r="A1721" s="31"/>
      <c r="B1721" s="16" t="str">
        <f>IFERROR(VLOOKUP(A1721,Consolidado!$B$1:$L$1500,2,FALSE),"")</f>
        <v/>
      </c>
      <c r="C1721" s="16">
        <f>IFERROR(SUMIF(Consolidado!$B$1:$B$1500,VLOOKUP(RegistroPago!A1721,Consolidado!$B$1:$L$1500,1,FALSE),Consolidado!$G$1:$G$1500),"")</f>
        <v>0</v>
      </c>
      <c r="D1721" s="3"/>
      <c r="E1721" s="3"/>
      <c r="F1721" s="5" t="str">
        <f t="shared" si="107"/>
        <v/>
      </c>
      <c r="G1721" s="16" t="str">
        <f>IF(D1721&lt;&gt;"",D1721-VLOOKUP(A1721,Consolidado!$B$1:$L$1500,8,FALSE),"")</f>
        <v/>
      </c>
      <c r="H1721" s="31"/>
      <c r="I1721" s="32">
        <f t="shared" si="108"/>
        <v>0</v>
      </c>
      <c r="J1721" s="33" t="str">
        <f t="shared" si="109"/>
        <v/>
      </c>
      <c r="K1721" s="2"/>
      <c r="L1721" s="15"/>
      <c r="M1721" s="34">
        <f t="shared" si="110"/>
        <v>0</v>
      </c>
    </row>
    <row r="1722" spans="1:13" x14ac:dyDescent="0.25">
      <c r="A1722" s="31"/>
      <c r="B1722" s="16" t="str">
        <f>IFERROR(VLOOKUP(A1722,Consolidado!$B$1:$L$1500,2,FALSE),"")</f>
        <v/>
      </c>
      <c r="C1722" s="16">
        <f>IFERROR(SUMIF(Consolidado!$B$1:$B$1500,VLOOKUP(RegistroPago!A1722,Consolidado!$B$1:$L$1500,1,FALSE),Consolidado!$G$1:$G$1500),"")</f>
        <v>0</v>
      </c>
      <c r="D1722" s="3"/>
      <c r="E1722" s="3"/>
      <c r="F1722" s="5" t="str">
        <f t="shared" si="107"/>
        <v/>
      </c>
      <c r="G1722" s="16" t="str">
        <f>IF(D1722&lt;&gt;"",D1722-VLOOKUP(A1722,Consolidado!$B$1:$L$1500,8,FALSE),"")</f>
        <v/>
      </c>
      <c r="H1722" s="31"/>
      <c r="I1722" s="32">
        <f t="shared" si="108"/>
        <v>0</v>
      </c>
      <c r="J1722" s="33" t="str">
        <f t="shared" si="109"/>
        <v/>
      </c>
      <c r="K1722" s="2"/>
      <c r="L1722" s="15"/>
      <c r="M1722" s="34">
        <f t="shared" si="110"/>
        <v>0</v>
      </c>
    </row>
    <row r="1723" spans="1:13" x14ac:dyDescent="0.25">
      <c r="A1723" s="31"/>
      <c r="B1723" s="16" t="str">
        <f>IFERROR(VLOOKUP(A1723,Consolidado!$B$1:$L$1500,2,FALSE),"")</f>
        <v/>
      </c>
      <c r="C1723" s="16">
        <f>IFERROR(SUMIF(Consolidado!$B$1:$B$1500,VLOOKUP(RegistroPago!A1723,Consolidado!$B$1:$L$1500,1,FALSE),Consolidado!$G$1:$G$1500),"")</f>
        <v>0</v>
      </c>
      <c r="D1723" s="3"/>
      <c r="E1723" s="3"/>
      <c r="F1723" s="5" t="str">
        <f t="shared" si="107"/>
        <v/>
      </c>
      <c r="G1723" s="16" t="str">
        <f>IF(D1723&lt;&gt;"",D1723-VLOOKUP(A1723,Consolidado!$B$1:$L$1500,8,FALSE),"")</f>
        <v/>
      </c>
      <c r="H1723" s="31"/>
      <c r="I1723" s="32">
        <f t="shared" si="108"/>
        <v>0</v>
      </c>
      <c r="J1723" s="33" t="str">
        <f t="shared" si="109"/>
        <v/>
      </c>
      <c r="K1723" s="2"/>
      <c r="L1723" s="15"/>
      <c r="M1723" s="34">
        <f t="shared" si="110"/>
        <v>0</v>
      </c>
    </row>
    <row r="1724" spans="1:13" x14ac:dyDescent="0.25">
      <c r="A1724" s="31"/>
      <c r="B1724" s="16" t="str">
        <f>IFERROR(VLOOKUP(A1724,Consolidado!$B$1:$L$1500,2,FALSE),"")</f>
        <v/>
      </c>
      <c r="C1724" s="16">
        <f>IFERROR(SUMIF(Consolidado!$B$1:$B$1500,VLOOKUP(RegistroPago!A1724,Consolidado!$B$1:$L$1500,1,FALSE),Consolidado!$G$1:$G$1500),"")</f>
        <v>0</v>
      </c>
      <c r="D1724" s="3"/>
      <c r="E1724" s="3"/>
      <c r="F1724" s="5" t="str">
        <f t="shared" si="107"/>
        <v/>
      </c>
      <c r="G1724" s="16" t="str">
        <f>IF(D1724&lt;&gt;"",D1724-VLOOKUP(A1724,Consolidado!$B$1:$L$1500,8,FALSE),"")</f>
        <v/>
      </c>
      <c r="H1724" s="31"/>
      <c r="I1724" s="32">
        <f t="shared" si="108"/>
        <v>0</v>
      </c>
      <c r="J1724" s="33" t="str">
        <f t="shared" si="109"/>
        <v/>
      </c>
      <c r="K1724" s="2"/>
      <c r="L1724" s="15"/>
      <c r="M1724" s="34">
        <f t="shared" si="110"/>
        <v>0</v>
      </c>
    </row>
    <row r="1725" spans="1:13" x14ac:dyDescent="0.25">
      <c r="A1725" s="31"/>
      <c r="B1725" s="16" t="str">
        <f>IFERROR(VLOOKUP(A1725,Consolidado!$B$1:$L$1500,2,FALSE),"")</f>
        <v/>
      </c>
      <c r="C1725" s="16">
        <f>IFERROR(SUMIF(Consolidado!$B$1:$B$1500,VLOOKUP(RegistroPago!A1725,Consolidado!$B$1:$L$1500,1,FALSE),Consolidado!$G$1:$G$1500),"")</f>
        <v>0</v>
      </c>
      <c r="D1725" s="3"/>
      <c r="E1725" s="3"/>
      <c r="F1725" s="5" t="str">
        <f t="shared" si="107"/>
        <v/>
      </c>
      <c r="G1725" s="16" t="str">
        <f>IF(D1725&lt;&gt;"",D1725-VLOOKUP(A1725,Consolidado!$B$1:$L$1500,8,FALSE),"")</f>
        <v/>
      </c>
      <c r="H1725" s="31"/>
      <c r="I1725" s="32">
        <f t="shared" si="108"/>
        <v>0</v>
      </c>
      <c r="J1725" s="33" t="str">
        <f t="shared" si="109"/>
        <v/>
      </c>
      <c r="K1725" s="2"/>
      <c r="L1725" s="15"/>
      <c r="M1725" s="34">
        <f t="shared" si="110"/>
        <v>0</v>
      </c>
    </row>
    <row r="1726" spans="1:13" x14ac:dyDescent="0.25">
      <c r="A1726" s="31"/>
      <c r="B1726" s="16" t="str">
        <f>IFERROR(VLOOKUP(A1726,Consolidado!$B$1:$L$1500,2,FALSE),"")</f>
        <v/>
      </c>
      <c r="C1726" s="16">
        <f>IFERROR(SUMIF(Consolidado!$B$1:$B$1500,VLOOKUP(RegistroPago!A1726,Consolidado!$B$1:$L$1500,1,FALSE),Consolidado!$G$1:$G$1500),"")</f>
        <v>0</v>
      </c>
      <c r="D1726" s="3"/>
      <c r="E1726" s="3"/>
      <c r="F1726" s="5" t="str">
        <f t="shared" si="107"/>
        <v/>
      </c>
      <c r="G1726" s="16" t="str">
        <f>IF(D1726&lt;&gt;"",D1726-VLOOKUP(A1726,Consolidado!$B$1:$L$1500,8,FALSE),"")</f>
        <v/>
      </c>
      <c r="H1726" s="31"/>
      <c r="I1726" s="32">
        <f t="shared" si="108"/>
        <v>0</v>
      </c>
      <c r="J1726" s="33" t="str">
        <f t="shared" si="109"/>
        <v/>
      </c>
      <c r="K1726" s="2"/>
      <c r="L1726" s="15"/>
      <c r="M1726" s="34">
        <f t="shared" si="110"/>
        <v>0</v>
      </c>
    </row>
    <row r="1727" spans="1:13" x14ac:dyDescent="0.25">
      <c r="A1727" s="31"/>
      <c r="B1727" s="16" t="str">
        <f>IFERROR(VLOOKUP(A1727,Consolidado!$B$1:$L$1500,2,FALSE),"")</f>
        <v/>
      </c>
      <c r="C1727" s="16">
        <f>IFERROR(SUMIF(Consolidado!$B$1:$B$1500,VLOOKUP(RegistroPago!A1727,Consolidado!$B$1:$L$1500,1,FALSE),Consolidado!$G$1:$G$1500),"")</f>
        <v>0</v>
      </c>
      <c r="D1727" s="3"/>
      <c r="E1727" s="3"/>
      <c r="F1727" s="5" t="str">
        <f t="shared" si="107"/>
        <v/>
      </c>
      <c r="G1727" s="16" t="str">
        <f>IF(D1727&lt;&gt;"",D1727-VLOOKUP(A1727,Consolidado!$B$1:$L$1500,8,FALSE),"")</f>
        <v/>
      </c>
      <c r="H1727" s="31"/>
      <c r="I1727" s="32">
        <f t="shared" si="108"/>
        <v>0</v>
      </c>
      <c r="J1727" s="33" t="str">
        <f t="shared" si="109"/>
        <v/>
      </c>
      <c r="K1727" s="2"/>
      <c r="L1727" s="15"/>
      <c r="M1727" s="34">
        <f t="shared" si="110"/>
        <v>0</v>
      </c>
    </row>
    <row r="1728" spans="1:13" x14ac:dyDescent="0.25">
      <c r="A1728" s="31"/>
      <c r="B1728" s="16" t="str">
        <f>IFERROR(VLOOKUP(A1728,Consolidado!$B$1:$L$1500,2,FALSE),"")</f>
        <v/>
      </c>
      <c r="C1728" s="16">
        <f>IFERROR(SUMIF(Consolidado!$B$1:$B$1500,VLOOKUP(RegistroPago!A1728,Consolidado!$B$1:$L$1500,1,FALSE),Consolidado!$G$1:$G$1500),"")</f>
        <v>0</v>
      </c>
      <c r="D1728" s="3"/>
      <c r="E1728" s="3"/>
      <c r="F1728" s="5" t="str">
        <f t="shared" si="107"/>
        <v/>
      </c>
      <c r="G1728" s="16" t="str">
        <f>IF(D1728&lt;&gt;"",D1728-VLOOKUP(A1728,Consolidado!$B$1:$L$1500,8,FALSE),"")</f>
        <v/>
      </c>
      <c r="H1728" s="31"/>
      <c r="I1728" s="32">
        <f t="shared" si="108"/>
        <v>0</v>
      </c>
      <c r="J1728" s="33" t="str">
        <f t="shared" si="109"/>
        <v/>
      </c>
      <c r="K1728" s="2"/>
      <c r="L1728" s="15"/>
      <c r="M1728" s="34">
        <f t="shared" si="110"/>
        <v>0</v>
      </c>
    </row>
    <row r="1729" spans="1:13" x14ac:dyDescent="0.25">
      <c r="A1729" s="31"/>
      <c r="B1729" s="16" t="str">
        <f>IFERROR(VLOOKUP(A1729,Consolidado!$B$1:$L$1500,2,FALSE),"")</f>
        <v/>
      </c>
      <c r="C1729" s="16">
        <f>IFERROR(SUMIF(Consolidado!$B$1:$B$1500,VLOOKUP(RegistroPago!A1729,Consolidado!$B$1:$L$1500,1,FALSE),Consolidado!$G$1:$G$1500),"")</f>
        <v>0</v>
      </c>
      <c r="D1729" s="3"/>
      <c r="E1729" s="3"/>
      <c r="F1729" s="5" t="str">
        <f t="shared" si="107"/>
        <v/>
      </c>
      <c r="G1729" s="16" t="str">
        <f>IF(D1729&lt;&gt;"",D1729-VLOOKUP(A1729,Consolidado!$B$1:$L$1500,8,FALSE),"")</f>
        <v/>
      </c>
      <c r="H1729" s="31"/>
      <c r="I1729" s="32">
        <f t="shared" si="108"/>
        <v>0</v>
      </c>
      <c r="J1729" s="33" t="str">
        <f t="shared" si="109"/>
        <v/>
      </c>
      <c r="K1729" s="2"/>
      <c r="L1729" s="15"/>
      <c r="M1729" s="34">
        <f t="shared" si="110"/>
        <v>0</v>
      </c>
    </row>
    <row r="1730" spans="1:13" x14ac:dyDescent="0.25">
      <c r="A1730" s="31"/>
      <c r="B1730" s="16" t="str">
        <f>IFERROR(VLOOKUP(A1730,Consolidado!$B$1:$L$1500,2,FALSE),"")</f>
        <v/>
      </c>
      <c r="C1730" s="16">
        <f>IFERROR(SUMIF(Consolidado!$B$1:$B$1500,VLOOKUP(RegistroPago!A1730,Consolidado!$B$1:$L$1500,1,FALSE),Consolidado!$G$1:$G$1500),"")</f>
        <v>0</v>
      </c>
      <c r="D1730" s="3"/>
      <c r="E1730" s="3"/>
      <c r="F1730" s="5" t="str">
        <f t="shared" si="107"/>
        <v/>
      </c>
      <c r="G1730" s="16" t="str">
        <f>IF(D1730&lt;&gt;"",D1730-VLOOKUP(A1730,Consolidado!$B$1:$L$1500,8,FALSE),"")</f>
        <v/>
      </c>
      <c r="H1730" s="31"/>
      <c r="I1730" s="32">
        <f t="shared" si="108"/>
        <v>0</v>
      </c>
      <c r="J1730" s="33" t="str">
        <f t="shared" si="109"/>
        <v/>
      </c>
      <c r="K1730" s="2"/>
      <c r="L1730" s="15"/>
      <c r="M1730" s="34">
        <f t="shared" si="110"/>
        <v>0</v>
      </c>
    </row>
    <row r="1731" spans="1:13" x14ac:dyDescent="0.25">
      <c r="A1731" s="31"/>
      <c r="B1731" s="16" t="str">
        <f>IFERROR(VLOOKUP(A1731,Consolidado!$B$1:$L$1500,2,FALSE),"")</f>
        <v/>
      </c>
      <c r="C1731" s="16">
        <f>IFERROR(SUMIF(Consolidado!$B$1:$B$1500,VLOOKUP(RegistroPago!A1731,Consolidado!$B$1:$L$1500,1,FALSE),Consolidado!$G$1:$G$1500),"")</f>
        <v>0</v>
      </c>
      <c r="D1731" s="3"/>
      <c r="E1731" s="3"/>
      <c r="F1731" s="5" t="str">
        <f t="shared" ref="F1731:F1794" si="111">IF(COUNTIF($E$2:$E$2000,E1731)&gt;1,"Ya registrado","")</f>
        <v/>
      </c>
      <c r="G1731" s="16" t="str">
        <f>IF(D1731&lt;&gt;"",D1731-VLOOKUP(A1731,Consolidado!$B$1:$L$1500,8,FALSE),"")</f>
        <v/>
      </c>
      <c r="H1731" s="31"/>
      <c r="I1731" s="32">
        <f t="shared" si="108"/>
        <v>0</v>
      </c>
      <c r="J1731" s="33" t="str">
        <f t="shared" si="109"/>
        <v/>
      </c>
      <c r="K1731" s="2"/>
      <c r="L1731" s="15"/>
      <c r="M1731" s="34">
        <f t="shared" si="110"/>
        <v>0</v>
      </c>
    </row>
    <row r="1732" spans="1:13" x14ac:dyDescent="0.25">
      <c r="A1732" s="31"/>
      <c r="B1732" s="16" t="str">
        <f>IFERROR(VLOOKUP(A1732,Consolidado!$B$1:$L$1500,2,FALSE),"")</f>
        <v/>
      </c>
      <c r="C1732" s="16">
        <f>IFERROR(SUMIF(Consolidado!$B$1:$B$1500,VLOOKUP(RegistroPago!A1732,Consolidado!$B$1:$L$1500,1,FALSE),Consolidado!$G$1:$G$1500),"")</f>
        <v>0</v>
      </c>
      <c r="D1732" s="3"/>
      <c r="E1732" s="3"/>
      <c r="F1732" s="5" t="str">
        <f t="shared" si="111"/>
        <v/>
      </c>
      <c r="G1732" s="16" t="str">
        <f>IF(D1732&lt;&gt;"",D1732-VLOOKUP(A1732,Consolidado!$B$1:$L$1500,8,FALSE),"")</f>
        <v/>
      </c>
      <c r="H1732" s="31"/>
      <c r="I1732" s="32">
        <f t="shared" si="108"/>
        <v>0</v>
      </c>
      <c r="J1732" s="33" t="str">
        <f t="shared" si="109"/>
        <v/>
      </c>
      <c r="K1732" s="2"/>
      <c r="L1732" s="15"/>
      <c r="M1732" s="34">
        <f t="shared" si="110"/>
        <v>0</v>
      </c>
    </row>
    <row r="1733" spans="1:13" x14ac:dyDescent="0.25">
      <c r="A1733" s="31"/>
      <c r="B1733" s="16" t="str">
        <f>IFERROR(VLOOKUP(A1733,Consolidado!$B$1:$L$1500,2,FALSE),"")</f>
        <v/>
      </c>
      <c r="C1733" s="16">
        <f>IFERROR(SUMIF(Consolidado!$B$1:$B$1500,VLOOKUP(RegistroPago!A1733,Consolidado!$B$1:$L$1500,1,FALSE),Consolidado!$G$1:$G$1500),"")</f>
        <v>0</v>
      </c>
      <c r="D1733" s="3"/>
      <c r="E1733" s="3"/>
      <c r="F1733" s="5" t="str">
        <f t="shared" si="111"/>
        <v/>
      </c>
      <c r="G1733" s="16" t="str">
        <f>IF(D1733&lt;&gt;"",D1733-VLOOKUP(A1733,Consolidado!$B$1:$L$1500,8,FALSE),"")</f>
        <v/>
      </c>
      <c r="H1733" s="31"/>
      <c r="I1733" s="32">
        <f t="shared" si="108"/>
        <v>0</v>
      </c>
      <c r="J1733" s="33" t="str">
        <f t="shared" si="109"/>
        <v/>
      </c>
      <c r="K1733" s="2"/>
      <c r="L1733" s="15"/>
      <c r="M1733" s="34">
        <f t="shared" si="110"/>
        <v>0</v>
      </c>
    </row>
    <row r="1734" spans="1:13" x14ac:dyDescent="0.25">
      <c r="A1734" s="31"/>
      <c r="B1734" s="16" t="str">
        <f>IFERROR(VLOOKUP(A1734,Consolidado!$B$1:$L$1500,2,FALSE),"")</f>
        <v/>
      </c>
      <c r="C1734" s="16">
        <f>IFERROR(SUMIF(Consolidado!$B$1:$B$1500,VLOOKUP(RegistroPago!A1734,Consolidado!$B$1:$L$1500,1,FALSE),Consolidado!$G$1:$G$1500),"")</f>
        <v>0</v>
      </c>
      <c r="D1734" s="3"/>
      <c r="E1734" s="3"/>
      <c r="F1734" s="5" t="str">
        <f t="shared" si="111"/>
        <v/>
      </c>
      <c r="G1734" s="16" t="str">
        <f>IF(D1734&lt;&gt;"",D1734-VLOOKUP(A1734,Consolidado!$B$1:$L$1500,8,FALSE),"")</f>
        <v/>
      </c>
      <c r="H1734" s="31"/>
      <c r="I1734" s="32">
        <f t="shared" si="108"/>
        <v>0</v>
      </c>
      <c r="J1734" s="33" t="str">
        <f t="shared" si="109"/>
        <v/>
      </c>
      <c r="K1734" s="2"/>
      <c r="L1734" s="15"/>
      <c r="M1734" s="34">
        <f t="shared" si="110"/>
        <v>0</v>
      </c>
    </row>
    <row r="1735" spans="1:13" x14ac:dyDescent="0.25">
      <c r="A1735" s="31"/>
      <c r="B1735" s="16" t="str">
        <f>IFERROR(VLOOKUP(A1735,Consolidado!$B$1:$L$1500,2,FALSE),"")</f>
        <v/>
      </c>
      <c r="C1735" s="16">
        <f>IFERROR(SUMIF(Consolidado!$B$1:$B$1500,VLOOKUP(RegistroPago!A1735,Consolidado!$B$1:$L$1500,1,FALSE),Consolidado!$G$1:$G$1500),"")</f>
        <v>0</v>
      </c>
      <c r="D1735" s="3"/>
      <c r="E1735" s="3"/>
      <c r="F1735" s="5" t="str">
        <f t="shared" si="111"/>
        <v/>
      </c>
      <c r="G1735" s="16" t="str">
        <f>IF(D1735&lt;&gt;"",D1735-VLOOKUP(A1735,Consolidado!$B$1:$L$1500,8,FALSE),"")</f>
        <v/>
      </c>
      <c r="H1735" s="31"/>
      <c r="I1735" s="32">
        <f t="shared" si="108"/>
        <v>0</v>
      </c>
      <c r="J1735" s="33" t="str">
        <f t="shared" si="109"/>
        <v/>
      </c>
      <c r="K1735" s="2"/>
      <c r="L1735" s="15"/>
      <c r="M1735" s="34">
        <f t="shared" si="110"/>
        <v>0</v>
      </c>
    </row>
    <row r="1736" spans="1:13" x14ac:dyDescent="0.25">
      <c r="A1736" s="31"/>
      <c r="B1736" s="16" t="str">
        <f>IFERROR(VLOOKUP(A1736,Consolidado!$B$1:$L$1500,2,FALSE),"")</f>
        <v/>
      </c>
      <c r="C1736" s="16">
        <f>IFERROR(SUMIF(Consolidado!$B$1:$B$1500,VLOOKUP(RegistroPago!A1736,Consolidado!$B$1:$L$1500,1,FALSE),Consolidado!$G$1:$G$1500),"")</f>
        <v>0</v>
      </c>
      <c r="D1736" s="3"/>
      <c r="E1736" s="3"/>
      <c r="F1736" s="5" t="str">
        <f t="shared" si="111"/>
        <v/>
      </c>
      <c r="G1736" s="16" t="str">
        <f>IF(D1736&lt;&gt;"",D1736-VLOOKUP(A1736,Consolidado!$B$1:$L$1500,8,FALSE),"")</f>
        <v/>
      </c>
      <c r="H1736" s="31"/>
      <c r="I1736" s="32">
        <f t="shared" si="108"/>
        <v>0</v>
      </c>
      <c r="J1736" s="33" t="str">
        <f t="shared" si="109"/>
        <v/>
      </c>
      <c r="K1736" s="2"/>
      <c r="L1736" s="15"/>
      <c r="M1736" s="34">
        <f t="shared" si="110"/>
        <v>0</v>
      </c>
    </row>
    <row r="1737" spans="1:13" x14ac:dyDescent="0.25">
      <c r="A1737" s="31"/>
      <c r="B1737" s="16" t="str">
        <f>IFERROR(VLOOKUP(A1737,Consolidado!$B$1:$L$1500,2,FALSE),"")</f>
        <v/>
      </c>
      <c r="C1737" s="16">
        <f>IFERROR(SUMIF(Consolidado!$B$1:$B$1500,VLOOKUP(RegistroPago!A1737,Consolidado!$B$1:$L$1500,1,FALSE),Consolidado!$G$1:$G$1500),"")</f>
        <v>0</v>
      </c>
      <c r="D1737" s="3"/>
      <c r="E1737" s="3"/>
      <c r="F1737" s="5" t="str">
        <f t="shared" si="111"/>
        <v/>
      </c>
      <c r="G1737" s="16" t="str">
        <f>IF(D1737&lt;&gt;"",D1737-VLOOKUP(A1737,Consolidado!$B$1:$L$1500,8,FALSE),"")</f>
        <v/>
      </c>
      <c r="H1737" s="31"/>
      <c r="I1737" s="32">
        <f t="shared" si="108"/>
        <v>0</v>
      </c>
      <c r="J1737" s="33" t="str">
        <f t="shared" si="109"/>
        <v/>
      </c>
      <c r="K1737" s="2"/>
      <c r="L1737" s="15"/>
      <c r="M1737" s="34">
        <f t="shared" si="110"/>
        <v>0</v>
      </c>
    </row>
    <row r="1738" spans="1:13" x14ac:dyDescent="0.25">
      <c r="A1738" s="31"/>
      <c r="B1738" s="16" t="str">
        <f>IFERROR(VLOOKUP(A1738,Consolidado!$B$1:$L$1500,2,FALSE),"")</f>
        <v/>
      </c>
      <c r="C1738" s="16">
        <f>IFERROR(SUMIF(Consolidado!$B$1:$B$1500,VLOOKUP(RegistroPago!A1738,Consolidado!$B$1:$L$1500,1,FALSE),Consolidado!$G$1:$G$1500),"")</f>
        <v>0</v>
      </c>
      <c r="D1738" s="3"/>
      <c r="E1738" s="3"/>
      <c r="F1738" s="5" t="str">
        <f t="shared" si="111"/>
        <v/>
      </c>
      <c r="G1738" s="16" t="str">
        <f>IF(D1738&lt;&gt;"",D1738-VLOOKUP(A1738,Consolidado!$B$1:$L$1500,8,FALSE),"")</f>
        <v/>
      </c>
      <c r="H1738" s="31"/>
      <c r="I1738" s="32">
        <f t="shared" si="108"/>
        <v>0</v>
      </c>
      <c r="J1738" s="33" t="str">
        <f t="shared" si="109"/>
        <v/>
      </c>
      <c r="K1738" s="2"/>
      <c r="L1738" s="15"/>
      <c r="M1738" s="34">
        <f t="shared" si="110"/>
        <v>0</v>
      </c>
    </row>
    <row r="1739" spans="1:13" x14ac:dyDescent="0.25">
      <c r="A1739" s="31"/>
      <c r="B1739" s="16" t="str">
        <f>IFERROR(VLOOKUP(A1739,Consolidado!$B$1:$L$1500,2,FALSE),"")</f>
        <v/>
      </c>
      <c r="C1739" s="16">
        <f>IFERROR(SUMIF(Consolidado!$B$1:$B$1500,VLOOKUP(RegistroPago!A1739,Consolidado!$B$1:$L$1500,1,FALSE),Consolidado!$G$1:$G$1500),"")</f>
        <v>0</v>
      </c>
      <c r="D1739" s="3"/>
      <c r="E1739" s="3"/>
      <c r="F1739" s="5" t="str">
        <f t="shared" si="111"/>
        <v/>
      </c>
      <c r="G1739" s="16" t="str">
        <f>IF(D1739&lt;&gt;"",D1739-VLOOKUP(A1739,Consolidado!$B$1:$L$1500,8,FALSE),"")</f>
        <v/>
      </c>
      <c r="H1739" s="31"/>
      <c r="I1739" s="32">
        <f t="shared" si="108"/>
        <v>0</v>
      </c>
      <c r="J1739" s="33" t="str">
        <f t="shared" si="109"/>
        <v/>
      </c>
      <c r="K1739" s="2"/>
      <c r="L1739" s="15"/>
      <c r="M1739" s="34">
        <f t="shared" si="110"/>
        <v>0</v>
      </c>
    </row>
    <row r="1740" spans="1:13" x14ac:dyDescent="0.25">
      <c r="A1740" s="31"/>
      <c r="B1740" s="16" t="str">
        <f>IFERROR(VLOOKUP(A1740,Consolidado!$B$1:$L$1500,2,FALSE),"")</f>
        <v/>
      </c>
      <c r="C1740" s="16">
        <f>IFERROR(SUMIF(Consolidado!$B$1:$B$1500,VLOOKUP(RegistroPago!A1740,Consolidado!$B$1:$L$1500,1,FALSE),Consolidado!$G$1:$G$1500),"")</f>
        <v>0</v>
      </c>
      <c r="D1740" s="3"/>
      <c r="E1740" s="3"/>
      <c r="F1740" s="5" t="str">
        <f t="shared" si="111"/>
        <v/>
      </c>
      <c r="G1740" s="16" t="str">
        <f>IF(D1740&lt;&gt;"",D1740-VLOOKUP(A1740,Consolidado!$B$1:$L$1500,8,FALSE),"")</f>
        <v/>
      </c>
      <c r="H1740" s="31"/>
      <c r="I1740" s="32">
        <f t="shared" si="108"/>
        <v>0</v>
      </c>
      <c r="J1740" s="33" t="str">
        <f t="shared" si="109"/>
        <v/>
      </c>
      <c r="K1740" s="2"/>
      <c r="L1740" s="15"/>
      <c r="M1740" s="34">
        <f t="shared" si="110"/>
        <v>0</v>
      </c>
    </row>
    <row r="1741" spans="1:13" x14ac:dyDescent="0.25">
      <c r="A1741" s="31"/>
      <c r="B1741" s="16" t="str">
        <f>IFERROR(VLOOKUP(A1741,Consolidado!$B$1:$L$1500,2,FALSE),"")</f>
        <v/>
      </c>
      <c r="C1741" s="16">
        <f>IFERROR(SUMIF(Consolidado!$B$1:$B$1500,VLOOKUP(RegistroPago!A1741,Consolidado!$B$1:$L$1500,1,FALSE),Consolidado!$G$1:$G$1500),"")</f>
        <v>0</v>
      </c>
      <c r="D1741" s="3"/>
      <c r="E1741" s="3"/>
      <c r="F1741" s="5" t="str">
        <f t="shared" si="111"/>
        <v/>
      </c>
      <c r="G1741" s="16" t="str">
        <f>IF(D1741&lt;&gt;"",D1741-VLOOKUP(A1741,Consolidado!$B$1:$L$1500,8,FALSE),"")</f>
        <v/>
      </c>
      <c r="H1741" s="31"/>
      <c r="I1741" s="32">
        <f t="shared" si="108"/>
        <v>0</v>
      </c>
      <c r="J1741" s="33" t="str">
        <f t="shared" si="109"/>
        <v/>
      </c>
      <c r="K1741" s="2"/>
      <c r="L1741" s="15"/>
      <c r="M1741" s="34">
        <f t="shared" si="110"/>
        <v>0</v>
      </c>
    </row>
    <row r="1742" spans="1:13" x14ac:dyDescent="0.25">
      <c r="A1742" s="31"/>
      <c r="B1742" s="16" t="str">
        <f>IFERROR(VLOOKUP(A1742,Consolidado!$B$1:$L$1500,2,FALSE),"")</f>
        <v/>
      </c>
      <c r="C1742" s="16">
        <f>IFERROR(SUMIF(Consolidado!$B$1:$B$1500,VLOOKUP(RegistroPago!A1742,Consolidado!$B$1:$L$1500,1,FALSE),Consolidado!$G$1:$G$1500),"")</f>
        <v>0</v>
      </c>
      <c r="D1742" s="3"/>
      <c r="E1742" s="3"/>
      <c r="F1742" s="5" t="str">
        <f t="shared" si="111"/>
        <v/>
      </c>
      <c r="G1742" s="16" t="str">
        <f>IF(D1742&lt;&gt;"",D1742-VLOOKUP(A1742,Consolidado!$B$1:$L$1500,8,FALSE),"")</f>
        <v/>
      </c>
      <c r="H1742" s="31"/>
      <c r="I1742" s="32">
        <f t="shared" si="108"/>
        <v>0</v>
      </c>
      <c r="J1742" s="33" t="str">
        <f t="shared" si="109"/>
        <v/>
      </c>
      <c r="K1742" s="2"/>
      <c r="L1742" s="15"/>
      <c r="M1742" s="34">
        <f t="shared" si="110"/>
        <v>0</v>
      </c>
    </row>
    <row r="1743" spans="1:13" x14ac:dyDescent="0.25">
      <c r="A1743" s="31"/>
      <c r="B1743" s="16" t="str">
        <f>IFERROR(VLOOKUP(A1743,Consolidado!$B$1:$L$1500,2,FALSE),"")</f>
        <v/>
      </c>
      <c r="C1743" s="16">
        <f>IFERROR(SUMIF(Consolidado!$B$1:$B$1500,VLOOKUP(RegistroPago!A1743,Consolidado!$B$1:$L$1500,1,FALSE),Consolidado!$G$1:$G$1500),"")</f>
        <v>0</v>
      </c>
      <c r="D1743" s="3"/>
      <c r="E1743" s="3"/>
      <c r="F1743" s="5" t="str">
        <f t="shared" si="111"/>
        <v/>
      </c>
      <c r="G1743" s="16" t="str">
        <f>IF(D1743&lt;&gt;"",D1743-VLOOKUP(A1743,Consolidado!$B$1:$L$1500,8,FALSE),"")</f>
        <v/>
      </c>
      <c r="H1743" s="31"/>
      <c r="I1743" s="32">
        <f t="shared" si="108"/>
        <v>0</v>
      </c>
      <c r="J1743" s="33" t="str">
        <f t="shared" si="109"/>
        <v/>
      </c>
      <c r="K1743" s="2"/>
      <c r="L1743" s="15"/>
      <c r="M1743" s="34">
        <f t="shared" si="110"/>
        <v>0</v>
      </c>
    </row>
    <row r="1744" spans="1:13" x14ac:dyDescent="0.25">
      <c r="A1744" s="31"/>
      <c r="B1744" s="16" t="str">
        <f>IFERROR(VLOOKUP(A1744,Consolidado!$B$1:$L$1500,2,FALSE),"")</f>
        <v/>
      </c>
      <c r="C1744" s="16">
        <f>IFERROR(SUMIF(Consolidado!$B$1:$B$1500,VLOOKUP(RegistroPago!A1744,Consolidado!$B$1:$L$1500,1,FALSE),Consolidado!$G$1:$G$1500),"")</f>
        <v>0</v>
      </c>
      <c r="D1744" s="3"/>
      <c r="E1744" s="3"/>
      <c r="F1744" s="5" t="str">
        <f t="shared" si="111"/>
        <v/>
      </c>
      <c r="G1744" s="16" t="str">
        <f>IF(D1744&lt;&gt;"",D1744-VLOOKUP(A1744,Consolidado!$B$1:$L$1500,8,FALSE),"")</f>
        <v/>
      </c>
      <c r="H1744" s="31"/>
      <c r="I1744" s="32">
        <f t="shared" si="108"/>
        <v>0</v>
      </c>
      <c r="J1744" s="33" t="str">
        <f t="shared" si="109"/>
        <v/>
      </c>
      <c r="K1744" s="2"/>
      <c r="L1744" s="15"/>
      <c r="M1744" s="34">
        <f t="shared" si="110"/>
        <v>0</v>
      </c>
    </row>
    <row r="1745" spans="1:13" x14ac:dyDescent="0.25">
      <c r="A1745" s="31"/>
      <c r="B1745" s="16" t="str">
        <f>IFERROR(VLOOKUP(A1745,Consolidado!$B$1:$L$1500,2,FALSE),"")</f>
        <v/>
      </c>
      <c r="C1745" s="16">
        <f>IFERROR(SUMIF(Consolidado!$B$1:$B$1500,VLOOKUP(RegistroPago!A1745,Consolidado!$B$1:$L$1500,1,FALSE),Consolidado!$G$1:$G$1500),"")</f>
        <v>0</v>
      </c>
      <c r="D1745" s="3"/>
      <c r="E1745" s="3"/>
      <c r="F1745" s="5" t="str">
        <f t="shared" si="111"/>
        <v/>
      </c>
      <c r="G1745" s="16" t="str">
        <f>IF(D1745&lt;&gt;"",D1745-VLOOKUP(A1745,Consolidado!$B$1:$L$1500,8,FALSE),"")</f>
        <v/>
      </c>
      <c r="H1745" s="31"/>
      <c r="I1745" s="32">
        <f t="shared" si="108"/>
        <v>0</v>
      </c>
      <c r="J1745" s="33" t="str">
        <f t="shared" si="109"/>
        <v/>
      </c>
      <c r="K1745" s="2"/>
      <c r="L1745" s="15"/>
      <c r="M1745" s="34">
        <f t="shared" si="110"/>
        <v>0</v>
      </c>
    </row>
    <row r="1746" spans="1:13" x14ac:dyDescent="0.25">
      <c r="A1746" s="31"/>
      <c r="B1746" s="16" t="str">
        <f>IFERROR(VLOOKUP(A1746,Consolidado!$B$1:$L$1500,2,FALSE),"")</f>
        <v/>
      </c>
      <c r="C1746" s="16">
        <f>IFERROR(SUMIF(Consolidado!$B$1:$B$1500,VLOOKUP(RegistroPago!A1746,Consolidado!$B$1:$L$1500,1,FALSE),Consolidado!$G$1:$G$1500),"")</f>
        <v>0</v>
      </c>
      <c r="D1746" s="3"/>
      <c r="E1746" s="3"/>
      <c r="F1746" s="5" t="str">
        <f t="shared" si="111"/>
        <v/>
      </c>
      <c r="G1746" s="16" t="str">
        <f>IF(D1746&lt;&gt;"",D1746-VLOOKUP(A1746,Consolidado!$B$1:$L$1500,8,FALSE),"")</f>
        <v/>
      </c>
      <c r="H1746" s="31"/>
      <c r="I1746" s="32">
        <f t="shared" si="108"/>
        <v>0</v>
      </c>
      <c r="J1746" s="33" t="str">
        <f t="shared" si="109"/>
        <v/>
      </c>
      <c r="K1746" s="2"/>
      <c r="L1746" s="15"/>
      <c r="M1746" s="34">
        <f t="shared" si="110"/>
        <v>0</v>
      </c>
    </row>
    <row r="1747" spans="1:13" x14ac:dyDescent="0.25">
      <c r="A1747" s="31"/>
      <c r="B1747" s="16" t="str">
        <f>IFERROR(VLOOKUP(A1747,Consolidado!$B$1:$L$1500,2,FALSE),"")</f>
        <v/>
      </c>
      <c r="C1747" s="16">
        <f>IFERROR(SUMIF(Consolidado!$B$1:$B$1500,VLOOKUP(RegistroPago!A1747,Consolidado!$B$1:$L$1500,1,FALSE),Consolidado!$G$1:$G$1500),"")</f>
        <v>0</v>
      </c>
      <c r="D1747" s="3"/>
      <c r="E1747" s="3"/>
      <c r="F1747" s="5" t="str">
        <f t="shared" si="111"/>
        <v/>
      </c>
      <c r="G1747" s="16" t="str">
        <f>IF(D1747&lt;&gt;"",D1747-VLOOKUP(A1747,Consolidado!$B$1:$L$1500,8,FALSE),"")</f>
        <v/>
      </c>
      <c r="H1747" s="31"/>
      <c r="I1747" s="32">
        <f t="shared" si="108"/>
        <v>0</v>
      </c>
      <c r="J1747" s="33" t="str">
        <f t="shared" si="109"/>
        <v/>
      </c>
      <c r="K1747" s="2"/>
      <c r="L1747" s="15"/>
      <c r="M1747" s="34">
        <f t="shared" si="110"/>
        <v>0</v>
      </c>
    </row>
    <row r="1748" spans="1:13" x14ac:dyDescent="0.25">
      <c r="A1748" s="31"/>
      <c r="B1748" s="16" t="str">
        <f>IFERROR(VLOOKUP(A1748,Consolidado!$B$1:$L$1500,2,FALSE),"")</f>
        <v/>
      </c>
      <c r="C1748" s="16">
        <f>IFERROR(SUMIF(Consolidado!$B$1:$B$1500,VLOOKUP(RegistroPago!A1748,Consolidado!$B$1:$L$1500,1,FALSE),Consolidado!$G$1:$G$1500),"")</f>
        <v>0</v>
      </c>
      <c r="D1748" s="3"/>
      <c r="E1748" s="3"/>
      <c r="F1748" s="5" t="str">
        <f t="shared" si="111"/>
        <v/>
      </c>
      <c r="G1748" s="16" t="str">
        <f>IF(D1748&lt;&gt;"",D1748-VLOOKUP(A1748,Consolidado!$B$1:$L$1500,8,FALSE),"")</f>
        <v/>
      </c>
      <c r="H1748" s="31"/>
      <c r="I1748" s="32">
        <f t="shared" si="108"/>
        <v>0</v>
      </c>
      <c r="J1748" s="33" t="str">
        <f t="shared" si="109"/>
        <v/>
      </c>
      <c r="K1748" s="2"/>
      <c r="L1748" s="15"/>
      <c r="M1748" s="34">
        <f t="shared" si="110"/>
        <v>0</v>
      </c>
    </row>
    <row r="1749" spans="1:13" x14ac:dyDescent="0.25">
      <c r="A1749" s="31"/>
      <c r="B1749" s="16" t="str">
        <f>IFERROR(VLOOKUP(A1749,Consolidado!$B$1:$L$1500,2,FALSE),"")</f>
        <v/>
      </c>
      <c r="C1749" s="16">
        <f>IFERROR(SUMIF(Consolidado!$B$1:$B$1500,VLOOKUP(RegistroPago!A1749,Consolidado!$B$1:$L$1500,1,FALSE),Consolidado!$G$1:$G$1500),"")</f>
        <v>0</v>
      </c>
      <c r="D1749" s="3"/>
      <c r="E1749" s="3"/>
      <c r="F1749" s="5" t="str">
        <f t="shared" si="111"/>
        <v/>
      </c>
      <c r="G1749" s="16" t="str">
        <f>IF(D1749&lt;&gt;"",D1749-VLOOKUP(A1749,Consolidado!$B$1:$L$1500,8,FALSE),"")</f>
        <v/>
      </c>
      <c r="H1749" s="31"/>
      <c r="I1749" s="32">
        <f t="shared" si="108"/>
        <v>0</v>
      </c>
      <c r="J1749" s="33" t="str">
        <f t="shared" si="109"/>
        <v/>
      </c>
      <c r="K1749" s="2"/>
      <c r="L1749" s="15"/>
      <c r="M1749" s="34">
        <f t="shared" si="110"/>
        <v>0</v>
      </c>
    </row>
    <row r="1750" spans="1:13" x14ac:dyDescent="0.25">
      <c r="A1750" s="31"/>
      <c r="B1750" s="16" t="str">
        <f>IFERROR(VLOOKUP(A1750,Consolidado!$B$1:$L$1500,2,FALSE),"")</f>
        <v/>
      </c>
      <c r="C1750" s="16">
        <f>IFERROR(SUMIF(Consolidado!$B$1:$B$1500,VLOOKUP(RegistroPago!A1750,Consolidado!$B$1:$L$1500,1,FALSE),Consolidado!$G$1:$G$1500),"")</f>
        <v>0</v>
      </c>
      <c r="D1750" s="3"/>
      <c r="E1750" s="3"/>
      <c r="F1750" s="5" t="str">
        <f t="shared" si="111"/>
        <v/>
      </c>
      <c r="G1750" s="16" t="str">
        <f>IF(D1750&lt;&gt;"",D1750-VLOOKUP(A1750,Consolidado!$B$1:$L$1500,8,FALSE),"")</f>
        <v/>
      </c>
      <c r="H1750" s="31"/>
      <c r="I1750" s="32">
        <f t="shared" si="108"/>
        <v>0</v>
      </c>
      <c r="J1750" s="33" t="str">
        <f t="shared" si="109"/>
        <v/>
      </c>
      <c r="K1750" s="2"/>
      <c r="L1750" s="15"/>
      <c r="M1750" s="34">
        <f t="shared" si="110"/>
        <v>0</v>
      </c>
    </row>
    <row r="1751" spans="1:13" x14ac:dyDescent="0.25">
      <c r="A1751" s="31"/>
      <c r="B1751" s="16" t="str">
        <f>IFERROR(VLOOKUP(A1751,Consolidado!$B$1:$L$1500,2,FALSE),"")</f>
        <v/>
      </c>
      <c r="C1751" s="16">
        <f>IFERROR(SUMIF(Consolidado!$B$1:$B$1500,VLOOKUP(RegistroPago!A1751,Consolidado!$B$1:$L$1500,1,FALSE),Consolidado!$G$1:$G$1500),"")</f>
        <v>0</v>
      </c>
      <c r="D1751" s="3"/>
      <c r="E1751" s="3"/>
      <c r="F1751" s="5" t="str">
        <f t="shared" si="111"/>
        <v/>
      </c>
      <c r="G1751" s="16" t="str">
        <f>IF(D1751&lt;&gt;"",D1751-VLOOKUP(A1751,Consolidado!$B$1:$L$1500,8,FALSE),"")</f>
        <v/>
      </c>
      <c r="H1751" s="31"/>
      <c r="I1751" s="32">
        <f t="shared" si="108"/>
        <v>0</v>
      </c>
      <c r="J1751" s="33" t="str">
        <f t="shared" si="109"/>
        <v/>
      </c>
      <c r="K1751" s="2"/>
      <c r="L1751" s="15"/>
      <c r="M1751" s="34">
        <f t="shared" si="110"/>
        <v>0</v>
      </c>
    </row>
    <row r="1752" spans="1:13" x14ac:dyDescent="0.25">
      <c r="A1752" s="31"/>
      <c r="B1752" s="16" t="str">
        <f>IFERROR(VLOOKUP(A1752,Consolidado!$B$1:$L$1500,2,FALSE),"")</f>
        <v/>
      </c>
      <c r="C1752" s="16">
        <f>IFERROR(SUMIF(Consolidado!$B$1:$B$1500,VLOOKUP(RegistroPago!A1752,Consolidado!$B$1:$L$1500,1,FALSE),Consolidado!$G$1:$G$1500),"")</f>
        <v>0</v>
      </c>
      <c r="D1752" s="3"/>
      <c r="E1752" s="3"/>
      <c r="F1752" s="5" t="str">
        <f t="shared" si="111"/>
        <v/>
      </c>
      <c r="G1752" s="16" t="str">
        <f>IF(D1752&lt;&gt;"",D1752-VLOOKUP(A1752,Consolidado!$B$1:$L$1500,8,FALSE),"")</f>
        <v/>
      </c>
      <c r="H1752" s="31"/>
      <c r="I1752" s="32">
        <f t="shared" si="108"/>
        <v>0</v>
      </c>
      <c r="J1752" s="33" t="str">
        <f t="shared" si="109"/>
        <v/>
      </c>
      <c r="K1752" s="2"/>
      <c r="L1752" s="15"/>
      <c r="M1752" s="34">
        <f t="shared" si="110"/>
        <v>0</v>
      </c>
    </row>
    <row r="1753" spans="1:13" x14ac:dyDescent="0.25">
      <c r="A1753" s="31"/>
      <c r="B1753" s="16" t="str">
        <f>IFERROR(VLOOKUP(A1753,Consolidado!$B$1:$L$1500,2,FALSE),"")</f>
        <v/>
      </c>
      <c r="C1753" s="16">
        <f>IFERROR(SUMIF(Consolidado!$B$1:$B$1500,VLOOKUP(RegistroPago!A1753,Consolidado!$B$1:$L$1500,1,FALSE),Consolidado!$G$1:$G$1500),"")</f>
        <v>0</v>
      </c>
      <c r="D1753" s="3"/>
      <c r="E1753" s="3"/>
      <c r="F1753" s="5" t="str">
        <f t="shared" si="111"/>
        <v/>
      </c>
      <c r="G1753" s="16" t="str">
        <f>IF(D1753&lt;&gt;"",D1753-VLOOKUP(A1753,Consolidado!$B$1:$L$1500,8,FALSE),"")</f>
        <v/>
      </c>
      <c r="H1753" s="31"/>
      <c r="I1753" s="32">
        <f t="shared" si="108"/>
        <v>0</v>
      </c>
      <c r="J1753" s="33" t="str">
        <f t="shared" si="109"/>
        <v/>
      </c>
      <c r="K1753" s="2"/>
      <c r="L1753" s="15"/>
      <c r="M1753" s="34">
        <f t="shared" si="110"/>
        <v>0</v>
      </c>
    </row>
    <row r="1754" spans="1:13" x14ac:dyDescent="0.25">
      <c r="A1754" s="31"/>
      <c r="B1754" s="16" t="str">
        <f>IFERROR(VLOOKUP(A1754,Consolidado!$B$1:$L$1500,2,FALSE),"")</f>
        <v/>
      </c>
      <c r="C1754" s="16">
        <f>IFERROR(SUMIF(Consolidado!$B$1:$B$1500,VLOOKUP(RegistroPago!A1754,Consolidado!$B$1:$L$1500,1,FALSE),Consolidado!$G$1:$G$1500),"")</f>
        <v>0</v>
      </c>
      <c r="D1754" s="3"/>
      <c r="E1754" s="3"/>
      <c r="F1754" s="5" t="str">
        <f t="shared" si="111"/>
        <v/>
      </c>
      <c r="G1754" s="16" t="str">
        <f>IF(D1754&lt;&gt;"",D1754-VLOOKUP(A1754,Consolidado!$B$1:$L$1500,8,FALSE),"")</f>
        <v/>
      </c>
      <c r="H1754" s="31"/>
      <c r="I1754" s="32">
        <f t="shared" si="108"/>
        <v>0</v>
      </c>
      <c r="J1754" s="33" t="str">
        <f t="shared" si="109"/>
        <v/>
      </c>
      <c r="K1754" s="2"/>
      <c r="L1754" s="15"/>
      <c r="M1754" s="34">
        <f t="shared" si="110"/>
        <v>0</v>
      </c>
    </row>
    <row r="1755" spans="1:13" x14ac:dyDescent="0.25">
      <c r="A1755" s="31"/>
      <c r="B1755" s="16" t="str">
        <f>IFERROR(VLOOKUP(A1755,Consolidado!$B$1:$L$1500,2,FALSE),"")</f>
        <v/>
      </c>
      <c r="C1755" s="16">
        <f>IFERROR(SUMIF(Consolidado!$B$1:$B$1500,VLOOKUP(RegistroPago!A1755,Consolidado!$B$1:$L$1500,1,FALSE),Consolidado!$G$1:$G$1500),"")</f>
        <v>0</v>
      </c>
      <c r="D1755" s="3"/>
      <c r="E1755" s="3"/>
      <c r="F1755" s="5" t="str">
        <f t="shared" si="111"/>
        <v/>
      </c>
      <c r="G1755" s="16" t="str">
        <f>IF(D1755&lt;&gt;"",D1755-VLOOKUP(A1755,Consolidado!$B$1:$L$1500,8,FALSE),"")</f>
        <v/>
      </c>
      <c r="H1755" s="31"/>
      <c r="I1755" s="32">
        <f t="shared" si="108"/>
        <v>0</v>
      </c>
      <c r="J1755" s="33" t="str">
        <f t="shared" si="109"/>
        <v/>
      </c>
      <c r="K1755" s="2"/>
      <c r="L1755" s="15"/>
      <c r="M1755" s="34">
        <f t="shared" si="110"/>
        <v>0</v>
      </c>
    </row>
    <row r="1756" spans="1:13" x14ac:dyDescent="0.25">
      <c r="A1756" s="31"/>
      <c r="B1756" s="16" t="str">
        <f>IFERROR(VLOOKUP(A1756,Consolidado!$B$1:$L$1500,2,FALSE),"")</f>
        <v/>
      </c>
      <c r="C1756" s="16">
        <f>IFERROR(SUMIF(Consolidado!$B$1:$B$1500,VLOOKUP(RegistroPago!A1756,Consolidado!$B$1:$L$1500,1,FALSE),Consolidado!$G$1:$G$1500),"")</f>
        <v>0</v>
      </c>
      <c r="D1756" s="3"/>
      <c r="E1756" s="3"/>
      <c r="F1756" s="5" t="str">
        <f t="shared" si="111"/>
        <v/>
      </c>
      <c r="G1756" s="16" t="str">
        <f>IF(D1756&lt;&gt;"",D1756-VLOOKUP(A1756,Consolidado!$B$1:$L$1500,8,FALSE),"")</f>
        <v/>
      </c>
      <c r="H1756" s="31"/>
      <c r="I1756" s="32">
        <f t="shared" si="108"/>
        <v>0</v>
      </c>
      <c r="J1756" s="33" t="str">
        <f t="shared" si="109"/>
        <v/>
      </c>
      <c r="K1756" s="2"/>
      <c r="L1756" s="15"/>
      <c r="M1756" s="34">
        <f t="shared" si="110"/>
        <v>0</v>
      </c>
    </row>
    <row r="1757" spans="1:13" x14ac:dyDescent="0.25">
      <c r="A1757" s="31"/>
      <c r="B1757" s="16" t="str">
        <f>IFERROR(VLOOKUP(A1757,Consolidado!$B$1:$L$1500,2,FALSE),"")</f>
        <v/>
      </c>
      <c r="C1757" s="16">
        <f>IFERROR(SUMIF(Consolidado!$B$1:$B$1500,VLOOKUP(RegistroPago!A1757,Consolidado!$B$1:$L$1500,1,FALSE),Consolidado!$G$1:$G$1500),"")</f>
        <v>0</v>
      </c>
      <c r="D1757" s="3"/>
      <c r="E1757" s="3"/>
      <c r="F1757" s="5" t="str">
        <f t="shared" si="111"/>
        <v/>
      </c>
      <c r="G1757" s="16" t="str">
        <f>IF(D1757&lt;&gt;"",D1757-VLOOKUP(A1757,Consolidado!$B$1:$L$1500,8,FALSE),"")</f>
        <v/>
      </c>
      <c r="H1757" s="31"/>
      <c r="I1757" s="32">
        <f t="shared" si="108"/>
        <v>0</v>
      </c>
      <c r="J1757" s="33" t="str">
        <f t="shared" si="109"/>
        <v/>
      </c>
      <c r="K1757" s="2"/>
      <c r="L1757" s="15"/>
      <c r="M1757" s="34">
        <f t="shared" si="110"/>
        <v>0</v>
      </c>
    </row>
    <row r="1758" spans="1:13" x14ac:dyDescent="0.25">
      <c r="A1758" s="31"/>
      <c r="B1758" s="16" t="str">
        <f>IFERROR(VLOOKUP(A1758,Consolidado!$B$1:$L$1500,2,FALSE),"")</f>
        <v/>
      </c>
      <c r="C1758" s="16">
        <f>IFERROR(SUMIF(Consolidado!$B$1:$B$1500,VLOOKUP(RegistroPago!A1758,Consolidado!$B$1:$L$1500,1,FALSE),Consolidado!$G$1:$G$1500),"")</f>
        <v>0</v>
      </c>
      <c r="D1758" s="3"/>
      <c r="E1758" s="3"/>
      <c r="F1758" s="5" t="str">
        <f t="shared" si="111"/>
        <v/>
      </c>
      <c r="G1758" s="16" t="str">
        <f>IF(D1758&lt;&gt;"",D1758-VLOOKUP(A1758,Consolidado!$B$1:$L$1500,8,FALSE),"")</f>
        <v/>
      </c>
      <c r="H1758" s="31"/>
      <c r="I1758" s="32">
        <f t="shared" si="108"/>
        <v>0</v>
      </c>
      <c r="J1758" s="33" t="str">
        <f t="shared" si="109"/>
        <v/>
      </c>
      <c r="K1758" s="2"/>
      <c r="L1758" s="15"/>
      <c r="M1758" s="34">
        <f t="shared" si="110"/>
        <v>0</v>
      </c>
    </row>
    <row r="1759" spans="1:13" x14ac:dyDescent="0.25">
      <c r="A1759" s="31"/>
      <c r="B1759" s="16" t="str">
        <f>IFERROR(VLOOKUP(A1759,Consolidado!$B$1:$L$1500,2,FALSE),"")</f>
        <v/>
      </c>
      <c r="C1759" s="16">
        <f>IFERROR(SUMIF(Consolidado!$B$1:$B$1500,VLOOKUP(RegistroPago!A1759,Consolidado!$B$1:$L$1500,1,FALSE),Consolidado!$G$1:$G$1500),"")</f>
        <v>0</v>
      </c>
      <c r="D1759" s="3"/>
      <c r="E1759" s="3"/>
      <c r="F1759" s="5" t="str">
        <f t="shared" si="111"/>
        <v/>
      </c>
      <c r="G1759" s="16" t="str">
        <f>IF(D1759&lt;&gt;"",D1759-VLOOKUP(A1759,Consolidado!$B$1:$L$1500,8,FALSE),"")</f>
        <v/>
      </c>
      <c r="H1759" s="31"/>
      <c r="I1759" s="32">
        <f t="shared" si="108"/>
        <v>0</v>
      </c>
      <c r="J1759" s="33" t="str">
        <f t="shared" si="109"/>
        <v/>
      </c>
      <c r="K1759" s="2"/>
      <c r="L1759" s="15"/>
      <c r="M1759" s="34">
        <f t="shared" si="110"/>
        <v>0</v>
      </c>
    </row>
    <row r="1760" spans="1:13" x14ac:dyDescent="0.25">
      <c r="A1760" s="31"/>
      <c r="B1760" s="16" t="str">
        <f>IFERROR(VLOOKUP(A1760,Consolidado!$B$1:$L$1500,2,FALSE),"")</f>
        <v/>
      </c>
      <c r="C1760" s="16">
        <f>IFERROR(SUMIF(Consolidado!$B$1:$B$1500,VLOOKUP(RegistroPago!A1760,Consolidado!$B$1:$L$1500,1,FALSE),Consolidado!$G$1:$G$1500),"")</f>
        <v>0</v>
      </c>
      <c r="D1760" s="3"/>
      <c r="E1760" s="3"/>
      <c r="F1760" s="5" t="str">
        <f t="shared" si="111"/>
        <v/>
      </c>
      <c r="G1760" s="16" t="str">
        <f>IF(D1760&lt;&gt;"",D1760-VLOOKUP(A1760,Consolidado!$B$1:$L$1500,8,FALSE),"")</f>
        <v/>
      </c>
      <c r="H1760" s="31"/>
      <c r="I1760" s="32">
        <f t="shared" si="108"/>
        <v>0</v>
      </c>
      <c r="J1760" s="33" t="str">
        <f t="shared" si="109"/>
        <v/>
      </c>
      <c r="K1760" s="2"/>
      <c r="L1760" s="15"/>
      <c r="M1760" s="34">
        <f t="shared" si="110"/>
        <v>0</v>
      </c>
    </row>
    <row r="1761" spans="1:13" x14ac:dyDescent="0.25">
      <c r="A1761" s="31"/>
      <c r="B1761" s="16" t="str">
        <f>IFERROR(VLOOKUP(A1761,Consolidado!$B$1:$L$1500,2,FALSE),"")</f>
        <v/>
      </c>
      <c r="C1761" s="16">
        <f>IFERROR(SUMIF(Consolidado!$B$1:$B$1500,VLOOKUP(RegistroPago!A1761,Consolidado!$B$1:$L$1500,1,FALSE),Consolidado!$G$1:$G$1500),"")</f>
        <v>0</v>
      </c>
      <c r="D1761" s="3"/>
      <c r="E1761" s="3"/>
      <c r="F1761" s="5" t="str">
        <f t="shared" si="111"/>
        <v/>
      </c>
      <c r="G1761" s="16" t="str">
        <f>IF(D1761&lt;&gt;"",D1761-VLOOKUP(A1761,Consolidado!$B$1:$L$1500,8,FALSE),"")</f>
        <v/>
      </c>
      <c r="H1761" s="31"/>
      <c r="I1761" s="32">
        <f t="shared" si="108"/>
        <v>0</v>
      </c>
      <c r="J1761" s="33" t="str">
        <f t="shared" si="109"/>
        <v/>
      </c>
      <c r="K1761" s="2"/>
      <c r="L1761" s="15"/>
      <c r="M1761" s="34">
        <f t="shared" si="110"/>
        <v>0</v>
      </c>
    </row>
    <row r="1762" spans="1:13" x14ac:dyDescent="0.25">
      <c r="A1762" s="31"/>
      <c r="B1762" s="16" t="str">
        <f>IFERROR(VLOOKUP(A1762,Consolidado!$B$1:$L$1500,2,FALSE),"")</f>
        <v/>
      </c>
      <c r="C1762" s="16">
        <f>IFERROR(SUMIF(Consolidado!$B$1:$B$1500,VLOOKUP(RegistroPago!A1762,Consolidado!$B$1:$L$1500,1,FALSE),Consolidado!$G$1:$G$1500),"")</f>
        <v>0</v>
      </c>
      <c r="D1762" s="3"/>
      <c r="E1762" s="3"/>
      <c r="F1762" s="5" t="str">
        <f t="shared" si="111"/>
        <v/>
      </c>
      <c r="G1762" s="16" t="str">
        <f>IF(D1762&lt;&gt;"",D1762-VLOOKUP(A1762,Consolidado!$B$1:$L$1500,8,FALSE),"")</f>
        <v/>
      </c>
      <c r="H1762" s="31"/>
      <c r="I1762" s="32">
        <f t="shared" si="108"/>
        <v>0</v>
      </c>
      <c r="J1762" s="33" t="str">
        <f t="shared" si="109"/>
        <v/>
      </c>
      <c r="K1762" s="2"/>
      <c r="L1762" s="15"/>
      <c r="M1762" s="34">
        <f t="shared" si="110"/>
        <v>0</v>
      </c>
    </row>
    <row r="1763" spans="1:13" x14ac:dyDescent="0.25">
      <c r="A1763" s="31"/>
      <c r="B1763" s="16" t="str">
        <f>IFERROR(VLOOKUP(A1763,Consolidado!$B$1:$L$1500,2,FALSE),"")</f>
        <v/>
      </c>
      <c r="C1763" s="16">
        <f>IFERROR(SUMIF(Consolidado!$B$1:$B$1500,VLOOKUP(RegistroPago!A1763,Consolidado!$B$1:$L$1500,1,FALSE),Consolidado!$G$1:$G$1500),"")</f>
        <v>0</v>
      </c>
      <c r="D1763" s="3"/>
      <c r="E1763" s="3"/>
      <c r="F1763" s="5" t="str">
        <f t="shared" si="111"/>
        <v/>
      </c>
      <c r="G1763" s="16" t="str">
        <f>IF(D1763&lt;&gt;"",D1763-VLOOKUP(A1763,Consolidado!$B$1:$L$1500,8,FALSE),"")</f>
        <v/>
      </c>
      <c r="H1763" s="31"/>
      <c r="I1763" s="32">
        <f t="shared" si="108"/>
        <v>0</v>
      </c>
      <c r="J1763" s="33" t="str">
        <f t="shared" si="109"/>
        <v/>
      </c>
      <c r="K1763" s="2"/>
      <c r="L1763" s="15"/>
      <c r="M1763" s="34">
        <f t="shared" si="110"/>
        <v>0</v>
      </c>
    </row>
    <row r="1764" spans="1:13" x14ac:dyDescent="0.25">
      <c r="A1764" s="31"/>
      <c r="B1764" s="16" t="str">
        <f>IFERROR(VLOOKUP(A1764,Consolidado!$B$1:$L$1500,2,FALSE),"")</f>
        <v/>
      </c>
      <c r="C1764" s="16">
        <f>IFERROR(SUMIF(Consolidado!$B$1:$B$1500,VLOOKUP(RegistroPago!A1764,Consolidado!$B$1:$L$1500,1,FALSE),Consolidado!$G$1:$G$1500),"")</f>
        <v>0</v>
      </c>
      <c r="D1764" s="3"/>
      <c r="E1764" s="3"/>
      <c r="F1764" s="5" t="str">
        <f t="shared" si="111"/>
        <v/>
      </c>
      <c r="G1764" s="16" t="str">
        <f>IF(D1764&lt;&gt;"",D1764-VLOOKUP(A1764,Consolidado!$B$1:$L$1500,8,FALSE),"")</f>
        <v/>
      </c>
      <c r="H1764" s="31"/>
      <c r="I1764" s="32">
        <f t="shared" si="108"/>
        <v>0</v>
      </c>
      <c r="J1764" s="33" t="str">
        <f t="shared" si="109"/>
        <v/>
      </c>
      <c r="K1764" s="2"/>
      <c r="L1764" s="15"/>
      <c r="M1764" s="34">
        <f t="shared" si="110"/>
        <v>0</v>
      </c>
    </row>
    <row r="1765" spans="1:13" x14ac:dyDescent="0.25">
      <c r="A1765" s="31"/>
      <c r="B1765" s="16" t="str">
        <f>IFERROR(VLOOKUP(A1765,Consolidado!$B$1:$L$1500,2,FALSE),"")</f>
        <v/>
      </c>
      <c r="C1765" s="16">
        <f>IFERROR(SUMIF(Consolidado!$B$1:$B$1500,VLOOKUP(RegistroPago!A1765,Consolidado!$B$1:$L$1500,1,FALSE),Consolidado!$G$1:$G$1500),"")</f>
        <v>0</v>
      </c>
      <c r="D1765" s="3"/>
      <c r="E1765" s="3"/>
      <c r="F1765" s="5" t="str">
        <f t="shared" si="111"/>
        <v/>
      </c>
      <c r="G1765" s="16" t="str">
        <f>IF(D1765&lt;&gt;"",D1765-VLOOKUP(A1765,Consolidado!$B$1:$L$1500,8,FALSE),"")</f>
        <v/>
      </c>
      <c r="H1765" s="31"/>
      <c r="I1765" s="32">
        <f t="shared" si="108"/>
        <v>0</v>
      </c>
      <c r="J1765" s="33" t="str">
        <f t="shared" si="109"/>
        <v/>
      </c>
      <c r="K1765" s="2"/>
      <c r="L1765" s="15"/>
      <c r="M1765" s="34">
        <f t="shared" si="110"/>
        <v>0</v>
      </c>
    </row>
    <row r="1766" spans="1:13" x14ac:dyDescent="0.25">
      <c r="A1766" s="31"/>
      <c r="B1766" s="16" t="str">
        <f>IFERROR(VLOOKUP(A1766,Consolidado!$B$1:$L$1500,2,FALSE),"")</f>
        <v/>
      </c>
      <c r="C1766" s="16">
        <f>IFERROR(SUMIF(Consolidado!$B$1:$B$1500,VLOOKUP(RegistroPago!A1766,Consolidado!$B$1:$L$1500,1,FALSE),Consolidado!$G$1:$G$1500),"")</f>
        <v>0</v>
      </c>
      <c r="D1766" s="3"/>
      <c r="E1766" s="3"/>
      <c r="F1766" s="5" t="str">
        <f t="shared" si="111"/>
        <v/>
      </c>
      <c r="G1766" s="16" t="str">
        <f>IF(D1766&lt;&gt;"",D1766-VLOOKUP(A1766,Consolidado!$B$1:$L$1500,8,FALSE),"")</f>
        <v/>
      </c>
      <c r="H1766" s="31"/>
      <c r="I1766" s="32">
        <f t="shared" si="108"/>
        <v>0</v>
      </c>
      <c r="J1766" s="33" t="str">
        <f t="shared" si="109"/>
        <v/>
      </c>
      <c r="K1766" s="2"/>
      <c r="L1766" s="15"/>
      <c r="M1766" s="34">
        <f t="shared" si="110"/>
        <v>0</v>
      </c>
    </row>
    <row r="1767" spans="1:13" x14ac:dyDescent="0.25">
      <c r="A1767" s="31"/>
      <c r="B1767" s="16" t="str">
        <f>IFERROR(VLOOKUP(A1767,Consolidado!$B$1:$L$1500,2,FALSE),"")</f>
        <v/>
      </c>
      <c r="C1767" s="16">
        <f>IFERROR(SUMIF(Consolidado!$B$1:$B$1500,VLOOKUP(RegistroPago!A1767,Consolidado!$B$1:$L$1500,1,FALSE),Consolidado!$G$1:$G$1500),"")</f>
        <v>0</v>
      </c>
      <c r="D1767" s="3"/>
      <c r="E1767" s="3"/>
      <c r="F1767" s="5" t="str">
        <f t="shared" si="111"/>
        <v/>
      </c>
      <c r="G1767" s="16" t="str">
        <f>IF(D1767&lt;&gt;"",D1767-VLOOKUP(A1767,Consolidado!$B$1:$L$1500,8,FALSE),"")</f>
        <v/>
      </c>
      <c r="H1767" s="31"/>
      <c r="I1767" s="32">
        <f t="shared" si="108"/>
        <v>0</v>
      </c>
      <c r="J1767" s="33" t="str">
        <f t="shared" si="109"/>
        <v/>
      </c>
      <c r="K1767" s="2"/>
      <c r="L1767" s="15"/>
      <c r="M1767" s="34">
        <f t="shared" si="110"/>
        <v>0</v>
      </c>
    </row>
    <row r="1768" spans="1:13" x14ac:dyDescent="0.25">
      <c r="A1768" s="31"/>
      <c r="B1768" s="16" t="str">
        <f>IFERROR(VLOOKUP(A1768,Consolidado!$B$1:$L$1500,2,FALSE),"")</f>
        <v/>
      </c>
      <c r="C1768" s="16">
        <f>IFERROR(SUMIF(Consolidado!$B$1:$B$1500,VLOOKUP(RegistroPago!A1768,Consolidado!$B$1:$L$1500,1,FALSE),Consolidado!$G$1:$G$1500),"")</f>
        <v>0</v>
      </c>
      <c r="D1768" s="3"/>
      <c r="E1768" s="3"/>
      <c r="F1768" s="5" t="str">
        <f t="shared" si="111"/>
        <v/>
      </c>
      <c r="G1768" s="16" t="str">
        <f>IF(D1768&lt;&gt;"",D1768-VLOOKUP(A1768,Consolidado!$B$1:$L$1500,8,FALSE),"")</f>
        <v/>
      </c>
      <c r="H1768" s="31"/>
      <c r="I1768" s="32">
        <f t="shared" si="108"/>
        <v>0</v>
      </c>
      <c r="J1768" s="33" t="str">
        <f t="shared" si="109"/>
        <v/>
      </c>
      <c r="K1768" s="2"/>
      <c r="L1768" s="15"/>
      <c r="M1768" s="34">
        <f t="shared" si="110"/>
        <v>0</v>
      </c>
    </row>
    <row r="1769" spans="1:13" x14ac:dyDescent="0.25">
      <c r="A1769" s="31"/>
      <c r="B1769" s="16" t="str">
        <f>IFERROR(VLOOKUP(A1769,Consolidado!$B$1:$L$1500,2,FALSE),"")</f>
        <v/>
      </c>
      <c r="C1769" s="16">
        <f>IFERROR(SUMIF(Consolidado!$B$1:$B$1500,VLOOKUP(RegistroPago!A1769,Consolidado!$B$1:$L$1500,1,FALSE),Consolidado!$G$1:$G$1500),"")</f>
        <v>0</v>
      </c>
      <c r="D1769" s="3"/>
      <c r="E1769" s="3"/>
      <c r="F1769" s="5" t="str">
        <f t="shared" si="111"/>
        <v/>
      </c>
      <c r="G1769" s="16" t="str">
        <f>IF(D1769&lt;&gt;"",D1769-VLOOKUP(A1769,Consolidado!$B$1:$L$1500,8,FALSE),"")</f>
        <v/>
      </c>
      <c r="H1769" s="31"/>
      <c r="I1769" s="32">
        <f t="shared" ref="I1769:I1832" si="112">IFERROR(SUMIF($E$1:$E$2000,H1769,$C$1:$C$2000)-SUMIF($E$1:$E$2000,H1769,$F$1:$F$2000),"")</f>
        <v>0</v>
      </c>
      <c r="J1769" s="33" t="str">
        <f t="shared" ref="J1769:J1832" si="113">IFERROR(I1769/SUMIF($E$1:$E$2000,H1769,$C$1:$C$2000),"")</f>
        <v/>
      </c>
      <c r="K1769" s="2"/>
      <c r="L1769" s="15"/>
      <c r="M1769" s="34">
        <f t="shared" ref="M1769:M1832" si="114">IFERROR(L1769*SUMIF($E$1:$E$2000,H1769,$F$1:$F$2000),"")</f>
        <v>0</v>
      </c>
    </row>
    <row r="1770" spans="1:13" x14ac:dyDescent="0.25">
      <c r="A1770" s="31"/>
      <c r="B1770" s="16" t="str">
        <f>IFERROR(VLOOKUP(A1770,Consolidado!$B$1:$L$1500,2,FALSE),"")</f>
        <v/>
      </c>
      <c r="C1770" s="16">
        <f>IFERROR(SUMIF(Consolidado!$B$1:$B$1500,VLOOKUP(RegistroPago!A1770,Consolidado!$B$1:$L$1500,1,FALSE),Consolidado!$G$1:$G$1500),"")</f>
        <v>0</v>
      </c>
      <c r="D1770" s="3"/>
      <c r="E1770" s="3"/>
      <c r="F1770" s="5" t="str">
        <f t="shared" si="111"/>
        <v/>
      </c>
      <c r="G1770" s="16" t="str">
        <f>IF(D1770&lt;&gt;"",D1770-VLOOKUP(A1770,Consolidado!$B$1:$L$1500,8,FALSE),"")</f>
        <v/>
      </c>
      <c r="H1770" s="31"/>
      <c r="I1770" s="32">
        <f t="shared" si="112"/>
        <v>0</v>
      </c>
      <c r="J1770" s="33" t="str">
        <f t="shared" si="113"/>
        <v/>
      </c>
      <c r="K1770" s="2"/>
      <c r="L1770" s="15"/>
      <c r="M1770" s="34">
        <f t="shared" si="114"/>
        <v>0</v>
      </c>
    </row>
    <row r="1771" spans="1:13" x14ac:dyDescent="0.25">
      <c r="A1771" s="31"/>
      <c r="B1771" s="16" t="str">
        <f>IFERROR(VLOOKUP(A1771,Consolidado!$B$1:$L$1500,2,FALSE),"")</f>
        <v/>
      </c>
      <c r="C1771" s="16">
        <f>IFERROR(SUMIF(Consolidado!$B$1:$B$1500,VLOOKUP(RegistroPago!A1771,Consolidado!$B$1:$L$1500,1,FALSE),Consolidado!$G$1:$G$1500),"")</f>
        <v>0</v>
      </c>
      <c r="D1771" s="3"/>
      <c r="E1771" s="3"/>
      <c r="F1771" s="5" t="str">
        <f t="shared" si="111"/>
        <v/>
      </c>
      <c r="G1771" s="16" t="str">
        <f>IF(D1771&lt;&gt;"",D1771-VLOOKUP(A1771,Consolidado!$B$1:$L$1500,8,FALSE),"")</f>
        <v/>
      </c>
      <c r="H1771" s="31"/>
      <c r="I1771" s="32">
        <f t="shared" si="112"/>
        <v>0</v>
      </c>
      <c r="J1771" s="33" t="str">
        <f t="shared" si="113"/>
        <v/>
      </c>
      <c r="K1771" s="2"/>
      <c r="L1771" s="15"/>
      <c r="M1771" s="34">
        <f t="shared" si="114"/>
        <v>0</v>
      </c>
    </row>
    <row r="1772" spans="1:13" x14ac:dyDescent="0.25">
      <c r="A1772" s="31"/>
      <c r="B1772" s="16" t="str">
        <f>IFERROR(VLOOKUP(A1772,Consolidado!$B$1:$L$1500,2,FALSE),"")</f>
        <v/>
      </c>
      <c r="C1772" s="16">
        <f>IFERROR(SUMIF(Consolidado!$B$1:$B$1500,VLOOKUP(RegistroPago!A1772,Consolidado!$B$1:$L$1500,1,FALSE),Consolidado!$G$1:$G$1500),"")</f>
        <v>0</v>
      </c>
      <c r="D1772" s="3"/>
      <c r="E1772" s="3"/>
      <c r="F1772" s="5" t="str">
        <f t="shared" si="111"/>
        <v/>
      </c>
      <c r="G1772" s="16" t="str">
        <f>IF(D1772&lt;&gt;"",D1772-VLOOKUP(A1772,Consolidado!$B$1:$L$1500,8,FALSE),"")</f>
        <v/>
      </c>
      <c r="H1772" s="31"/>
      <c r="I1772" s="32">
        <f t="shared" si="112"/>
        <v>0</v>
      </c>
      <c r="J1772" s="33" t="str">
        <f t="shared" si="113"/>
        <v/>
      </c>
      <c r="K1772" s="2"/>
      <c r="L1772" s="15"/>
      <c r="M1772" s="34">
        <f t="shared" si="114"/>
        <v>0</v>
      </c>
    </row>
    <row r="1773" spans="1:13" x14ac:dyDescent="0.25">
      <c r="A1773" s="31"/>
      <c r="B1773" s="16" t="str">
        <f>IFERROR(VLOOKUP(A1773,Consolidado!$B$1:$L$1500,2,FALSE),"")</f>
        <v/>
      </c>
      <c r="C1773" s="16">
        <f>IFERROR(SUMIF(Consolidado!$B$1:$B$1500,VLOOKUP(RegistroPago!A1773,Consolidado!$B$1:$L$1500,1,FALSE),Consolidado!$G$1:$G$1500),"")</f>
        <v>0</v>
      </c>
      <c r="D1773" s="3"/>
      <c r="E1773" s="3"/>
      <c r="F1773" s="5" t="str">
        <f t="shared" si="111"/>
        <v/>
      </c>
      <c r="G1773" s="16" t="str">
        <f>IF(D1773&lt;&gt;"",D1773-VLOOKUP(A1773,Consolidado!$B$1:$L$1500,8,FALSE),"")</f>
        <v/>
      </c>
      <c r="H1773" s="31"/>
      <c r="I1773" s="32">
        <f t="shared" si="112"/>
        <v>0</v>
      </c>
      <c r="J1773" s="33" t="str">
        <f t="shared" si="113"/>
        <v/>
      </c>
      <c r="K1773" s="2"/>
      <c r="L1773" s="15"/>
      <c r="M1773" s="34">
        <f t="shared" si="114"/>
        <v>0</v>
      </c>
    </row>
    <row r="1774" spans="1:13" x14ac:dyDescent="0.25">
      <c r="A1774" s="31"/>
      <c r="B1774" s="16" t="str">
        <f>IFERROR(VLOOKUP(A1774,Consolidado!$B$1:$L$1500,2,FALSE),"")</f>
        <v/>
      </c>
      <c r="C1774" s="16">
        <f>IFERROR(SUMIF(Consolidado!$B$1:$B$1500,VLOOKUP(RegistroPago!A1774,Consolidado!$B$1:$L$1500,1,FALSE),Consolidado!$G$1:$G$1500),"")</f>
        <v>0</v>
      </c>
      <c r="D1774" s="3"/>
      <c r="E1774" s="3"/>
      <c r="F1774" s="5" t="str">
        <f t="shared" si="111"/>
        <v/>
      </c>
      <c r="G1774" s="16" t="str">
        <f>IF(D1774&lt;&gt;"",D1774-VLOOKUP(A1774,Consolidado!$B$1:$L$1500,8,FALSE),"")</f>
        <v/>
      </c>
      <c r="H1774" s="31"/>
      <c r="I1774" s="32">
        <f t="shared" si="112"/>
        <v>0</v>
      </c>
      <c r="J1774" s="33" t="str">
        <f t="shared" si="113"/>
        <v/>
      </c>
      <c r="K1774" s="2"/>
      <c r="L1774" s="15"/>
      <c r="M1774" s="34">
        <f t="shared" si="114"/>
        <v>0</v>
      </c>
    </row>
    <row r="1775" spans="1:13" x14ac:dyDescent="0.25">
      <c r="A1775" s="31"/>
      <c r="B1775" s="16" t="str">
        <f>IFERROR(VLOOKUP(A1775,Consolidado!$B$1:$L$1500,2,FALSE),"")</f>
        <v/>
      </c>
      <c r="C1775" s="16">
        <f>IFERROR(SUMIF(Consolidado!$B$1:$B$1500,VLOOKUP(RegistroPago!A1775,Consolidado!$B$1:$L$1500,1,FALSE),Consolidado!$G$1:$G$1500),"")</f>
        <v>0</v>
      </c>
      <c r="D1775" s="3"/>
      <c r="E1775" s="3"/>
      <c r="F1775" s="5" t="str">
        <f t="shared" si="111"/>
        <v/>
      </c>
      <c r="G1775" s="16" t="str">
        <f>IF(D1775&lt;&gt;"",D1775-VLOOKUP(A1775,Consolidado!$B$1:$L$1500,8,FALSE),"")</f>
        <v/>
      </c>
      <c r="H1775" s="31"/>
      <c r="I1775" s="32">
        <f t="shared" si="112"/>
        <v>0</v>
      </c>
      <c r="J1775" s="33" t="str">
        <f t="shared" si="113"/>
        <v/>
      </c>
      <c r="K1775" s="2"/>
      <c r="L1775" s="15"/>
      <c r="M1775" s="34">
        <f t="shared" si="114"/>
        <v>0</v>
      </c>
    </row>
    <row r="1776" spans="1:13" x14ac:dyDescent="0.25">
      <c r="A1776" s="31"/>
      <c r="B1776" s="16" t="str">
        <f>IFERROR(VLOOKUP(A1776,Consolidado!$B$1:$L$1500,2,FALSE),"")</f>
        <v/>
      </c>
      <c r="C1776" s="16">
        <f>IFERROR(SUMIF(Consolidado!$B$1:$B$1500,VLOOKUP(RegistroPago!A1776,Consolidado!$B$1:$L$1500,1,FALSE),Consolidado!$G$1:$G$1500),"")</f>
        <v>0</v>
      </c>
      <c r="D1776" s="3"/>
      <c r="E1776" s="3"/>
      <c r="F1776" s="5" t="str">
        <f t="shared" si="111"/>
        <v/>
      </c>
      <c r="G1776" s="16" t="str">
        <f>IF(D1776&lt;&gt;"",D1776-VLOOKUP(A1776,Consolidado!$B$1:$L$1500,8,FALSE),"")</f>
        <v/>
      </c>
      <c r="H1776" s="31"/>
      <c r="I1776" s="32">
        <f t="shared" si="112"/>
        <v>0</v>
      </c>
      <c r="J1776" s="33" t="str">
        <f t="shared" si="113"/>
        <v/>
      </c>
      <c r="K1776" s="2"/>
      <c r="L1776" s="15"/>
      <c r="M1776" s="34">
        <f t="shared" si="114"/>
        <v>0</v>
      </c>
    </row>
    <row r="1777" spans="1:13" x14ac:dyDescent="0.25">
      <c r="A1777" s="31"/>
      <c r="B1777" s="16" t="str">
        <f>IFERROR(VLOOKUP(A1777,Consolidado!$B$1:$L$1500,2,FALSE),"")</f>
        <v/>
      </c>
      <c r="C1777" s="16">
        <f>IFERROR(SUMIF(Consolidado!$B$1:$B$1500,VLOOKUP(RegistroPago!A1777,Consolidado!$B$1:$L$1500,1,FALSE),Consolidado!$G$1:$G$1500),"")</f>
        <v>0</v>
      </c>
      <c r="D1777" s="3"/>
      <c r="E1777" s="3"/>
      <c r="F1777" s="5" t="str">
        <f t="shared" si="111"/>
        <v/>
      </c>
      <c r="G1777" s="16" t="str">
        <f>IF(D1777&lt;&gt;"",D1777-VLOOKUP(A1777,Consolidado!$B$1:$L$1500,8,FALSE),"")</f>
        <v/>
      </c>
      <c r="H1777" s="31"/>
      <c r="I1777" s="32">
        <f t="shared" si="112"/>
        <v>0</v>
      </c>
      <c r="J1777" s="33" t="str">
        <f t="shared" si="113"/>
        <v/>
      </c>
      <c r="K1777" s="2"/>
      <c r="L1777" s="15"/>
      <c r="M1777" s="34">
        <f t="shared" si="114"/>
        <v>0</v>
      </c>
    </row>
    <row r="1778" spans="1:13" x14ac:dyDescent="0.25">
      <c r="A1778" s="31"/>
      <c r="B1778" s="16" t="str">
        <f>IFERROR(VLOOKUP(A1778,Consolidado!$B$1:$L$1500,2,FALSE),"")</f>
        <v/>
      </c>
      <c r="C1778" s="16">
        <f>IFERROR(SUMIF(Consolidado!$B$1:$B$1500,VLOOKUP(RegistroPago!A1778,Consolidado!$B$1:$L$1500,1,FALSE),Consolidado!$G$1:$G$1500),"")</f>
        <v>0</v>
      </c>
      <c r="D1778" s="3"/>
      <c r="E1778" s="3"/>
      <c r="F1778" s="5" t="str">
        <f t="shared" si="111"/>
        <v/>
      </c>
      <c r="G1778" s="16" t="str">
        <f>IF(D1778&lt;&gt;"",D1778-VLOOKUP(A1778,Consolidado!$B$1:$L$1500,8,FALSE),"")</f>
        <v/>
      </c>
      <c r="H1778" s="31"/>
      <c r="I1778" s="32">
        <f t="shared" si="112"/>
        <v>0</v>
      </c>
      <c r="J1778" s="33" t="str">
        <f t="shared" si="113"/>
        <v/>
      </c>
      <c r="K1778" s="2"/>
      <c r="L1778" s="15"/>
      <c r="M1778" s="34">
        <f t="shared" si="114"/>
        <v>0</v>
      </c>
    </row>
    <row r="1779" spans="1:13" x14ac:dyDescent="0.25">
      <c r="A1779" s="31"/>
      <c r="B1779" s="16" t="str">
        <f>IFERROR(VLOOKUP(A1779,Consolidado!$B$1:$L$1500,2,FALSE),"")</f>
        <v/>
      </c>
      <c r="C1779" s="16">
        <f>IFERROR(SUMIF(Consolidado!$B$1:$B$1500,VLOOKUP(RegistroPago!A1779,Consolidado!$B$1:$L$1500,1,FALSE),Consolidado!$G$1:$G$1500),"")</f>
        <v>0</v>
      </c>
      <c r="D1779" s="3"/>
      <c r="E1779" s="3"/>
      <c r="F1779" s="5" t="str">
        <f t="shared" si="111"/>
        <v/>
      </c>
      <c r="G1779" s="16" t="str">
        <f>IF(D1779&lt;&gt;"",D1779-VLOOKUP(A1779,Consolidado!$B$1:$L$1500,8,FALSE),"")</f>
        <v/>
      </c>
      <c r="H1779" s="31"/>
      <c r="I1779" s="32">
        <f t="shared" si="112"/>
        <v>0</v>
      </c>
      <c r="J1779" s="33" t="str">
        <f t="shared" si="113"/>
        <v/>
      </c>
      <c r="K1779" s="2"/>
      <c r="L1779" s="15"/>
      <c r="M1779" s="34">
        <f t="shared" si="114"/>
        <v>0</v>
      </c>
    </row>
    <row r="1780" spans="1:13" x14ac:dyDescent="0.25">
      <c r="A1780" s="31"/>
      <c r="B1780" s="16" t="str">
        <f>IFERROR(VLOOKUP(A1780,Consolidado!$B$1:$L$1500,2,FALSE),"")</f>
        <v/>
      </c>
      <c r="C1780" s="16">
        <f>IFERROR(SUMIF(Consolidado!$B$1:$B$1500,VLOOKUP(RegistroPago!A1780,Consolidado!$B$1:$L$1500,1,FALSE),Consolidado!$G$1:$G$1500),"")</f>
        <v>0</v>
      </c>
      <c r="D1780" s="3"/>
      <c r="E1780" s="3"/>
      <c r="F1780" s="5" t="str">
        <f t="shared" si="111"/>
        <v/>
      </c>
      <c r="G1780" s="16" t="str">
        <f>IF(D1780&lt;&gt;"",D1780-VLOOKUP(A1780,Consolidado!$B$1:$L$1500,8,FALSE),"")</f>
        <v/>
      </c>
      <c r="H1780" s="31"/>
      <c r="I1780" s="32">
        <f t="shared" si="112"/>
        <v>0</v>
      </c>
      <c r="J1780" s="33" t="str">
        <f t="shared" si="113"/>
        <v/>
      </c>
      <c r="K1780" s="2"/>
      <c r="L1780" s="15"/>
      <c r="M1780" s="34">
        <f t="shared" si="114"/>
        <v>0</v>
      </c>
    </row>
    <row r="1781" spans="1:13" x14ac:dyDescent="0.25">
      <c r="A1781" s="31"/>
      <c r="B1781" s="16" t="str">
        <f>IFERROR(VLOOKUP(A1781,Consolidado!$B$1:$L$1500,2,FALSE),"")</f>
        <v/>
      </c>
      <c r="C1781" s="16">
        <f>IFERROR(SUMIF(Consolidado!$B$1:$B$1500,VLOOKUP(RegistroPago!A1781,Consolidado!$B$1:$L$1500,1,FALSE),Consolidado!$G$1:$G$1500),"")</f>
        <v>0</v>
      </c>
      <c r="D1781" s="3"/>
      <c r="E1781" s="3"/>
      <c r="F1781" s="5" t="str">
        <f t="shared" si="111"/>
        <v/>
      </c>
      <c r="G1781" s="16" t="str">
        <f>IF(D1781&lt;&gt;"",D1781-VLOOKUP(A1781,Consolidado!$B$1:$L$1500,8,FALSE),"")</f>
        <v/>
      </c>
      <c r="H1781" s="31"/>
      <c r="I1781" s="32">
        <f t="shared" si="112"/>
        <v>0</v>
      </c>
      <c r="J1781" s="33" t="str">
        <f t="shared" si="113"/>
        <v/>
      </c>
      <c r="K1781" s="2"/>
      <c r="L1781" s="15"/>
      <c r="M1781" s="34">
        <f t="shared" si="114"/>
        <v>0</v>
      </c>
    </row>
    <row r="1782" spans="1:13" x14ac:dyDescent="0.25">
      <c r="A1782" s="31"/>
      <c r="B1782" s="16" t="str">
        <f>IFERROR(VLOOKUP(A1782,Consolidado!$B$1:$L$1500,2,FALSE),"")</f>
        <v/>
      </c>
      <c r="C1782" s="16">
        <f>IFERROR(SUMIF(Consolidado!$B$1:$B$1500,VLOOKUP(RegistroPago!A1782,Consolidado!$B$1:$L$1500,1,FALSE),Consolidado!$G$1:$G$1500),"")</f>
        <v>0</v>
      </c>
      <c r="D1782" s="3"/>
      <c r="E1782" s="3"/>
      <c r="F1782" s="5" t="str">
        <f t="shared" si="111"/>
        <v/>
      </c>
      <c r="G1782" s="16" t="str">
        <f>IF(D1782&lt;&gt;"",D1782-VLOOKUP(A1782,Consolidado!$B$1:$L$1500,8,FALSE),"")</f>
        <v/>
      </c>
      <c r="H1782" s="31"/>
      <c r="I1782" s="32">
        <f t="shared" si="112"/>
        <v>0</v>
      </c>
      <c r="J1782" s="33" t="str">
        <f t="shared" si="113"/>
        <v/>
      </c>
      <c r="K1782" s="2"/>
      <c r="L1782" s="15"/>
      <c r="M1782" s="34">
        <f t="shared" si="114"/>
        <v>0</v>
      </c>
    </row>
    <row r="1783" spans="1:13" x14ac:dyDescent="0.25">
      <c r="A1783" s="31"/>
      <c r="B1783" s="16" t="str">
        <f>IFERROR(VLOOKUP(A1783,Consolidado!$B$1:$L$1500,2,FALSE),"")</f>
        <v/>
      </c>
      <c r="C1783" s="16">
        <f>IFERROR(SUMIF(Consolidado!$B$1:$B$1500,VLOOKUP(RegistroPago!A1783,Consolidado!$B$1:$L$1500,1,FALSE),Consolidado!$G$1:$G$1500),"")</f>
        <v>0</v>
      </c>
      <c r="D1783" s="3"/>
      <c r="E1783" s="3"/>
      <c r="F1783" s="5" t="str">
        <f t="shared" si="111"/>
        <v/>
      </c>
      <c r="G1783" s="16" t="str">
        <f>IF(D1783&lt;&gt;"",D1783-VLOOKUP(A1783,Consolidado!$B$1:$L$1500,8,FALSE),"")</f>
        <v/>
      </c>
      <c r="H1783" s="31"/>
      <c r="I1783" s="32">
        <f t="shared" si="112"/>
        <v>0</v>
      </c>
      <c r="J1783" s="33" t="str">
        <f t="shared" si="113"/>
        <v/>
      </c>
      <c r="K1783" s="2"/>
      <c r="L1783" s="15"/>
      <c r="M1783" s="34">
        <f t="shared" si="114"/>
        <v>0</v>
      </c>
    </row>
    <row r="1784" spans="1:13" x14ac:dyDescent="0.25">
      <c r="A1784" s="31"/>
      <c r="B1784" s="16" t="str">
        <f>IFERROR(VLOOKUP(A1784,Consolidado!$B$1:$L$1500,2,FALSE),"")</f>
        <v/>
      </c>
      <c r="C1784" s="16">
        <f>IFERROR(SUMIF(Consolidado!$B$1:$B$1500,VLOOKUP(RegistroPago!A1784,Consolidado!$B$1:$L$1500,1,FALSE),Consolidado!$G$1:$G$1500),"")</f>
        <v>0</v>
      </c>
      <c r="D1784" s="3"/>
      <c r="E1784" s="3"/>
      <c r="F1784" s="5" t="str">
        <f t="shared" si="111"/>
        <v/>
      </c>
      <c r="G1784" s="16" t="str">
        <f>IF(D1784&lt;&gt;"",D1784-VLOOKUP(A1784,Consolidado!$B$1:$L$1500,8,FALSE),"")</f>
        <v/>
      </c>
      <c r="H1784" s="31"/>
      <c r="I1784" s="32">
        <f t="shared" si="112"/>
        <v>0</v>
      </c>
      <c r="J1784" s="33" t="str">
        <f t="shared" si="113"/>
        <v/>
      </c>
      <c r="K1784" s="2"/>
      <c r="L1784" s="15"/>
      <c r="M1784" s="34">
        <f t="shared" si="114"/>
        <v>0</v>
      </c>
    </row>
    <row r="1785" spans="1:13" x14ac:dyDescent="0.25">
      <c r="A1785" s="31"/>
      <c r="B1785" s="16" t="str">
        <f>IFERROR(VLOOKUP(A1785,Consolidado!$B$1:$L$1500,2,FALSE),"")</f>
        <v/>
      </c>
      <c r="C1785" s="16">
        <f>IFERROR(SUMIF(Consolidado!$B$1:$B$1500,VLOOKUP(RegistroPago!A1785,Consolidado!$B$1:$L$1500,1,FALSE),Consolidado!$G$1:$G$1500),"")</f>
        <v>0</v>
      </c>
      <c r="D1785" s="3"/>
      <c r="E1785" s="3"/>
      <c r="F1785" s="5" t="str">
        <f t="shared" si="111"/>
        <v/>
      </c>
      <c r="G1785" s="16" t="str">
        <f>IF(D1785&lt;&gt;"",D1785-VLOOKUP(A1785,Consolidado!$B$1:$L$1500,8,FALSE),"")</f>
        <v/>
      </c>
      <c r="H1785" s="31"/>
      <c r="I1785" s="32">
        <f t="shared" si="112"/>
        <v>0</v>
      </c>
      <c r="J1785" s="33" t="str">
        <f t="shared" si="113"/>
        <v/>
      </c>
      <c r="K1785" s="2"/>
      <c r="L1785" s="15"/>
      <c r="M1785" s="34">
        <f t="shared" si="114"/>
        <v>0</v>
      </c>
    </row>
    <row r="1786" spans="1:13" x14ac:dyDescent="0.25">
      <c r="A1786" s="31"/>
      <c r="B1786" s="16" t="str">
        <f>IFERROR(VLOOKUP(A1786,Consolidado!$B$1:$L$1500,2,FALSE),"")</f>
        <v/>
      </c>
      <c r="C1786" s="16">
        <f>IFERROR(SUMIF(Consolidado!$B$1:$B$1500,VLOOKUP(RegistroPago!A1786,Consolidado!$B$1:$L$1500,1,FALSE),Consolidado!$G$1:$G$1500),"")</f>
        <v>0</v>
      </c>
      <c r="D1786" s="3"/>
      <c r="E1786" s="3"/>
      <c r="F1786" s="5" t="str">
        <f t="shared" si="111"/>
        <v/>
      </c>
      <c r="G1786" s="16" t="str">
        <f>IF(D1786&lt;&gt;"",D1786-VLOOKUP(A1786,Consolidado!$B$1:$L$1500,8,FALSE),"")</f>
        <v/>
      </c>
      <c r="H1786" s="31"/>
      <c r="I1786" s="32">
        <f t="shared" si="112"/>
        <v>0</v>
      </c>
      <c r="J1786" s="33" t="str">
        <f t="shared" si="113"/>
        <v/>
      </c>
      <c r="K1786" s="2"/>
      <c r="L1786" s="15"/>
      <c r="M1786" s="34">
        <f t="shared" si="114"/>
        <v>0</v>
      </c>
    </row>
    <row r="1787" spans="1:13" x14ac:dyDescent="0.25">
      <c r="A1787" s="31"/>
      <c r="B1787" s="16" t="str">
        <f>IFERROR(VLOOKUP(A1787,Consolidado!$B$1:$L$1500,2,FALSE),"")</f>
        <v/>
      </c>
      <c r="C1787" s="16">
        <f>IFERROR(SUMIF(Consolidado!$B$1:$B$1500,VLOOKUP(RegistroPago!A1787,Consolidado!$B$1:$L$1500,1,FALSE),Consolidado!$G$1:$G$1500),"")</f>
        <v>0</v>
      </c>
      <c r="D1787" s="3"/>
      <c r="E1787" s="3"/>
      <c r="F1787" s="5" t="str">
        <f t="shared" si="111"/>
        <v/>
      </c>
      <c r="G1787" s="16" t="str">
        <f>IF(D1787&lt;&gt;"",D1787-VLOOKUP(A1787,Consolidado!$B$1:$L$1500,8,FALSE),"")</f>
        <v/>
      </c>
      <c r="H1787" s="31"/>
      <c r="I1787" s="32">
        <f t="shared" si="112"/>
        <v>0</v>
      </c>
      <c r="J1787" s="33" t="str">
        <f t="shared" si="113"/>
        <v/>
      </c>
      <c r="K1787" s="2"/>
      <c r="L1787" s="15"/>
      <c r="M1787" s="34">
        <f t="shared" si="114"/>
        <v>0</v>
      </c>
    </row>
    <row r="1788" spans="1:13" x14ac:dyDescent="0.25">
      <c r="A1788" s="31"/>
      <c r="B1788" s="16" t="str">
        <f>IFERROR(VLOOKUP(A1788,Consolidado!$B$1:$L$1500,2,FALSE),"")</f>
        <v/>
      </c>
      <c r="C1788" s="16">
        <f>IFERROR(SUMIF(Consolidado!$B$1:$B$1500,VLOOKUP(RegistroPago!A1788,Consolidado!$B$1:$L$1500,1,FALSE),Consolidado!$G$1:$G$1500),"")</f>
        <v>0</v>
      </c>
      <c r="D1788" s="3"/>
      <c r="E1788" s="3"/>
      <c r="F1788" s="5" t="str">
        <f t="shared" si="111"/>
        <v/>
      </c>
      <c r="G1788" s="16" t="str">
        <f>IF(D1788&lt;&gt;"",D1788-VLOOKUP(A1788,Consolidado!$B$1:$L$1500,8,FALSE),"")</f>
        <v/>
      </c>
      <c r="H1788" s="31"/>
      <c r="I1788" s="32">
        <f t="shared" si="112"/>
        <v>0</v>
      </c>
      <c r="J1788" s="33" t="str">
        <f t="shared" si="113"/>
        <v/>
      </c>
      <c r="K1788" s="2"/>
      <c r="L1788" s="15"/>
      <c r="M1788" s="34">
        <f t="shared" si="114"/>
        <v>0</v>
      </c>
    </row>
    <row r="1789" spans="1:13" x14ac:dyDescent="0.25">
      <c r="A1789" s="31"/>
      <c r="B1789" s="16" t="str">
        <f>IFERROR(VLOOKUP(A1789,Consolidado!$B$1:$L$1500,2,FALSE),"")</f>
        <v/>
      </c>
      <c r="C1789" s="16">
        <f>IFERROR(SUMIF(Consolidado!$B$1:$B$1500,VLOOKUP(RegistroPago!A1789,Consolidado!$B$1:$L$1500,1,FALSE),Consolidado!$G$1:$G$1500),"")</f>
        <v>0</v>
      </c>
      <c r="D1789" s="3"/>
      <c r="E1789" s="3"/>
      <c r="F1789" s="5" t="str">
        <f t="shared" si="111"/>
        <v/>
      </c>
      <c r="G1789" s="16" t="str">
        <f>IF(D1789&lt;&gt;"",D1789-VLOOKUP(A1789,Consolidado!$B$1:$L$1500,8,FALSE),"")</f>
        <v/>
      </c>
      <c r="H1789" s="31"/>
      <c r="I1789" s="32">
        <f t="shared" si="112"/>
        <v>0</v>
      </c>
      <c r="J1789" s="33" t="str">
        <f t="shared" si="113"/>
        <v/>
      </c>
      <c r="K1789" s="2"/>
      <c r="L1789" s="15"/>
      <c r="M1789" s="34">
        <f t="shared" si="114"/>
        <v>0</v>
      </c>
    </row>
    <row r="1790" spans="1:13" x14ac:dyDescent="0.25">
      <c r="A1790" s="31"/>
      <c r="B1790" s="16" t="str">
        <f>IFERROR(VLOOKUP(A1790,Consolidado!$B$1:$L$1500,2,FALSE),"")</f>
        <v/>
      </c>
      <c r="C1790" s="16">
        <f>IFERROR(SUMIF(Consolidado!$B$1:$B$1500,VLOOKUP(RegistroPago!A1790,Consolidado!$B$1:$L$1500,1,FALSE),Consolidado!$G$1:$G$1500),"")</f>
        <v>0</v>
      </c>
      <c r="D1790" s="3"/>
      <c r="E1790" s="3"/>
      <c r="F1790" s="5" t="str">
        <f t="shared" si="111"/>
        <v/>
      </c>
      <c r="G1790" s="16" t="str">
        <f>IF(D1790&lt;&gt;"",D1790-VLOOKUP(A1790,Consolidado!$B$1:$L$1500,8,FALSE),"")</f>
        <v/>
      </c>
      <c r="H1790" s="31"/>
      <c r="I1790" s="32">
        <f t="shared" si="112"/>
        <v>0</v>
      </c>
      <c r="J1790" s="33" t="str">
        <f t="shared" si="113"/>
        <v/>
      </c>
      <c r="K1790" s="2"/>
      <c r="L1790" s="15"/>
      <c r="M1790" s="34">
        <f t="shared" si="114"/>
        <v>0</v>
      </c>
    </row>
    <row r="1791" spans="1:13" x14ac:dyDescent="0.25">
      <c r="A1791" s="31"/>
      <c r="B1791" s="16" t="str">
        <f>IFERROR(VLOOKUP(A1791,Consolidado!$B$1:$L$1500,2,FALSE),"")</f>
        <v/>
      </c>
      <c r="C1791" s="16">
        <f>IFERROR(SUMIF(Consolidado!$B$1:$B$1500,VLOOKUP(RegistroPago!A1791,Consolidado!$B$1:$L$1500,1,FALSE),Consolidado!$G$1:$G$1500),"")</f>
        <v>0</v>
      </c>
      <c r="D1791" s="3"/>
      <c r="E1791" s="3"/>
      <c r="F1791" s="5" t="str">
        <f t="shared" si="111"/>
        <v/>
      </c>
      <c r="G1791" s="16" t="str">
        <f>IF(D1791&lt;&gt;"",D1791-VLOOKUP(A1791,Consolidado!$B$1:$L$1500,8,FALSE),"")</f>
        <v/>
      </c>
      <c r="H1791" s="31"/>
      <c r="I1791" s="32">
        <f t="shared" si="112"/>
        <v>0</v>
      </c>
      <c r="J1791" s="33" t="str">
        <f t="shared" si="113"/>
        <v/>
      </c>
      <c r="K1791" s="2"/>
      <c r="L1791" s="15"/>
      <c r="M1791" s="34">
        <f t="shared" si="114"/>
        <v>0</v>
      </c>
    </row>
    <row r="1792" spans="1:13" x14ac:dyDescent="0.25">
      <c r="A1792" s="31"/>
      <c r="B1792" s="16" t="str">
        <f>IFERROR(VLOOKUP(A1792,Consolidado!$B$1:$L$1500,2,FALSE),"")</f>
        <v/>
      </c>
      <c r="C1792" s="16">
        <f>IFERROR(SUMIF(Consolidado!$B$1:$B$1500,VLOOKUP(RegistroPago!A1792,Consolidado!$B$1:$L$1500,1,FALSE),Consolidado!$G$1:$G$1500),"")</f>
        <v>0</v>
      </c>
      <c r="D1792" s="3"/>
      <c r="E1792" s="3"/>
      <c r="F1792" s="5" t="str">
        <f t="shared" si="111"/>
        <v/>
      </c>
      <c r="G1792" s="16" t="str">
        <f>IF(D1792&lt;&gt;"",D1792-VLOOKUP(A1792,Consolidado!$B$1:$L$1500,8,FALSE),"")</f>
        <v/>
      </c>
      <c r="H1792" s="31"/>
      <c r="I1792" s="32">
        <f t="shared" si="112"/>
        <v>0</v>
      </c>
      <c r="J1792" s="33" t="str">
        <f t="shared" si="113"/>
        <v/>
      </c>
      <c r="K1792" s="2"/>
      <c r="L1792" s="15"/>
      <c r="M1792" s="34">
        <f t="shared" si="114"/>
        <v>0</v>
      </c>
    </row>
    <row r="1793" spans="1:13" x14ac:dyDescent="0.25">
      <c r="A1793" s="31"/>
      <c r="B1793" s="16" t="str">
        <f>IFERROR(VLOOKUP(A1793,Consolidado!$B$1:$L$1500,2,FALSE),"")</f>
        <v/>
      </c>
      <c r="C1793" s="16">
        <f>IFERROR(SUMIF(Consolidado!$B$1:$B$1500,VLOOKUP(RegistroPago!A1793,Consolidado!$B$1:$L$1500,1,FALSE),Consolidado!$G$1:$G$1500),"")</f>
        <v>0</v>
      </c>
      <c r="D1793" s="3"/>
      <c r="E1793" s="3"/>
      <c r="F1793" s="5" t="str">
        <f t="shared" si="111"/>
        <v/>
      </c>
      <c r="G1793" s="16" t="str">
        <f>IF(D1793&lt;&gt;"",D1793-VLOOKUP(A1793,Consolidado!$B$1:$L$1500,8,FALSE),"")</f>
        <v/>
      </c>
      <c r="H1793" s="31"/>
      <c r="I1793" s="32">
        <f t="shared" si="112"/>
        <v>0</v>
      </c>
      <c r="J1793" s="33" t="str">
        <f t="shared" si="113"/>
        <v/>
      </c>
      <c r="K1793" s="2"/>
      <c r="L1793" s="15"/>
      <c r="M1793" s="34">
        <f t="shared" si="114"/>
        <v>0</v>
      </c>
    </row>
    <row r="1794" spans="1:13" x14ac:dyDescent="0.25">
      <c r="A1794" s="31"/>
      <c r="B1794" s="16" t="str">
        <f>IFERROR(VLOOKUP(A1794,Consolidado!$B$1:$L$1500,2,FALSE),"")</f>
        <v/>
      </c>
      <c r="C1794" s="16">
        <f>IFERROR(SUMIF(Consolidado!$B$1:$B$1500,VLOOKUP(RegistroPago!A1794,Consolidado!$B$1:$L$1500,1,FALSE),Consolidado!$G$1:$G$1500),"")</f>
        <v>0</v>
      </c>
      <c r="D1794" s="3"/>
      <c r="E1794" s="3"/>
      <c r="F1794" s="5" t="str">
        <f t="shared" si="111"/>
        <v/>
      </c>
      <c r="G1794" s="16" t="str">
        <f>IF(D1794&lt;&gt;"",D1794-VLOOKUP(A1794,Consolidado!$B$1:$L$1500,8,FALSE),"")</f>
        <v/>
      </c>
      <c r="H1794" s="31"/>
      <c r="I1794" s="32">
        <f t="shared" si="112"/>
        <v>0</v>
      </c>
      <c r="J1794" s="33" t="str">
        <f t="shared" si="113"/>
        <v/>
      </c>
      <c r="K1794" s="2"/>
      <c r="L1794" s="15"/>
      <c r="M1794" s="34">
        <f t="shared" si="114"/>
        <v>0</v>
      </c>
    </row>
    <row r="1795" spans="1:13" x14ac:dyDescent="0.25">
      <c r="A1795" s="31"/>
      <c r="B1795" s="16" t="str">
        <f>IFERROR(VLOOKUP(A1795,Consolidado!$B$1:$L$1500,2,FALSE),"")</f>
        <v/>
      </c>
      <c r="C1795" s="16">
        <f>IFERROR(SUMIF(Consolidado!$B$1:$B$1500,VLOOKUP(RegistroPago!A1795,Consolidado!$B$1:$L$1500,1,FALSE),Consolidado!$G$1:$G$1500),"")</f>
        <v>0</v>
      </c>
      <c r="D1795" s="3"/>
      <c r="E1795" s="3"/>
      <c r="F1795" s="5" t="str">
        <f t="shared" ref="F1795:F1858" si="115">IF(COUNTIF($E$2:$E$2000,E1795)&gt;1,"Ya registrado","")</f>
        <v/>
      </c>
      <c r="G1795" s="16" t="str">
        <f>IF(D1795&lt;&gt;"",D1795-VLOOKUP(A1795,Consolidado!$B$1:$L$1500,8,FALSE),"")</f>
        <v/>
      </c>
      <c r="H1795" s="31"/>
      <c r="I1795" s="32">
        <f t="shared" si="112"/>
        <v>0</v>
      </c>
      <c r="J1795" s="33" t="str">
        <f t="shared" si="113"/>
        <v/>
      </c>
      <c r="K1795" s="2"/>
      <c r="L1795" s="15"/>
      <c r="M1795" s="34">
        <f t="shared" si="114"/>
        <v>0</v>
      </c>
    </row>
    <row r="1796" spans="1:13" x14ac:dyDescent="0.25">
      <c r="A1796" s="31"/>
      <c r="B1796" s="16" t="str">
        <f>IFERROR(VLOOKUP(A1796,Consolidado!$B$1:$L$1500,2,FALSE),"")</f>
        <v/>
      </c>
      <c r="C1796" s="16">
        <f>IFERROR(SUMIF(Consolidado!$B$1:$B$1500,VLOOKUP(RegistroPago!A1796,Consolidado!$B$1:$L$1500,1,FALSE),Consolidado!$G$1:$G$1500),"")</f>
        <v>0</v>
      </c>
      <c r="D1796" s="3"/>
      <c r="E1796" s="3"/>
      <c r="F1796" s="5" t="str">
        <f t="shared" si="115"/>
        <v/>
      </c>
      <c r="G1796" s="16" t="str">
        <f>IF(D1796&lt;&gt;"",D1796-VLOOKUP(A1796,Consolidado!$B$1:$L$1500,8,FALSE),"")</f>
        <v/>
      </c>
      <c r="H1796" s="31"/>
      <c r="I1796" s="32">
        <f t="shared" si="112"/>
        <v>0</v>
      </c>
      <c r="J1796" s="33" t="str">
        <f t="shared" si="113"/>
        <v/>
      </c>
      <c r="K1796" s="2"/>
      <c r="L1796" s="15"/>
      <c r="M1796" s="34">
        <f t="shared" si="114"/>
        <v>0</v>
      </c>
    </row>
    <row r="1797" spans="1:13" x14ac:dyDescent="0.25">
      <c r="A1797" s="31"/>
      <c r="B1797" s="16" t="str">
        <f>IFERROR(VLOOKUP(A1797,Consolidado!$B$1:$L$1500,2,FALSE),"")</f>
        <v/>
      </c>
      <c r="C1797" s="16">
        <f>IFERROR(SUMIF(Consolidado!$B$1:$B$1500,VLOOKUP(RegistroPago!A1797,Consolidado!$B$1:$L$1500,1,FALSE),Consolidado!$G$1:$G$1500),"")</f>
        <v>0</v>
      </c>
      <c r="D1797" s="3"/>
      <c r="E1797" s="3"/>
      <c r="F1797" s="5" t="str">
        <f t="shared" si="115"/>
        <v/>
      </c>
      <c r="G1797" s="16" t="str">
        <f>IF(D1797&lt;&gt;"",D1797-VLOOKUP(A1797,Consolidado!$B$1:$L$1500,8,FALSE),"")</f>
        <v/>
      </c>
      <c r="H1797" s="31"/>
      <c r="I1797" s="32">
        <f t="shared" si="112"/>
        <v>0</v>
      </c>
      <c r="J1797" s="33" t="str">
        <f t="shared" si="113"/>
        <v/>
      </c>
      <c r="K1797" s="2"/>
      <c r="L1797" s="15"/>
      <c r="M1797" s="34">
        <f t="shared" si="114"/>
        <v>0</v>
      </c>
    </row>
    <row r="1798" spans="1:13" x14ac:dyDescent="0.25">
      <c r="A1798" s="31"/>
      <c r="B1798" s="16" t="str">
        <f>IFERROR(VLOOKUP(A1798,Consolidado!$B$1:$L$1500,2,FALSE),"")</f>
        <v/>
      </c>
      <c r="C1798" s="16">
        <f>IFERROR(SUMIF(Consolidado!$B$1:$B$1500,VLOOKUP(RegistroPago!A1798,Consolidado!$B$1:$L$1500,1,FALSE),Consolidado!$G$1:$G$1500),"")</f>
        <v>0</v>
      </c>
      <c r="D1798" s="3"/>
      <c r="E1798" s="3"/>
      <c r="F1798" s="5" t="str">
        <f t="shared" si="115"/>
        <v/>
      </c>
      <c r="G1798" s="16" t="str">
        <f>IF(D1798&lt;&gt;"",D1798-VLOOKUP(A1798,Consolidado!$B$1:$L$1500,8,FALSE),"")</f>
        <v/>
      </c>
      <c r="H1798" s="31"/>
      <c r="I1798" s="32">
        <f t="shared" si="112"/>
        <v>0</v>
      </c>
      <c r="J1798" s="33" t="str">
        <f t="shared" si="113"/>
        <v/>
      </c>
      <c r="K1798" s="2"/>
      <c r="L1798" s="15"/>
      <c r="M1798" s="34">
        <f t="shared" si="114"/>
        <v>0</v>
      </c>
    </row>
    <row r="1799" spans="1:13" x14ac:dyDescent="0.25">
      <c r="A1799" s="31"/>
      <c r="B1799" s="16" t="str">
        <f>IFERROR(VLOOKUP(A1799,Consolidado!$B$1:$L$1500,2,FALSE),"")</f>
        <v/>
      </c>
      <c r="C1799" s="16">
        <f>IFERROR(SUMIF(Consolidado!$B$1:$B$1500,VLOOKUP(RegistroPago!A1799,Consolidado!$B$1:$L$1500,1,FALSE),Consolidado!$G$1:$G$1500),"")</f>
        <v>0</v>
      </c>
      <c r="D1799" s="3"/>
      <c r="E1799" s="3"/>
      <c r="F1799" s="5" t="str">
        <f t="shared" si="115"/>
        <v/>
      </c>
      <c r="G1799" s="16" t="str">
        <f>IF(D1799&lt;&gt;"",D1799-VLOOKUP(A1799,Consolidado!$B$1:$L$1500,8,FALSE),"")</f>
        <v/>
      </c>
      <c r="H1799" s="31"/>
      <c r="I1799" s="32">
        <f t="shared" si="112"/>
        <v>0</v>
      </c>
      <c r="J1799" s="33" t="str">
        <f t="shared" si="113"/>
        <v/>
      </c>
      <c r="K1799" s="2"/>
      <c r="L1799" s="15"/>
      <c r="M1799" s="34">
        <f t="shared" si="114"/>
        <v>0</v>
      </c>
    </row>
    <row r="1800" spans="1:13" x14ac:dyDescent="0.25">
      <c r="A1800" s="31"/>
      <c r="B1800" s="16" t="str">
        <f>IFERROR(VLOOKUP(A1800,Consolidado!$B$1:$L$1500,2,FALSE),"")</f>
        <v/>
      </c>
      <c r="C1800" s="16">
        <f>IFERROR(SUMIF(Consolidado!$B$1:$B$1500,VLOOKUP(RegistroPago!A1800,Consolidado!$B$1:$L$1500,1,FALSE),Consolidado!$G$1:$G$1500),"")</f>
        <v>0</v>
      </c>
      <c r="D1800" s="3"/>
      <c r="E1800" s="3"/>
      <c r="F1800" s="5" t="str">
        <f t="shared" si="115"/>
        <v/>
      </c>
      <c r="G1800" s="16" t="str">
        <f>IF(D1800&lt;&gt;"",D1800-VLOOKUP(A1800,Consolidado!$B$1:$L$1500,8,FALSE),"")</f>
        <v/>
      </c>
      <c r="H1800" s="31"/>
      <c r="I1800" s="32">
        <f t="shared" si="112"/>
        <v>0</v>
      </c>
      <c r="J1800" s="33" t="str">
        <f t="shared" si="113"/>
        <v/>
      </c>
      <c r="K1800" s="2"/>
      <c r="L1800" s="15"/>
      <c r="M1800" s="34">
        <f t="shared" si="114"/>
        <v>0</v>
      </c>
    </row>
    <row r="1801" spans="1:13" x14ac:dyDescent="0.25">
      <c r="A1801" s="31"/>
      <c r="B1801" s="16" t="str">
        <f>IFERROR(VLOOKUP(A1801,Consolidado!$B$1:$L$1500,2,FALSE),"")</f>
        <v/>
      </c>
      <c r="C1801" s="16">
        <f>IFERROR(SUMIF(Consolidado!$B$1:$B$1500,VLOOKUP(RegistroPago!A1801,Consolidado!$B$1:$L$1500,1,FALSE),Consolidado!$G$1:$G$1500),"")</f>
        <v>0</v>
      </c>
      <c r="D1801" s="3"/>
      <c r="E1801" s="3"/>
      <c r="F1801" s="5" t="str">
        <f t="shared" si="115"/>
        <v/>
      </c>
      <c r="G1801" s="16" t="str">
        <f>IF(D1801&lt;&gt;"",D1801-VLOOKUP(A1801,Consolidado!$B$1:$L$1500,8,FALSE),"")</f>
        <v/>
      </c>
      <c r="H1801" s="31"/>
      <c r="I1801" s="32">
        <f t="shared" si="112"/>
        <v>0</v>
      </c>
      <c r="J1801" s="33" t="str">
        <f t="shared" si="113"/>
        <v/>
      </c>
      <c r="K1801" s="2"/>
      <c r="L1801" s="15"/>
      <c r="M1801" s="34">
        <f t="shared" si="114"/>
        <v>0</v>
      </c>
    </row>
    <row r="1802" spans="1:13" x14ac:dyDescent="0.25">
      <c r="A1802" s="31"/>
      <c r="B1802" s="16" t="str">
        <f>IFERROR(VLOOKUP(A1802,Consolidado!$B$1:$L$1500,2,FALSE),"")</f>
        <v/>
      </c>
      <c r="C1802" s="16">
        <f>IFERROR(SUMIF(Consolidado!$B$1:$B$1500,VLOOKUP(RegistroPago!A1802,Consolidado!$B$1:$L$1500,1,FALSE),Consolidado!$G$1:$G$1500),"")</f>
        <v>0</v>
      </c>
      <c r="D1802" s="3"/>
      <c r="E1802" s="3"/>
      <c r="F1802" s="5" t="str">
        <f t="shared" si="115"/>
        <v/>
      </c>
      <c r="G1802" s="16" t="str">
        <f>IF(D1802&lt;&gt;"",D1802-VLOOKUP(A1802,Consolidado!$B$1:$L$1500,8,FALSE),"")</f>
        <v/>
      </c>
      <c r="H1802" s="31"/>
      <c r="I1802" s="32">
        <f t="shared" si="112"/>
        <v>0</v>
      </c>
      <c r="J1802" s="33" t="str">
        <f t="shared" si="113"/>
        <v/>
      </c>
      <c r="K1802" s="2"/>
      <c r="L1802" s="15"/>
      <c r="M1802" s="34">
        <f t="shared" si="114"/>
        <v>0</v>
      </c>
    </row>
    <row r="1803" spans="1:13" x14ac:dyDescent="0.25">
      <c r="A1803" s="31"/>
      <c r="B1803" s="16" t="str">
        <f>IFERROR(VLOOKUP(A1803,Consolidado!$B$1:$L$1500,2,FALSE),"")</f>
        <v/>
      </c>
      <c r="C1803" s="16">
        <f>IFERROR(SUMIF(Consolidado!$B$1:$B$1500,VLOOKUP(RegistroPago!A1803,Consolidado!$B$1:$L$1500,1,FALSE),Consolidado!$G$1:$G$1500),"")</f>
        <v>0</v>
      </c>
      <c r="D1803" s="3"/>
      <c r="E1803" s="3"/>
      <c r="F1803" s="5" t="str">
        <f t="shared" si="115"/>
        <v/>
      </c>
      <c r="G1803" s="16" t="str">
        <f>IF(D1803&lt;&gt;"",D1803-VLOOKUP(A1803,Consolidado!$B$1:$L$1500,8,FALSE),"")</f>
        <v/>
      </c>
      <c r="H1803" s="31"/>
      <c r="I1803" s="32">
        <f t="shared" si="112"/>
        <v>0</v>
      </c>
      <c r="J1803" s="33" t="str">
        <f t="shared" si="113"/>
        <v/>
      </c>
      <c r="K1803" s="2"/>
      <c r="L1803" s="15"/>
      <c r="M1803" s="34">
        <f t="shared" si="114"/>
        <v>0</v>
      </c>
    </row>
    <row r="1804" spans="1:13" x14ac:dyDescent="0.25">
      <c r="A1804" s="31"/>
      <c r="B1804" s="16" t="str">
        <f>IFERROR(VLOOKUP(A1804,Consolidado!$B$1:$L$1500,2,FALSE),"")</f>
        <v/>
      </c>
      <c r="C1804" s="16">
        <f>IFERROR(SUMIF(Consolidado!$B$1:$B$1500,VLOOKUP(RegistroPago!A1804,Consolidado!$B$1:$L$1500,1,FALSE),Consolidado!$G$1:$G$1500),"")</f>
        <v>0</v>
      </c>
      <c r="D1804" s="3"/>
      <c r="E1804" s="3"/>
      <c r="F1804" s="5" t="str">
        <f t="shared" si="115"/>
        <v/>
      </c>
      <c r="G1804" s="16" t="str">
        <f>IF(D1804&lt;&gt;"",D1804-VLOOKUP(A1804,Consolidado!$B$1:$L$1500,8,FALSE),"")</f>
        <v/>
      </c>
      <c r="H1804" s="31"/>
      <c r="I1804" s="32">
        <f t="shared" si="112"/>
        <v>0</v>
      </c>
      <c r="J1804" s="33" t="str">
        <f t="shared" si="113"/>
        <v/>
      </c>
      <c r="K1804" s="2"/>
      <c r="L1804" s="15"/>
      <c r="M1804" s="34">
        <f t="shared" si="114"/>
        <v>0</v>
      </c>
    </row>
    <row r="1805" spans="1:13" x14ac:dyDescent="0.25">
      <c r="A1805" s="31"/>
      <c r="B1805" s="16" t="str">
        <f>IFERROR(VLOOKUP(A1805,Consolidado!$B$1:$L$1500,2,FALSE),"")</f>
        <v/>
      </c>
      <c r="C1805" s="16">
        <f>IFERROR(SUMIF(Consolidado!$B$1:$B$1500,VLOOKUP(RegistroPago!A1805,Consolidado!$B$1:$L$1500,1,FALSE),Consolidado!$G$1:$G$1500),"")</f>
        <v>0</v>
      </c>
      <c r="D1805" s="3"/>
      <c r="E1805" s="3"/>
      <c r="F1805" s="5" t="str">
        <f t="shared" si="115"/>
        <v/>
      </c>
      <c r="G1805" s="16" t="str">
        <f>IF(D1805&lt;&gt;"",D1805-VLOOKUP(A1805,Consolidado!$B$1:$L$1500,8,FALSE),"")</f>
        <v/>
      </c>
      <c r="H1805" s="31"/>
      <c r="I1805" s="32">
        <f t="shared" si="112"/>
        <v>0</v>
      </c>
      <c r="J1805" s="33" t="str">
        <f t="shared" si="113"/>
        <v/>
      </c>
      <c r="K1805" s="2"/>
      <c r="L1805" s="15"/>
      <c r="M1805" s="34">
        <f t="shared" si="114"/>
        <v>0</v>
      </c>
    </row>
    <row r="1806" spans="1:13" x14ac:dyDescent="0.25">
      <c r="A1806" s="31"/>
      <c r="B1806" s="16" t="str">
        <f>IFERROR(VLOOKUP(A1806,Consolidado!$B$1:$L$1500,2,FALSE),"")</f>
        <v/>
      </c>
      <c r="C1806" s="16">
        <f>IFERROR(SUMIF(Consolidado!$B$1:$B$1500,VLOOKUP(RegistroPago!A1806,Consolidado!$B$1:$L$1500,1,FALSE),Consolidado!$G$1:$G$1500),"")</f>
        <v>0</v>
      </c>
      <c r="D1806" s="3"/>
      <c r="E1806" s="3"/>
      <c r="F1806" s="5" t="str">
        <f t="shared" si="115"/>
        <v/>
      </c>
      <c r="G1806" s="16" t="str">
        <f>IF(D1806&lt;&gt;"",D1806-VLOOKUP(A1806,Consolidado!$B$1:$L$1500,8,FALSE),"")</f>
        <v/>
      </c>
      <c r="H1806" s="31"/>
      <c r="I1806" s="32">
        <f t="shared" si="112"/>
        <v>0</v>
      </c>
      <c r="J1806" s="33" t="str">
        <f t="shared" si="113"/>
        <v/>
      </c>
      <c r="K1806" s="2"/>
      <c r="L1806" s="15"/>
      <c r="M1806" s="34">
        <f t="shared" si="114"/>
        <v>0</v>
      </c>
    </row>
    <row r="1807" spans="1:13" x14ac:dyDescent="0.25">
      <c r="A1807" s="31"/>
      <c r="B1807" s="16" t="str">
        <f>IFERROR(VLOOKUP(A1807,Consolidado!$B$1:$L$1500,2,FALSE),"")</f>
        <v/>
      </c>
      <c r="C1807" s="16">
        <f>IFERROR(SUMIF(Consolidado!$B$1:$B$1500,VLOOKUP(RegistroPago!A1807,Consolidado!$B$1:$L$1500,1,FALSE),Consolidado!$G$1:$G$1500),"")</f>
        <v>0</v>
      </c>
      <c r="D1807" s="3"/>
      <c r="E1807" s="3"/>
      <c r="F1807" s="5" t="str">
        <f t="shared" si="115"/>
        <v/>
      </c>
      <c r="G1807" s="16" t="str">
        <f>IF(D1807&lt;&gt;"",D1807-VLOOKUP(A1807,Consolidado!$B$1:$L$1500,8,FALSE),"")</f>
        <v/>
      </c>
      <c r="H1807" s="31"/>
      <c r="I1807" s="32">
        <f t="shared" si="112"/>
        <v>0</v>
      </c>
      <c r="J1807" s="33" t="str">
        <f t="shared" si="113"/>
        <v/>
      </c>
      <c r="K1807" s="2"/>
      <c r="L1807" s="15"/>
      <c r="M1807" s="34">
        <f t="shared" si="114"/>
        <v>0</v>
      </c>
    </row>
    <row r="1808" spans="1:13" x14ac:dyDescent="0.25">
      <c r="A1808" s="31"/>
      <c r="B1808" s="16" t="str">
        <f>IFERROR(VLOOKUP(A1808,Consolidado!$B$1:$L$1500,2,FALSE),"")</f>
        <v/>
      </c>
      <c r="C1808" s="16">
        <f>IFERROR(SUMIF(Consolidado!$B$1:$B$1500,VLOOKUP(RegistroPago!A1808,Consolidado!$B$1:$L$1500,1,FALSE),Consolidado!$G$1:$G$1500),"")</f>
        <v>0</v>
      </c>
      <c r="D1808" s="3"/>
      <c r="E1808" s="3"/>
      <c r="F1808" s="5" t="str">
        <f t="shared" si="115"/>
        <v/>
      </c>
      <c r="G1808" s="16" t="str">
        <f>IF(D1808&lt;&gt;"",D1808-VLOOKUP(A1808,Consolidado!$B$1:$L$1500,8,FALSE),"")</f>
        <v/>
      </c>
      <c r="H1808" s="31"/>
      <c r="I1808" s="32">
        <f t="shared" si="112"/>
        <v>0</v>
      </c>
      <c r="J1808" s="33" t="str">
        <f t="shared" si="113"/>
        <v/>
      </c>
      <c r="K1808" s="2"/>
      <c r="L1808" s="15"/>
      <c r="M1808" s="34">
        <f t="shared" si="114"/>
        <v>0</v>
      </c>
    </row>
    <row r="1809" spans="1:13" x14ac:dyDescent="0.25">
      <c r="A1809" s="31"/>
      <c r="B1809" s="16" t="str">
        <f>IFERROR(VLOOKUP(A1809,Consolidado!$B$1:$L$1500,2,FALSE),"")</f>
        <v/>
      </c>
      <c r="C1809" s="16">
        <f>IFERROR(SUMIF(Consolidado!$B$1:$B$1500,VLOOKUP(RegistroPago!A1809,Consolidado!$B$1:$L$1500,1,FALSE),Consolidado!$G$1:$G$1500),"")</f>
        <v>0</v>
      </c>
      <c r="D1809" s="3"/>
      <c r="E1809" s="3"/>
      <c r="F1809" s="5" t="str">
        <f t="shared" si="115"/>
        <v/>
      </c>
      <c r="G1809" s="16" t="str">
        <f>IF(D1809&lt;&gt;"",D1809-VLOOKUP(A1809,Consolidado!$B$1:$L$1500,8,FALSE),"")</f>
        <v/>
      </c>
      <c r="H1809" s="31"/>
      <c r="I1809" s="32">
        <f t="shared" si="112"/>
        <v>0</v>
      </c>
      <c r="J1809" s="33" t="str">
        <f t="shared" si="113"/>
        <v/>
      </c>
      <c r="K1809" s="2"/>
      <c r="L1809" s="15"/>
      <c r="M1809" s="34">
        <f t="shared" si="114"/>
        <v>0</v>
      </c>
    </row>
    <row r="1810" spans="1:13" x14ac:dyDescent="0.25">
      <c r="A1810" s="31"/>
      <c r="B1810" s="16" t="str">
        <f>IFERROR(VLOOKUP(A1810,Consolidado!$B$1:$L$1500,2,FALSE),"")</f>
        <v/>
      </c>
      <c r="C1810" s="16">
        <f>IFERROR(SUMIF(Consolidado!$B$1:$B$1500,VLOOKUP(RegistroPago!A1810,Consolidado!$B$1:$L$1500,1,FALSE),Consolidado!$G$1:$G$1500),"")</f>
        <v>0</v>
      </c>
      <c r="D1810" s="3"/>
      <c r="E1810" s="3"/>
      <c r="F1810" s="5" t="str">
        <f t="shared" si="115"/>
        <v/>
      </c>
      <c r="G1810" s="16" t="str">
        <f>IF(D1810&lt;&gt;"",D1810-VLOOKUP(A1810,Consolidado!$B$1:$L$1500,8,FALSE),"")</f>
        <v/>
      </c>
      <c r="H1810" s="31"/>
      <c r="I1810" s="32">
        <f t="shared" si="112"/>
        <v>0</v>
      </c>
      <c r="J1810" s="33" t="str">
        <f t="shared" si="113"/>
        <v/>
      </c>
      <c r="K1810" s="2"/>
      <c r="L1810" s="15"/>
      <c r="M1810" s="34">
        <f t="shared" si="114"/>
        <v>0</v>
      </c>
    </row>
    <row r="1811" spans="1:13" x14ac:dyDescent="0.25">
      <c r="A1811" s="31"/>
      <c r="B1811" s="16" t="str">
        <f>IFERROR(VLOOKUP(A1811,Consolidado!$B$1:$L$1500,2,FALSE),"")</f>
        <v/>
      </c>
      <c r="C1811" s="16">
        <f>IFERROR(SUMIF(Consolidado!$B$1:$B$1500,VLOOKUP(RegistroPago!A1811,Consolidado!$B$1:$L$1500,1,FALSE),Consolidado!$G$1:$G$1500),"")</f>
        <v>0</v>
      </c>
      <c r="D1811" s="3"/>
      <c r="E1811" s="3"/>
      <c r="F1811" s="5" t="str">
        <f t="shared" si="115"/>
        <v/>
      </c>
      <c r="G1811" s="16" t="str">
        <f>IF(D1811&lt;&gt;"",D1811-VLOOKUP(A1811,Consolidado!$B$1:$L$1500,8,FALSE),"")</f>
        <v/>
      </c>
      <c r="H1811" s="31"/>
      <c r="I1811" s="32">
        <f t="shared" si="112"/>
        <v>0</v>
      </c>
      <c r="J1811" s="33" t="str">
        <f t="shared" si="113"/>
        <v/>
      </c>
      <c r="K1811" s="2"/>
      <c r="L1811" s="15"/>
      <c r="M1811" s="34">
        <f t="shared" si="114"/>
        <v>0</v>
      </c>
    </row>
    <row r="1812" spans="1:13" x14ac:dyDescent="0.25">
      <c r="A1812" s="31"/>
      <c r="B1812" s="16" t="str">
        <f>IFERROR(VLOOKUP(A1812,Consolidado!$B$1:$L$1500,2,FALSE),"")</f>
        <v/>
      </c>
      <c r="C1812" s="16">
        <f>IFERROR(SUMIF(Consolidado!$B$1:$B$1500,VLOOKUP(RegistroPago!A1812,Consolidado!$B$1:$L$1500,1,FALSE),Consolidado!$G$1:$G$1500),"")</f>
        <v>0</v>
      </c>
      <c r="D1812" s="3"/>
      <c r="E1812" s="3"/>
      <c r="F1812" s="5" t="str">
        <f t="shared" si="115"/>
        <v/>
      </c>
      <c r="G1812" s="16" t="str">
        <f>IF(D1812&lt;&gt;"",D1812-VLOOKUP(A1812,Consolidado!$B$1:$L$1500,8,FALSE),"")</f>
        <v/>
      </c>
      <c r="H1812" s="31"/>
      <c r="I1812" s="32">
        <f t="shared" si="112"/>
        <v>0</v>
      </c>
      <c r="J1812" s="33" t="str">
        <f t="shared" si="113"/>
        <v/>
      </c>
      <c r="K1812" s="2"/>
      <c r="L1812" s="15"/>
      <c r="M1812" s="34">
        <f t="shared" si="114"/>
        <v>0</v>
      </c>
    </row>
    <row r="1813" spans="1:13" x14ac:dyDescent="0.25">
      <c r="A1813" s="31"/>
      <c r="B1813" s="16" t="str">
        <f>IFERROR(VLOOKUP(A1813,Consolidado!$B$1:$L$1500,2,FALSE),"")</f>
        <v/>
      </c>
      <c r="C1813" s="16">
        <f>IFERROR(SUMIF(Consolidado!$B$1:$B$1500,VLOOKUP(RegistroPago!A1813,Consolidado!$B$1:$L$1500,1,FALSE),Consolidado!$G$1:$G$1500),"")</f>
        <v>0</v>
      </c>
      <c r="D1813" s="3"/>
      <c r="E1813" s="3"/>
      <c r="F1813" s="5" t="str">
        <f t="shared" si="115"/>
        <v/>
      </c>
      <c r="G1813" s="16" t="str">
        <f>IF(D1813&lt;&gt;"",D1813-VLOOKUP(A1813,Consolidado!$B$1:$L$1500,8,FALSE),"")</f>
        <v/>
      </c>
      <c r="H1813" s="31"/>
      <c r="I1813" s="32">
        <f t="shared" si="112"/>
        <v>0</v>
      </c>
      <c r="J1813" s="33" t="str">
        <f t="shared" si="113"/>
        <v/>
      </c>
      <c r="K1813" s="2"/>
      <c r="L1813" s="15"/>
      <c r="M1813" s="34">
        <f t="shared" si="114"/>
        <v>0</v>
      </c>
    </row>
    <row r="1814" spans="1:13" x14ac:dyDescent="0.25">
      <c r="A1814" s="31"/>
      <c r="B1814" s="16" t="str">
        <f>IFERROR(VLOOKUP(A1814,Consolidado!$B$1:$L$1500,2,FALSE),"")</f>
        <v/>
      </c>
      <c r="C1814" s="16">
        <f>IFERROR(SUMIF(Consolidado!$B$1:$B$1500,VLOOKUP(RegistroPago!A1814,Consolidado!$B$1:$L$1500,1,FALSE),Consolidado!$G$1:$G$1500),"")</f>
        <v>0</v>
      </c>
      <c r="D1814" s="3"/>
      <c r="E1814" s="3"/>
      <c r="F1814" s="5" t="str">
        <f t="shared" si="115"/>
        <v/>
      </c>
      <c r="G1814" s="16" t="str">
        <f>IF(D1814&lt;&gt;"",D1814-VLOOKUP(A1814,Consolidado!$B$1:$L$1500,8,FALSE),"")</f>
        <v/>
      </c>
      <c r="H1814" s="31"/>
      <c r="I1814" s="32">
        <f t="shared" si="112"/>
        <v>0</v>
      </c>
      <c r="J1814" s="33" t="str">
        <f t="shared" si="113"/>
        <v/>
      </c>
      <c r="K1814" s="2"/>
      <c r="L1814" s="15"/>
      <c r="M1814" s="34">
        <f t="shared" si="114"/>
        <v>0</v>
      </c>
    </row>
    <row r="1815" spans="1:13" x14ac:dyDescent="0.25">
      <c r="A1815" s="31"/>
      <c r="B1815" s="16" t="str">
        <f>IFERROR(VLOOKUP(A1815,Consolidado!$B$1:$L$1500,2,FALSE),"")</f>
        <v/>
      </c>
      <c r="C1815" s="16">
        <f>IFERROR(SUMIF(Consolidado!$B$1:$B$1500,VLOOKUP(RegistroPago!A1815,Consolidado!$B$1:$L$1500,1,FALSE),Consolidado!$G$1:$G$1500),"")</f>
        <v>0</v>
      </c>
      <c r="D1815" s="3"/>
      <c r="E1815" s="3"/>
      <c r="F1815" s="5" t="str">
        <f t="shared" si="115"/>
        <v/>
      </c>
      <c r="G1815" s="16" t="str">
        <f>IF(D1815&lt;&gt;"",D1815-VLOOKUP(A1815,Consolidado!$B$1:$L$1500,8,FALSE),"")</f>
        <v/>
      </c>
      <c r="H1815" s="31"/>
      <c r="I1815" s="32">
        <f t="shared" si="112"/>
        <v>0</v>
      </c>
      <c r="J1815" s="33" t="str">
        <f t="shared" si="113"/>
        <v/>
      </c>
      <c r="K1815" s="2"/>
      <c r="L1815" s="15"/>
      <c r="M1815" s="34">
        <f t="shared" si="114"/>
        <v>0</v>
      </c>
    </row>
    <row r="1816" spans="1:13" x14ac:dyDescent="0.25">
      <c r="A1816" s="31"/>
      <c r="B1816" s="16" t="str">
        <f>IFERROR(VLOOKUP(A1816,Consolidado!$B$1:$L$1500,2,FALSE),"")</f>
        <v/>
      </c>
      <c r="C1816" s="16">
        <f>IFERROR(SUMIF(Consolidado!$B$1:$B$1500,VLOOKUP(RegistroPago!A1816,Consolidado!$B$1:$L$1500,1,FALSE),Consolidado!$G$1:$G$1500),"")</f>
        <v>0</v>
      </c>
      <c r="D1816" s="3"/>
      <c r="E1816" s="3"/>
      <c r="F1816" s="5" t="str">
        <f t="shared" si="115"/>
        <v/>
      </c>
      <c r="G1816" s="16" t="str">
        <f>IF(D1816&lt;&gt;"",D1816-VLOOKUP(A1816,Consolidado!$B$1:$L$1500,8,FALSE),"")</f>
        <v/>
      </c>
      <c r="H1816" s="31"/>
      <c r="I1816" s="32">
        <f t="shared" si="112"/>
        <v>0</v>
      </c>
      <c r="J1816" s="33" t="str">
        <f t="shared" si="113"/>
        <v/>
      </c>
      <c r="K1816" s="2"/>
      <c r="L1816" s="15"/>
      <c r="M1816" s="34">
        <f t="shared" si="114"/>
        <v>0</v>
      </c>
    </row>
    <row r="1817" spans="1:13" x14ac:dyDescent="0.25">
      <c r="A1817" s="31"/>
      <c r="B1817" s="16" t="str">
        <f>IFERROR(VLOOKUP(A1817,Consolidado!$B$1:$L$1500,2,FALSE),"")</f>
        <v/>
      </c>
      <c r="C1817" s="16">
        <f>IFERROR(SUMIF(Consolidado!$B$1:$B$1500,VLOOKUP(RegistroPago!A1817,Consolidado!$B$1:$L$1500,1,FALSE),Consolidado!$G$1:$G$1500),"")</f>
        <v>0</v>
      </c>
      <c r="D1817" s="3"/>
      <c r="E1817" s="3"/>
      <c r="F1817" s="5" t="str">
        <f t="shared" si="115"/>
        <v/>
      </c>
      <c r="G1817" s="16" t="str">
        <f>IF(D1817&lt;&gt;"",D1817-VLOOKUP(A1817,Consolidado!$B$1:$L$1500,8,FALSE),"")</f>
        <v/>
      </c>
      <c r="H1817" s="31"/>
      <c r="I1817" s="32">
        <f t="shared" si="112"/>
        <v>0</v>
      </c>
      <c r="J1817" s="33" t="str">
        <f t="shared" si="113"/>
        <v/>
      </c>
      <c r="K1817" s="2"/>
      <c r="L1817" s="15"/>
      <c r="M1817" s="34">
        <f t="shared" si="114"/>
        <v>0</v>
      </c>
    </row>
    <row r="1818" spans="1:13" x14ac:dyDescent="0.25">
      <c r="A1818" s="31"/>
      <c r="B1818" s="16" t="str">
        <f>IFERROR(VLOOKUP(A1818,Consolidado!$B$1:$L$1500,2,FALSE),"")</f>
        <v/>
      </c>
      <c r="C1818" s="16">
        <f>IFERROR(SUMIF(Consolidado!$B$1:$B$1500,VLOOKUP(RegistroPago!A1818,Consolidado!$B$1:$L$1500,1,FALSE),Consolidado!$G$1:$G$1500),"")</f>
        <v>0</v>
      </c>
      <c r="D1818" s="3"/>
      <c r="E1818" s="3"/>
      <c r="F1818" s="5" t="str">
        <f t="shared" si="115"/>
        <v/>
      </c>
      <c r="G1818" s="16" t="str">
        <f>IF(D1818&lt;&gt;"",D1818-VLOOKUP(A1818,Consolidado!$B$1:$L$1500,8,FALSE),"")</f>
        <v/>
      </c>
      <c r="H1818" s="31"/>
      <c r="I1818" s="32">
        <f t="shared" si="112"/>
        <v>0</v>
      </c>
      <c r="J1818" s="33" t="str">
        <f t="shared" si="113"/>
        <v/>
      </c>
      <c r="K1818" s="2"/>
      <c r="L1818" s="15"/>
      <c r="M1818" s="34">
        <f t="shared" si="114"/>
        <v>0</v>
      </c>
    </row>
    <row r="1819" spans="1:13" x14ac:dyDescent="0.25">
      <c r="A1819" s="31"/>
      <c r="B1819" s="16" t="str">
        <f>IFERROR(VLOOKUP(A1819,Consolidado!$B$1:$L$1500,2,FALSE),"")</f>
        <v/>
      </c>
      <c r="C1819" s="16">
        <f>IFERROR(SUMIF(Consolidado!$B$1:$B$1500,VLOOKUP(RegistroPago!A1819,Consolidado!$B$1:$L$1500,1,FALSE),Consolidado!$G$1:$G$1500),"")</f>
        <v>0</v>
      </c>
      <c r="D1819" s="3"/>
      <c r="E1819" s="3"/>
      <c r="F1819" s="5" t="str">
        <f t="shared" si="115"/>
        <v/>
      </c>
      <c r="G1819" s="16" t="str">
        <f>IF(D1819&lt;&gt;"",D1819-VLOOKUP(A1819,Consolidado!$B$1:$L$1500,8,FALSE),"")</f>
        <v/>
      </c>
      <c r="H1819" s="31"/>
      <c r="I1819" s="32">
        <f t="shared" si="112"/>
        <v>0</v>
      </c>
      <c r="J1819" s="33" t="str">
        <f t="shared" si="113"/>
        <v/>
      </c>
      <c r="K1819" s="2"/>
      <c r="L1819" s="15"/>
      <c r="M1819" s="34">
        <f t="shared" si="114"/>
        <v>0</v>
      </c>
    </row>
    <row r="1820" spans="1:13" x14ac:dyDescent="0.25">
      <c r="A1820" s="31"/>
      <c r="B1820" s="16" t="str">
        <f>IFERROR(VLOOKUP(A1820,Consolidado!$B$1:$L$1500,2,FALSE),"")</f>
        <v/>
      </c>
      <c r="C1820" s="16">
        <f>IFERROR(SUMIF(Consolidado!$B$1:$B$1500,VLOOKUP(RegistroPago!A1820,Consolidado!$B$1:$L$1500,1,FALSE),Consolidado!$G$1:$G$1500),"")</f>
        <v>0</v>
      </c>
      <c r="D1820" s="3"/>
      <c r="E1820" s="3"/>
      <c r="F1820" s="5" t="str">
        <f t="shared" si="115"/>
        <v/>
      </c>
      <c r="G1820" s="16" t="str">
        <f>IF(D1820&lt;&gt;"",D1820-VLOOKUP(A1820,Consolidado!$B$1:$L$1500,8,FALSE),"")</f>
        <v/>
      </c>
      <c r="H1820" s="31"/>
      <c r="I1820" s="32">
        <f t="shared" si="112"/>
        <v>0</v>
      </c>
      <c r="J1820" s="33" t="str">
        <f t="shared" si="113"/>
        <v/>
      </c>
      <c r="K1820" s="2"/>
      <c r="L1820" s="15"/>
      <c r="M1820" s="34">
        <f t="shared" si="114"/>
        <v>0</v>
      </c>
    </row>
    <row r="1821" spans="1:13" x14ac:dyDescent="0.25">
      <c r="A1821" s="31"/>
      <c r="B1821" s="16" t="str">
        <f>IFERROR(VLOOKUP(A1821,Consolidado!$B$1:$L$1500,2,FALSE),"")</f>
        <v/>
      </c>
      <c r="C1821" s="16">
        <f>IFERROR(SUMIF(Consolidado!$B$1:$B$1500,VLOOKUP(RegistroPago!A1821,Consolidado!$B$1:$L$1500,1,FALSE),Consolidado!$G$1:$G$1500),"")</f>
        <v>0</v>
      </c>
      <c r="D1821" s="3"/>
      <c r="E1821" s="3"/>
      <c r="F1821" s="5" t="str">
        <f t="shared" si="115"/>
        <v/>
      </c>
      <c r="G1821" s="16" t="str">
        <f>IF(D1821&lt;&gt;"",D1821-VLOOKUP(A1821,Consolidado!$B$1:$L$1500,8,FALSE),"")</f>
        <v/>
      </c>
      <c r="H1821" s="31"/>
      <c r="I1821" s="32">
        <f t="shared" si="112"/>
        <v>0</v>
      </c>
      <c r="J1821" s="33" t="str">
        <f t="shared" si="113"/>
        <v/>
      </c>
      <c r="K1821" s="2"/>
      <c r="L1821" s="15"/>
      <c r="M1821" s="34">
        <f t="shared" si="114"/>
        <v>0</v>
      </c>
    </row>
    <row r="1822" spans="1:13" x14ac:dyDescent="0.25">
      <c r="A1822" s="31"/>
      <c r="B1822" s="16" t="str">
        <f>IFERROR(VLOOKUP(A1822,Consolidado!$B$1:$L$1500,2,FALSE),"")</f>
        <v/>
      </c>
      <c r="C1822" s="16">
        <f>IFERROR(SUMIF(Consolidado!$B$1:$B$1500,VLOOKUP(RegistroPago!A1822,Consolidado!$B$1:$L$1500,1,FALSE),Consolidado!$G$1:$G$1500),"")</f>
        <v>0</v>
      </c>
      <c r="D1822" s="3"/>
      <c r="E1822" s="3"/>
      <c r="F1822" s="5" t="str">
        <f t="shared" si="115"/>
        <v/>
      </c>
      <c r="G1822" s="16" t="str">
        <f>IF(D1822&lt;&gt;"",D1822-VLOOKUP(A1822,Consolidado!$B$1:$L$1500,8,FALSE),"")</f>
        <v/>
      </c>
      <c r="H1822" s="31"/>
      <c r="I1822" s="32">
        <f t="shared" si="112"/>
        <v>0</v>
      </c>
      <c r="J1822" s="33" t="str">
        <f t="shared" si="113"/>
        <v/>
      </c>
      <c r="K1822" s="2"/>
      <c r="L1822" s="15"/>
      <c r="M1822" s="34">
        <f t="shared" si="114"/>
        <v>0</v>
      </c>
    </row>
    <row r="1823" spans="1:13" x14ac:dyDescent="0.25">
      <c r="A1823" s="31"/>
      <c r="B1823" s="16" t="str">
        <f>IFERROR(VLOOKUP(A1823,Consolidado!$B$1:$L$1500,2,FALSE),"")</f>
        <v/>
      </c>
      <c r="C1823" s="16">
        <f>IFERROR(SUMIF(Consolidado!$B$1:$B$1500,VLOOKUP(RegistroPago!A1823,Consolidado!$B$1:$L$1500,1,FALSE),Consolidado!$G$1:$G$1500),"")</f>
        <v>0</v>
      </c>
      <c r="D1823" s="3"/>
      <c r="E1823" s="3"/>
      <c r="F1823" s="5" t="str">
        <f t="shared" si="115"/>
        <v/>
      </c>
      <c r="G1823" s="16" t="str">
        <f>IF(D1823&lt;&gt;"",D1823-VLOOKUP(A1823,Consolidado!$B$1:$L$1500,8,FALSE),"")</f>
        <v/>
      </c>
      <c r="H1823" s="31"/>
      <c r="I1823" s="32">
        <f t="shared" si="112"/>
        <v>0</v>
      </c>
      <c r="J1823" s="33" t="str">
        <f t="shared" si="113"/>
        <v/>
      </c>
      <c r="K1823" s="2"/>
      <c r="L1823" s="15"/>
      <c r="M1823" s="34">
        <f t="shared" si="114"/>
        <v>0</v>
      </c>
    </row>
    <row r="1824" spans="1:13" x14ac:dyDescent="0.25">
      <c r="A1824" s="31"/>
      <c r="B1824" s="16" t="str">
        <f>IFERROR(VLOOKUP(A1824,Consolidado!$B$1:$L$1500,2,FALSE),"")</f>
        <v/>
      </c>
      <c r="C1824" s="16">
        <f>IFERROR(SUMIF(Consolidado!$B$1:$B$1500,VLOOKUP(RegistroPago!A1824,Consolidado!$B$1:$L$1500,1,FALSE),Consolidado!$G$1:$G$1500),"")</f>
        <v>0</v>
      </c>
      <c r="D1824" s="3"/>
      <c r="E1824" s="3"/>
      <c r="F1824" s="5" t="str">
        <f t="shared" si="115"/>
        <v/>
      </c>
      <c r="G1824" s="16" t="str">
        <f>IF(D1824&lt;&gt;"",D1824-VLOOKUP(A1824,Consolidado!$B$1:$L$1500,8,FALSE),"")</f>
        <v/>
      </c>
      <c r="H1824" s="31"/>
      <c r="I1824" s="32">
        <f t="shared" si="112"/>
        <v>0</v>
      </c>
      <c r="J1824" s="33" t="str">
        <f t="shared" si="113"/>
        <v/>
      </c>
      <c r="K1824" s="2"/>
      <c r="L1824" s="15"/>
      <c r="M1824" s="34">
        <f t="shared" si="114"/>
        <v>0</v>
      </c>
    </row>
    <row r="1825" spans="1:13" x14ac:dyDescent="0.25">
      <c r="A1825" s="31"/>
      <c r="B1825" s="16" t="str">
        <f>IFERROR(VLOOKUP(A1825,Consolidado!$B$1:$L$1500,2,FALSE),"")</f>
        <v/>
      </c>
      <c r="C1825" s="16">
        <f>IFERROR(SUMIF(Consolidado!$B$1:$B$1500,VLOOKUP(RegistroPago!A1825,Consolidado!$B$1:$L$1500,1,FALSE),Consolidado!$G$1:$G$1500),"")</f>
        <v>0</v>
      </c>
      <c r="D1825" s="3"/>
      <c r="E1825" s="3"/>
      <c r="F1825" s="5" t="str">
        <f t="shared" si="115"/>
        <v/>
      </c>
      <c r="G1825" s="16" t="str">
        <f>IF(D1825&lt;&gt;"",D1825-VLOOKUP(A1825,Consolidado!$B$1:$L$1500,8,FALSE),"")</f>
        <v/>
      </c>
      <c r="H1825" s="31"/>
      <c r="I1825" s="32">
        <f t="shared" si="112"/>
        <v>0</v>
      </c>
      <c r="J1825" s="33" t="str">
        <f t="shared" si="113"/>
        <v/>
      </c>
      <c r="K1825" s="2"/>
      <c r="L1825" s="15"/>
      <c r="M1825" s="34">
        <f t="shared" si="114"/>
        <v>0</v>
      </c>
    </row>
    <row r="1826" spans="1:13" x14ac:dyDescent="0.25">
      <c r="A1826" s="31"/>
      <c r="B1826" s="16" t="str">
        <f>IFERROR(VLOOKUP(A1826,Consolidado!$B$1:$L$1500,2,FALSE),"")</f>
        <v/>
      </c>
      <c r="C1826" s="16">
        <f>IFERROR(SUMIF(Consolidado!$B$1:$B$1500,VLOOKUP(RegistroPago!A1826,Consolidado!$B$1:$L$1500,1,FALSE),Consolidado!$G$1:$G$1500),"")</f>
        <v>0</v>
      </c>
      <c r="D1826" s="3"/>
      <c r="E1826" s="3"/>
      <c r="F1826" s="5" t="str">
        <f t="shared" si="115"/>
        <v/>
      </c>
      <c r="G1826" s="16" t="str">
        <f>IF(D1826&lt;&gt;"",D1826-VLOOKUP(A1826,Consolidado!$B$1:$L$1500,8,FALSE),"")</f>
        <v/>
      </c>
      <c r="H1826" s="31"/>
      <c r="I1826" s="32">
        <f t="shared" si="112"/>
        <v>0</v>
      </c>
      <c r="J1826" s="33" t="str">
        <f t="shared" si="113"/>
        <v/>
      </c>
      <c r="K1826" s="2"/>
      <c r="L1826" s="15"/>
      <c r="M1826" s="34">
        <f t="shared" si="114"/>
        <v>0</v>
      </c>
    </row>
    <row r="1827" spans="1:13" x14ac:dyDescent="0.25">
      <c r="A1827" s="31"/>
      <c r="B1827" s="16" t="str">
        <f>IFERROR(VLOOKUP(A1827,Consolidado!$B$1:$L$1500,2,FALSE),"")</f>
        <v/>
      </c>
      <c r="C1827" s="16">
        <f>IFERROR(SUMIF(Consolidado!$B$1:$B$1500,VLOOKUP(RegistroPago!A1827,Consolidado!$B$1:$L$1500,1,FALSE),Consolidado!$G$1:$G$1500),"")</f>
        <v>0</v>
      </c>
      <c r="D1827" s="3"/>
      <c r="E1827" s="3"/>
      <c r="F1827" s="5" t="str">
        <f t="shared" si="115"/>
        <v/>
      </c>
      <c r="G1827" s="16" t="str">
        <f>IF(D1827&lt;&gt;"",D1827-VLOOKUP(A1827,Consolidado!$B$1:$L$1500,8,FALSE),"")</f>
        <v/>
      </c>
      <c r="H1827" s="31"/>
      <c r="I1827" s="32">
        <f t="shared" si="112"/>
        <v>0</v>
      </c>
      <c r="J1827" s="33" t="str">
        <f t="shared" si="113"/>
        <v/>
      </c>
      <c r="K1827" s="2"/>
      <c r="L1827" s="15"/>
      <c r="M1827" s="34">
        <f t="shared" si="114"/>
        <v>0</v>
      </c>
    </row>
    <row r="1828" spans="1:13" x14ac:dyDescent="0.25">
      <c r="A1828" s="31"/>
      <c r="B1828" s="16" t="str">
        <f>IFERROR(VLOOKUP(A1828,Consolidado!$B$1:$L$1500,2,FALSE),"")</f>
        <v/>
      </c>
      <c r="C1828" s="16">
        <f>IFERROR(SUMIF(Consolidado!$B$1:$B$1500,VLOOKUP(RegistroPago!A1828,Consolidado!$B$1:$L$1500,1,FALSE),Consolidado!$G$1:$G$1500),"")</f>
        <v>0</v>
      </c>
      <c r="D1828" s="3"/>
      <c r="E1828" s="3"/>
      <c r="F1828" s="5" t="str">
        <f t="shared" si="115"/>
        <v/>
      </c>
      <c r="G1828" s="16" t="str">
        <f>IF(D1828&lt;&gt;"",D1828-VLOOKUP(A1828,Consolidado!$B$1:$L$1500,8,FALSE),"")</f>
        <v/>
      </c>
      <c r="H1828" s="31"/>
      <c r="I1828" s="32">
        <f t="shared" si="112"/>
        <v>0</v>
      </c>
      <c r="J1828" s="33" t="str">
        <f t="shared" si="113"/>
        <v/>
      </c>
      <c r="K1828" s="2"/>
      <c r="L1828" s="15"/>
      <c r="M1828" s="34">
        <f t="shared" si="114"/>
        <v>0</v>
      </c>
    </row>
    <row r="1829" spans="1:13" x14ac:dyDescent="0.25">
      <c r="A1829" s="31"/>
      <c r="B1829" s="16" t="str">
        <f>IFERROR(VLOOKUP(A1829,Consolidado!$B$1:$L$1500,2,FALSE),"")</f>
        <v/>
      </c>
      <c r="C1829" s="16">
        <f>IFERROR(SUMIF(Consolidado!$B$1:$B$1500,VLOOKUP(RegistroPago!A1829,Consolidado!$B$1:$L$1500,1,FALSE),Consolidado!$G$1:$G$1500),"")</f>
        <v>0</v>
      </c>
      <c r="D1829" s="3"/>
      <c r="E1829" s="3"/>
      <c r="F1829" s="5" t="str">
        <f t="shared" si="115"/>
        <v/>
      </c>
      <c r="G1829" s="16" t="str">
        <f>IF(D1829&lt;&gt;"",D1829-VLOOKUP(A1829,Consolidado!$B$1:$L$1500,8,FALSE),"")</f>
        <v/>
      </c>
      <c r="H1829" s="31"/>
      <c r="I1829" s="32">
        <f t="shared" si="112"/>
        <v>0</v>
      </c>
      <c r="J1829" s="33" t="str">
        <f t="shared" si="113"/>
        <v/>
      </c>
      <c r="K1829" s="2"/>
      <c r="L1829" s="15"/>
      <c r="M1829" s="34">
        <f t="shared" si="114"/>
        <v>0</v>
      </c>
    </row>
    <row r="1830" spans="1:13" x14ac:dyDescent="0.25">
      <c r="A1830" s="31"/>
      <c r="B1830" s="16" t="str">
        <f>IFERROR(VLOOKUP(A1830,Consolidado!$B$1:$L$1500,2,FALSE),"")</f>
        <v/>
      </c>
      <c r="C1830" s="16">
        <f>IFERROR(SUMIF(Consolidado!$B$1:$B$1500,VLOOKUP(RegistroPago!A1830,Consolidado!$B$1:$L$1500,1,FALSE),Consolidado!$G$1:$G$1500),"")</f>
        <v>0</v>
      </c>
      <c r="D1830" s="3"/>
      <c r="E1830" s="3"/>
      <c r="F1830" s="5" t="str">
        <f t="shared" si="115"/>
        <v/>
      </c>
      <c r="G1830" s="16" t="str">
        <f>IF(D1830&lt;&gt;"",D1830-VLOOKUP(A1830,Consolidado!$B$1:$L$1500,8,FALSE),"")</f>
        <v/>
      </c>
      <c r="H1830" s="31"/>
      <c r="I1830" s="32">
        <f t="shared" si="112"/>
        <v>0</v>
      </c>
      <c r="J1830" s="33" t="str">
        <f t="shared" si="113"/>
        <v/>
      </c>
      <c r="K1830" s="2"/>
      <c r="L1830" s="15"/>
      <c r="M1830" s="34">
        <f t="shared" si="114"/>
        <v>0</v>
      </c>
    </row>
    <row r="1831" spans="1:13" x14ac:dyDescent="0.25">
      <c r="A1831" s="31"/>
      <c r="B1831" s="16" t="str">
        <f>IFERROR(VLOOKUP(A1831,Consolidado!$B$1:$L$1500,2,FALSE),"")</f>
        <v/>
      </c>
      <c r="C1831" s="16">
        <f>IFERROR(SUMIF(Consolidado!$B$1:$B$1500,VLOOKUP(RegistroPago!A1831,Consolidado!$B$1:$L$1500,1,FALSE),Consolidado!$G$1:$G$1500),"")</f>
        <v>0</v>
      </c>
      <c r="D1831" s="3"/>
      <c r="E1831" s="3"/>
      <c r="F1831" s="5" t="str">
        <f t="shared" si="115"/>
        <v/>
      </c>
      <c r="G1831" s="16" t="str">
        <f>IF(D1831&lt;&gt;"",D1831-VLOOKUP(A1831,Consolidado!$B$1:$L$1500,8,FALSE),"")</f>
        <v/>
      </c>
      <c r="H1831" s="31"/>
      <c r="I1831" s="32">
        <f t="shared" si="112"/>
        <v>0</v>
      </c>
      <c r="J1831" s="33" t="str">
        <f t="shared" si="113"/>
        <v/>
      </c>
      <c r="K1831" s="2"/>
      <c r="L1831" s="15"/>
      <c r="M1831" s="34">
        <f t="shared" si="114"/>
        <v>0</v>
      </c>
    </row>
    <row r="1832" spans="1:13" x14ac:dyDescent="0.25">
      <c r="A1832" s="31"/>
      <c r="B1832" s="16" t="str">
        <f>IFERROR(VLOOKUP(A1832,Consolidado!$B$1:$L$1500,2,FALSE),"")</f>
        <v/>
      </c>
      <c r="C1832" s="16">
        <f>IFERROR(SUMIF(Consolidado!$B$1:$B$1500,VLOOKUP(RegistroPago!A1832,Consolidado!$B$1:$L$1500,1,FALSE),Consolidado!$G$1:$G$1500),"")</f>
        <v>0</v>
      </c>
      <c r="D1832" s="3"/>
      <c r="E1832" s="3"/>
      <c r="F1832" s="5" t="str">
        <f t="shared" si="115"/>
        <v/>
      </c>
      <c r="G1832" s="16" t="str">
        <f>IF(D1832&lt;&gt;"",D1832-VLOOKUP(A1832,Consolidado!$B$1:$L$1500,8,FALSE),"")</f>
        <v/>
      </c>
      <c r="H1832" s="31"/>
      <c r="I1832" s="32">
        <f t="shared" si="112"/>
        <v>0</v>
      </c>
      <c r="J1832" s="33" t="str">
        <f t="shared" si="113"/>
        <v/>
      </c>
      <c r="K1832" s="2"/>
      <c r="L1832" s="15"/>
      <c r="M1832" s="34">
        <f t="shared" si="114"/>
        <v>0</v>
      </c>
    </row>
    <row r="1833" spans="1:13" x14ac:dyDescent="0.25">
      <c r="A1833" s="31"/>
      <c r="B1833" s="16" t="str">
        <f>IFERROR(VLOOKUP(A1833,Consolidado!$B$1:$L$1500,2,FALSE),"")</f>
        <v/>
      </c>
      <c r="C1833" s="16">
        <f>IFERROR(SUMIF(Consolidado!$B$1:$B$1500,VLOOKUP(RegistroPago!A1833,Consolidado!$B$1:$L$1500,1,FALSE),Consolidado!$G$1:$G$1500),"")</f>
        <v>0</v>
      </c>
      <c r="D1833" s="3"/>
      <c r="E1833" s="3"/>
      <c r="F1833" s="5" t="str">
        <f t="shared" si="115"/>
        <v/>
      </c>
      <c r="G1833" s="16" t="str">
        <f>IF(D1833&lt;&gt;"",D1833-VLOOKUP(A1833,Consolidado!$B$1:$L$1500,8,FALSE),"")</f>
        <v/>
      </c>
      <c r="H1833" s="31"/>
      <c r="I1833" s="32">
        <f t="shared" ref="I1833:I1896" si="116">IFERROR(SUMIF($E$1:$E$2000,H1833,$C$1:$C$2000)-SUMIF($E$1:$E$2000,H1833,$F$1:$F$2000),"")</f>
        <v>0</v>
      </c>
      <c r="J1833" s="33" t="str">
        <f t="shared" ref="J1833:J1896" si="117">IFERROR(I1833/SUMIF($E$1:$E$2000,H1833,$C$1:$C$2000),"")</f>
        <v/>
      </c>
      <c r="K1833" s="2"/>
      <c r="L1833" s="15"/>
      <c r="M1833" s="34">
        <f t="shared" ref="M1833:M1896" si="118">IFERROR(L1833*SUMIF($E$1:$E$2000,H1833,$F$1:$F$2000),"")</f>
        <v>0</v>
      </c>
    </row>
    <row r="1834" spans="1:13" x14ac:dyDescent="0.25">
      <c r="A1834" s="31"/>
      <c r="B1834" s="16" t="str">
        <f>IFERROR(VLOOKUP(A1834,Consolidado!$B$1:$L$1500,2,FALSE),"")</f>
        <v/>
      </c>
      <c r="C1834" s="16">
        <f>IFERROR(SUMIF(Consolidado!$B$1:$B$1500,VLOOKUP(RegistroPago!A1834,Consolidado!$B$1:$L$1500,1,FALSE),Consolidado!$G$1:$G$1500),"")</f>
        <v>0</v>
      </c>
      <c r="D1834" s="3"/>
      <c r="E1834" s="3"/>
      <c r="F1834" s="5" t="str">
        <f t="shared" si="115"/>
        <v/>
      </c>
      <c r="G1834" s="16" t="str">
        <f>IF(D1834&lt;&gt;"",D1834-VLOOKUP(A1834,Consolidado!$B$1:$L$1500,8,FALSE),"")</f>
        <v/>
      </c>
      <c r="H1834" s="31"/>
      <c r="I1834" s="32">
        <f t="shared" si="116"/>
        <v>0</v>
      </c>
      <c r="J1834" s="33" t="str">
        <f t="shared" si="117"/>
        <v/>
      </c>
      <c r="K1834" s="2"/>
      <c r="L1834" s="15"/>
      <c r="M1834" s="34">
        <f t="shared" si="118"/>
        <v>0</v>
      </c>
    </row>
    <row r="1835" spans="1:13" x14ac:dyDescent="0.25">
      <c r="A1835" s="31"/>
      <c r="B1835" s="16" t="str">
        <f>IFERROR(VLOOKUP(A1835,Consolidado!$B$1:$L$1500,2,FALSE),"")</f>
        <v/>
      </c>
      <c r="C1835" s="16">
        <f>IFERROR(SUMIF(Consolidado!$B$1:$B$1500,VLOOKUP(RegistroPago!A1835,Consolidado!$B$1:$L$1500,1,FALSE),Consolidado!$G$1:$G$1500),"")</f>
        <v>0</v>
      </c>
      <c r="D1835" s="3"/>
      <c r="E1835" s="3"/>
      <c r="F1835" s="5" t="str">
        <f t="shared" si="115"/>
        <v/>
      </c>
      <c r="G1835" s="16" t="str">
        <f>IF(D1835&lt;&gt;"",D1835-VLOOKUP(A1835,Consolidado!$B$1:$L$1500,8,FALSE),"")</f>
        <v/>
      </c>
      <c r="H1835" s="31"/>
      <c r="I1835" s="32">
        <f t="shared" si="116"/>
        <v>0</v>
      </c>
      <c r="J1835" s="33" t="str">
        <f t="shared" si="117"/>
        <v/>
      </c>
      <c r="K1835" s="2"/>
      <c r="L1835" s="15"/>
      <c r="M1835" s="34">
        <f t="shared" si="118"/>
        <v>0</v>
      </c>
    </row>
    <row r="1836" spans="1:13" x14ac:dyDescent="0.25">
      <c r="A1836" s="31"/>
      <c r="B1836" s="16" t="str">
        <f>IFERROR(VLOOKUP(A1836,Consolidado!$B$1:$L$1500,2,FALSE),"")</f>
        <v/>
      </c>
      <c r="C1836" s="16">
        <f>IFERROR(SUMIF(Consolidado!$B$1:$B$1500,VLOOKUP(RegistroPago!A1836,Consolidado!$B$1:$L$1500,1,FALSE),Consolidado!$G$1:$G$1500),"")</f>
        <v>0</v>
      </c>
      <c r="D1836" s="3"/>
      <c r="E1836" s="3"/>
      <c r="F1836" s="5" t="str">
        <f t="shared" si="115"/>
        <v/>
      </c>
      <c r="G1836" s="16" t="str">
        <f>IF(D1836&lt;&gt;"",D1836-VLOOKUP(A1836,Consolidado!$B$1:$L$1500,8,FALSE),"")</f>
        <v/>
      </c>
      <c r="H1836" s="31"/>
      <c r="I1836" s="32">
        <f t="shared" si="116"/>
        <v>0</v>
      </c>
      <c r="J1836" s="33" t="str">
        <f t="shared" si="117"/>
        <v/>
      </c>
      <c r="K1836" s="2"/>
      <c r="L1836" s="15"/>
      <c r="M1836" s="34">
        <f t="shared" si="118"/>
        <v>0</v>
      </c>
    </row>
    <row r="1837" spans="1:13" x14ac:dyDescent="0.25">
      <c r="A1837" s="31"/>
      <c r="B1837" s="16" t="str">
        <f>IFERROR(VLOOKUP(A1837,Consolidado!$B$1:$L$1500,2,FALSE),"")</f>
        <v/>
      </c>
      <c r="C1837" s="16">
        <f>IFERROR(SUMIF(Consolidado!$B$1:$B$1500,VLOOKUP(RegistroPago!A1837,Consolidado!$B$1:$L$1500,1,FALSE),Consolidado!$G$1:$G$1500),"")</f>
        <v>0</v>
      </c>
      <c r="D1837" s="3"/>
      <c r="E1837" s="3"/>
      <c r="F1837" s="5" t="str">
        <f t="shared" si="115"/>
        <v/>
      </c>
      <c r="G1837" s="16" t="str">
        <f>IF(D1837&lt;&gt;"",D1837-VLOOKUP(A1837,Consolidado!$B$1:$L$1500,8,FALSE),"")</f>
        <v/>
      </c>
      <c r="H1837" s="31"/>
      <c r="I1837" s="32">
        <f t="shared" si="116"/>
        <v>0</v>
      </c>
      <c r="J1837" s="33" t="str">
        <f t="shared" si="117"/>
        <v/>
      </c>
      <c r="K1837" s="2"/>
      <c r="L1837" s="15"/>
      <c r="M1837" s="34">
        <f t="shared" si="118"/>
        <v>0</v>
      </c>
    </row>
    <row r="1838" spans="1:13" x14ac:dyDescent="0.25">
      <c r="A1838" s="31"/>
      <c r="B1838" s="16" t="str">
        <f>IFERROR(VLOOKUP(A1838,Consolidado!$B$1:$L$1500,2,FALSE),"")</f>
        <v/>
      </c>
      <c r="C1838" s="16">
        <f>IFERROR(SUMIF(Consolidado!$B$1:$B$1500,VLOOKUP(RegistroPago!A1838,Consolidado!$B$1:$L$1500,1,FALSE),Consolidado!$G$1:$G$1500),"")</f>
        <v>0</v>
      </c>
      <c r="D1838" s="3"/>
      <c r="E1838" s="3"/>
      <c r="F1838" s="5" t="str">
        <f t="shared" si="115"/>
        <v/>
      </c>
      <c r="G1838" s="16" t="str">
        <f>IF(D1838&lt;&gt;"",D1838-VLOOKUP(A1838,Consolidado!$B$1:$L$1500,8,FALSE),"")</f>
        <v/>
      </c>
      <c r="H1838" s="31"/>
      <c r="I1838" s="32">
        <f t="shared" si="116"/>
        <v>0</v>
      </c>
      <c r="J1838" s="33" t="str">
        <f t="shared" si="117"/>
        <v/>
      </c>
      <c r="K1838" s="2"/>
      <c r="L1838" s="15"/>
      <c r="M1838" s="34">
        <f t="shared" si="118"/>
        <v>0</v>
      </c>
    </row>
    <row r="1839" spans="1:13" x14ac:dyDescent="0.25">
      <c r="A1839" s="31"/>
      <c r="B1839" s="16" t="str">
        <f>IFERROR(VLOOKUP(A1839,Consolidado!$B$1:$L$1500,2,FALSE),"")</f>
        <v/>
      </c>
      <c r="C1839" s="16">
        <f>IFERROR(SUMIF(Consolidado!$B$1:$B$1500,VLOOKUP(RegistroPago!A1839,Consolidado!$B$1:$L$1500,1,FALSE),Consolidado!$G$1:$G$1500),"")</f>
        <v>0</v>
      </c>
      <c r="D1839" s="3"/>
      <c r="E1839" s="3"/>
      <c r="F1839" s="5" t="str">
        <f t="shared" si="115"/>
        <v/>
      </c>
      <c r="G1839" s="16" t="str">
        <f>IF(D1839&lt;&gt;"",D1839-VLOOKUP(A1839,Consolidado!$B$1:$L$1500,8,FALSE),"")</f>
        <v/>
      </c>
      <c r="H1839" s="31"/>
      <c r="I1839" s="32">
        <f t="shared" si="116"/>
        <v>0</v>
      </c>
      <c r="J1839" s="33" t="str">
        <f t="shared" si="117"/>
        <v/>
      </c>
      <c r="K1839" s="2"/>
      <c r="L1839" s="15"/>
      <c r="M1839" s="34">
        <f t="shared" si="118"/>
        <v>0</v>
      </c>
    </row>
    <row r="1840" spans="1:13" x14ac:dyDescent="0.25">
      <c r="A1840" s="31"/>
      <c r="B1840" s="16" t="str">
        <f>IFERROR(VLOOKUP(A1840,Consolidado!$B$1:$L$1500,2,FALSE),"")</f>
        <v/>
      </c>
      <c r="C1840" s="16">
        <f>IFERROR(SUMIF(Consolidado!$B$1:$B$1500,VLOOKUP(RegistroPago!A1840,Consolidado!$B$1:$L$1500,1,FALSE),Consolidado!$G$1:$G$1500),"")</f>
        <v>0</v>
      </c>
      <c r="D1840" s="3"/>
      <c r="E1840" s="3"/>
      <c r="F1840" s="5" t="str">
        <f t="shared" si="115"/>
        <v/>
      </c>
      <c r="G1840" s="16" t="str">
        <f>IF(D1840&lt;&gt;"",D1840-VLOOKUP(A1840,Consolidado!$B$1:$L$1500,8,FALSE),"")</f>
        <v/>
      </c>
      <c r="H1840" s="31"/>
      <c r="I1840" s="32">
        <f t="shared" si="116"/>
        <v>0</v>
      </c>
      <c r="J1840" s="33" t="str">
        <f t="shared" si="117"/>
        <v/>
      </c>
      <c r="K1840" s="2"/>
      <c r="L1840" s="15"/>
      <c r="M1840" s="34">
        <f t="shared" si="118"/>
        <v>0</v>
      </c>
    </row>
    <row r="1841" spans="1:13" x14ac:dyDescent="0.25">
      <c r="A1841" s="31"/>
      <c r="B1841" s="16" t="str">
        <f>IFERROR(VLOOKUP(A1841,Consolidado!$B$1:$L$1500,2,FALSE),"")</f>
        <v/>
      </c>
      <c r="C1841" s="16">
        <f>IFERROR(SUMIF(Consolidado!$B$1:$B$1500,VLOOKUP(RegistroPago!A1841,Consolidado!$B$1:$L$1500,1,FALSE),Consolidado!$G$1:$G$1500),"")</f>
        <v>0</v>
      </c>
      <c r="D1841" s="3"/>
      <c r="E1841" s="3"/>
      <c r="F1841" s="5" t="str">
        <f t="shared" si="115"/>
        <v/>
      </c>
      <c r="G1841" s="16" t="str">
        <f>IF(D1841&lt;&gt;"",D1841-VLOOKUP(A1841,Consolidado!$B$1:$L$1500,8,FALSE),"")</f>
        <v/>
      </c>
      <c r="H1841" s="31"/>
      <c r="I1841" s="32">
        <f t="shared" si="116"/>
        <v>0</v>
      </c>
      <c r="J1841" s="33" t="str">
        <f t="shared" si="117"/>
        <v/>
      </c>
      <c r="K1841" s="2"/>
      <c r="L1841" s="15"/>
      <c r="M1841" s="34">
        <f t="shared" si="118"/>
        <v>0</v>
      </c>
    </row>
    <row r="1842" spans="1:13" x14ac:dyDescent="0.25">
      <c r="A1842" s="31"/>
      <c r="B1842" s="16" t="str">
        <f>IFERROR(VLOOKUP(A1842,Consolidado!$B$1:$L$1500,2,FALSE),"")</f>
        <v/>
      </c>
      <c r="C1842" s="16">
        <f>IFERROR(SUMIF(Consolidado!$B$1:$B$1500,VLOOKUP(RegistroPago!A1842,Consolidado!$B$1:$L$1500,1,FALSE),Consolidado!$G$1:$G$1500),"")</f>
        <v>0</v>
      </c>
      <c r="D1842" s="3"/>
      <c r="E1842" s="3"/>
      <c r="F1842" s="5" t="str">
        <f t="shared" si="115"/>
        <v/>
      </c>
      <c r="G1842" s="16" t="str">
        <f>IF(D1842&lt;&gt;"",D1842-VLOOKUP(A1842,Consolidado!$B$1:$L$1500,8,FALSE),"")</f>
        <v/>
      </c>
      <c r="H1842" s="31"/>
      <c r="I1842" s="32">
        <f t="shared" si="116"/>
        <v>0</v>
      </c>
      <c r="J1842" s="33" t="str">
        <f t="shared" si="117"/>
        <v/>
      </c>
      <c r="K1842" s="2"/>
      <c r="L1842" s="15"/>
      <c r="M1842" s="34">
        <f t="shared" si="118"/>
        <v>0</v>
      </c>
    </row>
    <row r="1843" spans="1:13" x14ac:dyDescent="0.25">
      <c r="A1843" s="31"/>
      <c r="B1843" s="16" t="str">
        <f>IFERROR(VLOOKUP(A1843,Consolidado!$B$1:$L$1500,2,FALSE),"")</f>
        <v/>
      </c>
      <c r="C1843" s="16">
        <f>IFERROR(SUMIF(Consolidado!$B$1:$B$1500,VLOOKUP(RegistroPago!A1843,Consolidado!$B$1:$L$1500,1,FALSE),Consolidado!$G$1:$G$1500),"")</f>
        <v>0</v>
      </c>
      <c r="D1843" s="3"/>
      <c r="E1843" s="3"/>
      <c r="F1843" s="5" t="str">
        <f t="shared" si="115"/>
        <v/>
      </c>
      <c r="G1843" s="16" t="str">
        <f>IF(D1843&lt;&gt;"",D1843-VLOOKUP(A1843,Consolidado!$B$1:$L$1500,8,FALSE),"")</f>
        <v/>
      </c>
      <c r="H1843" s="31"/>
      <c r="I1843" s="32">
        <f t="shared" si="116"/>
        <v>0</v>
      </c>
      <c r="J1843" s="33" t="str">
        <f t="shared" si="117"/>
        <v/>
      </c>
      <c r="K1843" s="2"/>
      <c r="L1843" s="15"/>
      <c r="M1843" s="34">
        <f t="shared" si="118"/>
        <v>0</v>
      </c>
    </row>
    <row r="1844" spans="1:13" x14ac:dyDescent="0.25">
      <c r="A1844" s="31"/>
      <c r="B1844" s="16" t="str">
        <f>IFERROR(VLOOKUP(A1844,Consolidado!$B$1:$L$1500,2,FALSE),"")</f>
        <v/>
      </c>
      <c r="C1844" s="16">
        <f>IFERROR(SUMIF(Consolidado!$B$1:$B$1500,VLOOKUP(RegistroPago!A1844,Consolidado!$B$1:$L$1500,1,FALSE),Consolidado!$G$1:$G$1500),"")</f>
        <v>0</v>
      </c>
      <c r="D1844" s="3"/>
      <c r="E1844" s="3"/>
      <c r="F1844" s="5" t="str">
        <f t="shared" si="115"/>
        <v/>
      </c>
      <c r="G1844" s="16" t="str">
        <f>IF(D1844&lt;&gt;"",D1844-VLOOKUP(A1844,Consolidado!$B$1:$L$1500,8,FALSE),"")</f>
        <v/>
      </c>
      <c r="H1844" s="31"/>
      <c r="I1844" s="32">
        <f t="shared" si="116"/>
        <v>0</v>
      </c>
      <c r="J1844" s="33" t="str">
        <f t="shared" si="117"/>
        <v/>
      </c>
      <c r="K1844" s="2"/>
      <c r="L1844" s="15"/>
      <c r="M1844" s="34">
        <f t="shared" si="118"/>
        <v>0</v>
      </c>
    </row>
    <row r="1845" spans="1:13" x14ac:dyDescent="0.25">
      <c r="A1845" s="31"/>
      <c r="B1845" s="16" t="str">
        <f>IFERROR(VLOOKUP(A1845,Consolidado!$B$1:$L$1500,2,FALSE),"")</f>
        <v/>
      </c>
      <c r="C1845" s="16">
        <f>IFERROR(SUMIF(Consolidado!$B$1:$B$1500,VLOOKUP(RegistroPago!A1845,Consolidado!$B$1:$L$1500,1,FALSE),Consolidado!$G$1:$G$1500),"")</f>
        <v>0</v>
      </c>
      <c r="D1845" s="3"/>
      <c r="E1845" s="3"/>
      <c r="F1845" s="5" t="str">
        <f t="shared" si="115"/>
        <v/>
      </c>
      <c r="G1845" s="16" t="str">
        <f>IF(D1845&lt;&gt;"",D1845-VLOOKUP(A1845,Consolidado!$B$1:$L$1500,8,FALSE),"")</f>
        <v/>
      </c>
      <c r="H1845" s="31"/>
      <c r="I1845" s="32">
        <f t="shared" si="116"/>
        <v>0</v>
      </c>
      <c r="J1845" s="33" t="str">
        <f t="shared" si="117"/>
        <v/>
      </c>
      <c r="K1845" s="2"/>
      <c r="L1845" s="15"/>
      <c r="M1845" s="34">
        <f t="shared" si="118"/>
        <v>0</v>
      </c>
    </row>
    <row r="1846" spans="1:13" x14ac:dyDescent="0.25">
      <c r="A1846" s="31"/>
      <c r="B1846" s="16" t="str">
        <f>IFERROR(VLOOKUP(A1846,Consolidado!$B$1:$L$1500,2,FALSE),"")</f>
        <v/>
      </c>
      <c r="C1846" s="16">
        <f>IFERROR(SUMIF(Consolidado!$B$1:$B$1500,VLOOKUP(RegistroPago!A1846,Consolidado!$B$1:$L$1500,1,FALSE),Consolidado!$G$1:$G$1500),"")</f>
        <v>0</v>
      </c>
      <c r="D1846" s="3"/>
      <c r="E1846" s="3"/>
      <c r="F1846" s="5" t="str">
        <f t="shared" si="115"/>
        <v/>
      </c>
      <c r="G1846" s="16" t="str">
        <f>IF(D1846&lt;&gt;"",D1846-VLOOKUP(A1846,Consolidado!$B$1:$L$1500,8,FALSE),"")</f>
        <v/>
      </c>
      <c r="H1846" s="31"/>
      <c r="I1846" s="32">
        <f t="shared" si="116"/>
        <v>0</v>
      </c>
      <c r="J1846" s="33" t="str">
        <f t="shared" si="117"/>
        <v/>
      </c>
      <c r="K1846" s="2"/>
      <c r="L1846" s="15"/>
      <c r="M1846" s="34">
        <f t="shared" si="118"/>
        <v>0</v>
      </c>
    </row>
    <row r="1847" spans="1:13" x14ac:dyDescent="0.25">
      <c r="A1847" s="31"/>
      <c r="B1847" s="16" t="str">
        <f>IFERROR(VLOOKUP(A1847,Consolidado!$B$1:$L$1500,2,FALSE),"")</f>
        <v/>
      </c>
      <c r="C1847" s="16">
        <f>IFERROR(SUMIF(Consolidado!$B$1:$B$1500,VLOOKUP(RegistroPago!A1847,Consolidado!$B$1:$L$1500,1,FALSE),Consolidado!$G$1:$G$1500),"")</f>
        <v>0</v>
      </c>
      <c r="D1847" s="3"/>
      <c r="E1847" s="3"/>
      <c r="F1847" s="5" t="str">
        <f t="shared" si="115"/>
        <v/>
      </c>
      <c r="G1847" s="16" t="str">
        <f>IF(D1847&lt;&gt;"",D1847-VLOOKUP(A1847,Consolidado!$B$1:$L$1500,8,FALSE),"")</f>
        <v/>
      </c>
      <c r="H1847" s="31"/>
      <c r="I1847" s="32">
        <f t="shared" si="116"/>
        <v>0</v>
      </c>
      <c r="J1847" s="33" t="str">
        <f t="shared" si="117"/>
        <v/>
      </c>
      <c r="K1847" s="2"/>
      <c r="L1847" s="15"/>
      <c r="M1847" s="34">
        <f t="shared" si="118"/>
        <v>0</v>
      </c>
    </row>
    <row r="1848" spans="1:13" x14ac:dyDescent="0.25">
      <c r="A1848" s="31"/>
      <c r="B1848" s="16" t="str">
        <f>IFERROR(VLOOKUP(A1848,Consolidado!$B$1:$L$1500,2,FALSE),"")</f>
        <v/>
      </c>
      <c r="C1848" s="16">
        <f>IFERROR(SUMIF(Consolidado!$B$1:$B$1500,VLOOKUP(RegistroPago!A1848,Consolidado!$B$1:$L$1500,1,FALSE),Consolidado!$G$1:$G$1500),"")</f>
        <v>0</v>
      </c>
      <c r="D1848" s="3"/>
      <c r="E1848" s="3"/>
      <c r="F1848" s="5" t="str">
        <f t="shared" si="115"/>
        <v/>
      </c>
      <c r="G1848" s="16" t="str">
        <f>IF(D1848&lt;&gt;"",D1848-VLOOKUP(A1848,Consolidado!$B$1:$L$1500,8,FALSE),"")</f>
        <v/>
      </c>
      <c r="H1848" s="31"/>
      <c r="I1848" s="32">
        <f t="shared" si="116"/>
        <v>0</v>
      </c>
      <c r="J1848" s="33" t="str">
        <f t="shared" si="117"/>
        <v/>
      </c>
      <c r="K1848" s="2"/>
      <c r="L1848" s="15"/>
      <c r="M1848" s="34">
        <f t="shared" si="118"/>
        <v>0</v>
      </c>
    </row>
    <row r="1849" spans="1:13" x14ac:dyDescent="0.25">
      <c r="A1849" s="31"/>
      <c r="B1849" s="16" t="str">
        <f>IFERROR(VLOOKUP(A1849,Consolidado!$B$1:$L$1500,2,FALSE),"")</f>
        <v/>
      </c>
      <c r="C1849" s="16">
        <f>IFERROR(SUMIF(Consolidado!$B$1:$B$1500,VLOOKUP(RegistroPago!A1849,Consolidado!$B$1:$L$1500,1,FALSE),Consolidado!$G$1:$G$1500),"")</f>
        <v>0</v>
      </c>
      <c r="D1849" s="3"/>
      <c r="E1849" s="3"/>
      <c r="F1849" s="5" t="str">
        <f t="shared" si="115"/>
        <v/>
      </c>
      <c r="G1849" s="16" t="str">
        <f>IF(D1849&lt;&gt;"",D1849-VLOOKUP(A1849,Consolidado!$B$1:$L$1500,8,FALSE),"")</f>
        <v/>
      </c>
      <c r="H1849" s="31"/>
      <c r="I1849" s="32">
        <f t="shared" si="116"/>
        <v>0</v>
      </c>
      <c r="J1849" s="33" t="str">
        <f t="shared" si="117"/>
        <v/>
      </c>
      <c r="K1849" s="2"/>
      <c r="L1849" s="15"/>
      <c r="M1849" s="34">
        <f t="shared" si="118"/>
        <v>0</v>
      </c>
    </row>
    <row r="1850" spans="1:13" x14ac:dyDescent="0.25">
      <c r="A1850" s="31"/>
      <c r="B1850" s="16" t="str">
        <f>IFERROR(VLOOKUP(A1850,Consolidado!$B$1:$L$1500,2,FALSE),"")</f>
        <v/>
      </c>
      <c r="C1850" s="16">
        <f>IFERROR(SUMIF(Consolidado!$B$1:$B$1500,VLOOKUP(RegistroPago!A1850,Consolidado!$B$1:$L$1500,1,FALSE),Consolidado!$G$1:$G$1500),"")</f>
        <v>0</v>
      </c>
      <c r="D1850" s="3"/>
      <c r="E1850" s="3"/>
      <c r="F1850" s="5" t="str">
        <f t="shared" si="115"/>
        <v/>
      </c>
      <c r="G1850" s="16" t="str">
        <f>IF(D1850&lt;&gt;"",D1850-VLOOKUP(A1850,Consolidado!$B$1:$L$1500,8,FALSE),"")</f>
        <v/>
      </c>
      <c r="H1850" s="31"/>
      <c r="I1850" s="32">
        <f t="shared" si="116"/>
        <v>0</v>
      </c>
      <c r="J1850" s="33" t="str">
        <f t="shared" si="117"/>
        <v/>
      </c>
      <c r="K1850" s="2"/>
      <c r="L1850" s="15"/>
      <c r="M1850" s="34">
        <f t="shared" si="118"/>
        <v>0</v>
      </c>
    </row>
    <row r="1851" spans="1:13" x14ac:dyDescent="0.25">
      <c r="A1851" s="31"/>
      <c r="B1851" s="16" t="str">
        <f>IFERROR(VLOOKUP(A1851,Consolidado!$B$1:$L$1500,2,FALSE),"")</f>
        <v/>
      </c>
      <c r="C1851" s="16">
        <f>IFERROR(SUMIF(Consolidado!$B$1:$B$1500,VLOOKUP(RegistroPago!A1851,Consolidado!$B$1:$L$1500,1,FALSE),Consolidado!$G$1:$G$1500),"")</f>
        <v>0</v>
      </c>
      <c r="D1851" s="3"/>
      <c r="E1851" s="3"/>
      <c r="F1851" s="5" t="str">
        <f t="shared" si="115"/>
        <v/>
      </c>
      <c r="G1851" s="16" t="str">
        <f>IF(D1851&lt;&gt;"",D1851-VLOOKUP(A1851,Consolidado!$B$1:$L$1500,8,FALSE),"")</f>
        <v/>
      </c>
      <c r="H1851" s="31"/>
      <c r="I1851" s="32">
        <f t="shared" si="116"/>
        <v>0</v>
      </c>
      <c r="J1851" s="33" t="str">
        <f t="shared" si="117"/>
        <v/>
      </c>
      <c r="K1851" s="2"/>
      <c r="L1851" s="15"/>
      <c r="M1851" s="34">
        <f t="shared" si="118"/>
        <v>0</v>
      </c>
    </row>
    <row r="1852" spans="1:13" x14ac:dyDescent="0.25">
      <c r="A1852" s="31"/>
      <c r="B1852" s="16" t="str">
        <f>IFERROR(VLOOKUP(A1852,Consolidado!$B$1:$L$1500,2,FALSE),"")</f>
        <v/>
      </c>
      <c r="C1852" s="16">
        <f>IFERROR(SUMIF(Consolidado!$B$1:$B$1500,VLOOKUP(RegistroPago!A1852,Consolidado!$B$1:$L$1500,1,FALSE),Consolidado!$G$1:$G$1500),"")</f>
        <v>0</v>
      </c>
      <c r="D1852" s="3"/>
      <c r="E1852" s="3"/>
      <c r="F1852" s="5" t="str">
        <f t="shared" si="115"/>
        <v/>
      </c>
      <c r="G1852" s="16" t="str">
        <f>IF(D1852&lt;&gt;"",D1852-VLOOKUP(A1852,Consolidado!$B$1:$L$1500,8,FALSE),"")</f>
        <v/>
      </c>
      <c r="H1852" s="31"/>
      <c r="I1852" s="32">
        <f t="shared" si="116"/>
        <v>0</v>
      </c>
      <c r="J1852" s="33" t="str">
        <f t="shared" si="117"/>
        <v/>
      </c>
      <c r="K1852" s="2"/>
      <c r="L1852" s="15"/>
      <c r="M1852" s="34">
        <f t="shared" si="118"/>
        <v>0</v>
      </c>
    </row>
    <row r="1853" spans="1:13" x14ac:dyDescent="0.25">
      <c r="A1853" s="31"/>
      <c r="B1853" s="16" t="str">
        <f>IFERROR(VLOOKUP(A1853,Consolidado!$B$1:$L$1500,2,FALSE),"")</f>
        <v/>
      </c>
      <c r="C1853" s="16">
        <f>IFERROR(SUMIF(Consolidado!$B$1:$B$1500,VLOOKUP(RegistroPago!A1853,Consolidado!$B$1:$L$1500,1,FALSE),Consolidado!$G$1:$G$1500),"")</f>
        <v>0</v>
      </c>
      <c r="D1853" s="3"/>
      <c r="E1853" s="3"/>
      <c r="F1853" s="5" t="str">
        <f t="shared" si="115"/>
        <v/>
      </c>
      <c r="G1853" s="16" t="str">
        <f>IF(D1853&lt;&gt;"",D1853-VLOOKUP(A1853,Consolidado!$B$1:$L$1500,8,FALSE),"")</f>
        <v/>
      </c>
      <c r="H1853" s="31"/>
      <c r="I1853" s="32">
        <f t="shared" si="116"/>
        <v>0</v>
      </c>
      <c r="J1853" s="33" t="str">
        <f t="shared" si="117"/>
        <v/>
      </c>
      <c r="K1853" s="2"/>
      <c r="L1853" s="15"/>
      <c r="M1853" s="34">
        <f t="shared" si="118"/>
        <v>0</v>
      </c>
    </row>
    <row r="1854" spans="1:13" x14ac:dyDescent="0.25">
      <c r="A1854" s="31"/>
      <c r="B1854" s="16" t="str">
        <f>IFERROR(VLOOKUP(A1854,Consolidado!$B$1:$L$1500,2,FALSE),"")</f>
        <v/>
      </c>
      <c r="C1854" s="16">
        <f>IFERROR(SUMIF(Consolidado!$B$1:$B$1500,VLOOKUP(RegistroPago!A1854,Consolidado!$B$1:$L$1500,1,FALSE),Consolidado!$G$1:$G$1500),"")</f>
        <v>0</v>
      </c>
      <c r="D1854" s="3"/>
      <c r="E1854" s="3"/>
      <c r="F1854" s="5" t="str">
        <f t="shared" si="115"/>
        <v/>
      </c>
      <c r="G1854" s="16" t="str">
        <f>IF(D1854&lt;&gt;"",D1854-VLOOKUP(A1854,Consolidado!$B$1:$L$1500,8,FALSE),"")</f>
        <v/>
      </c>
      <c r="H1854" s="31"/>
      <c r="I1854" s="32">
        <f t="shared" si="116"/>
        <v>0</v>
      </c>
      <c r="J1854" s="33" t="str">
        <f t="shared" si="117"/>
        <v/>
      </c>
      <c r="K1854" s="2"/>
      <c r="L1854" s="15"/>
      <c r="M1854" s="34">
        <f t="shared" si="118"/>
        <v>0</v>
      </c>
    </row>
    <row r="1855" spans="1:13" x14ac:dyDescent="0.25">
      <c r="A1855" s="31"/>
      <c r="B1855" s="16" t="str">
        <f>IFERROR(VLOOKUP(A1855,Consolidado!$B$1:$L$1500,2,FALSE),"")</f>
        <v/>
      </c>
      <c r="C1855" s="16">
        <f>IFERROR(SUMIF(Consolidado!$B$1:$B$1500,VLOOKUP(RegistroPago!A1855,Consolidado!$B$1:$L$1500,1,FALSE),Consolidado!$G$1:$G$1500),"")</f>
        <v>0</v>
      </c>
      <c r="D1855" s="3"/>
      <c r="E1855" s="3"/>
      <c r="F1855" s="5" t="str">
        <f t="shared" si="115"/>
        <v/>
      </c>
      <c r="G1855" s="16" t="str">
        <f>IF(D1855&lt;&gt;"",D1855-VLOOKUP(A1855,Consolidado!$B$1:$L$1500,8,FALSE),"")</f>
        <v/>
      </c>
      <c r="H1855" s="31"/>
      <c r="I1855" s="32">
        <f t="shared" si="116"/>
        <v>0</v>
      </c>
      <c r="J1855" s="33" t="str">
        <f t="shared" si="117"/>
        <v/>
      </c>
      <c r="K1855" s="2"/>
      <c r="L1855" s="15"/>
      <c r="M1855" s="34">
        <f t="shared" si="118"/>
        <v>0</v>
      </c>
    </row>
    <row r="1856" spans="1:13" x14ac:dyDescent="0.25">
      <c r="A1856" s="31"/>
      <c r="B1856" s="16" t="str">
        <f>IFERROR(VLOOKUP(A1856,Consolidado!$B$1:$L$1500,2,FALSE),"")</f>
        <v/>
      </c>
      <c r="C1856" s="16">
        <f>IFERROR(SUMIF(Consolidado!$B$1:$B$1500,VLOOKUP(RegistroPago!A1856,Consolidado!$B$1:$L$1500,1,FALSE),Consolidado!$G$1:$G$1500),"")</f>
        <v>0</v>
      </c>
      <c r="D1856" s="3"/>
      <c r="E1856" s="3"/>
      <c r="F1856" s="5" t="str">
        <f t="shared" si="115"/>
        <v/>
      </c>
      <c r="G1856" s="16" t="str">
        <f>IF(D1856&lt;&gt;"",D1856-VLOOKUP(A1856,Consolidado!$B$1:$L$1500,8,FALSE),"")</f>
        <v/>
      </c>
      <c r="H1856" s="31"/>
      <c r="I1856" s="32">
        <f t="shared" si="116"/>
        <v>0</v>
      </c>
      <c r="J1856" s="33" t="str">
        <f t="shared" si="117"/>
        <v/>
      </c>
      <c r="K1856" s="2"/>
      <c r="L1856" s="15"/>
      <c r="M1856" s="34">
        <f t="shared" si="118"/>
        <v>0</v>
      </c>
    </row>
    <row r="1857" spans="1:13" x14ac:dyDescent="0.25">
      <c r="A1857" s="31"/>
      <c r="B1857" s="16" t="str">
        <f>IFERROR(VLOOKUP(A1857,Consolidado!$B$1:$L$1500,2,FALSE),"")</f>
        <v/>
      </c>
      <c r="C1857" s="16">
        <f>IFERROR(SUMIF(Consolidado!$B$1:$B$1500,VLOOKUP(RegistroPago!A1857,Consolidado!$B$1:$L$1500,1,FALSE),Consolidado!$G$1:$G$1500),"")</f>
        <v>0</v>
      </c>
      <c r="D1857" s="3"/>
      <c r="E1857" s="3"/>
      <c r="F1857" s="5" t="str">
        <f t="shared" si="115"/>
        <v/>
      </c>
      <c r="G1857" s="16" t="str">
        <f>IF(D1857&lt;&gt;"",D1857-VLOOKUP(A1857,Consolidado!$B$1:$L$1500,8,FALSE),"")</f>
        <v/>
      </c>
      <c r="H1857" s="31"/>
      <c r="I1857" s="32">
        <f t="shared" si="116"/>
        <v>0</v>
      </c>
      <c r="J1857" s="33" t="str">
        <f t="shared" si="117"/>
        <v/>
      </c>
      <c r="K1857" s="2"/>
      <c r="L1857" s="15"/>
      <c r="M1857" s="34">
        <f t="shared" si="118"/>
        <v>0</v>
      </c>
    </row>
    <row r="1858" spans="1:13" x14ac:dyDescent="0.25">
      <c r="A1858" s="31"/>
      <c r="B1858" s="16" t="str">
        <f>IFERROR(VLOOKUP(A1858,Consolidado!$B$1:$L$1500,2,FALSE),"")</f>
        <v/>
      </c>
      <c r="C1858" s="16">
        <f>IFERROR(SUMIF(Consolidado!$B$1:$B$1500,VLOOKUP(RegistroPago!A1858,Consolidado!$B$1:$L$1500,1,FALSE),Consolidado!$G$1:$G$1500),"")</f>
        <v>0</v>
      </c>
      <c r="D1858" s="3"/>
      <c r="E1858" s="3"/>
      <c r="F1858" s="5" t="str">
        <f t="shared" si="115"/>
        <v/>
      </c>
      <c r="G1858" s="16" t="str">
        <f>IF(D1858&lt;&gt;"",D1858-VLOOKUP(A1858,Consolidado!$B$1:$L$1500,8,FALSE),"")</f>
        <v/>
      </c>
      <c r="H1858" s="31"/>
      <c r="I1858" s="32">
        <f t="shared" si="116"/>
        <v>0</v>
      </c>
      <c r="J1858" s="33" t="str">
        <f t="shared" si="117"/>
        <v/>
      </c>
      <c r="K1858" s="2"/>
      <c r="L1858" s="15"/>
      <c r="M1858" s="34">
        <f t="shared" si="118"/>
        <v>0</v>
      </c>
    </row>
    <row r="1859" spans="1:13" x14ac:dyDescent="0.25">
      <c r="A1859" s="31"/>
      <c r="B1859" s="16" t="str">
        <f>IFERROR(VLOOKUP(A1859,Consolidado!$B$1:$L$1500,2,FALSE),"")</f>
        <v/>
      </c>
      <c r="C1859" s="16">
        <f>IFERROR(SUMIF(Consolidado!$B$1:$B$1500,VLOOKUP(RegistroPago!A1859,Consolidado!$B$1:$L$1500,1,FALSE),Consolidado!$G$1:$G$1500),"")</f>
        <v>0</v>
      </c>
      <c r="D1859" s="3"/>
      <c r="E1859" s="3"/>
      <c r="F1859" s="5" t="str">
        <f t="shared" ref="F1859:F1922" si="119">IF(COUNTIF($E$2:$E$2000,E1859)&gt;1,"Ya registrado","")</f>
        <v/>
      </c>
      <c r="G1859" s="16" t="str">
        <f>IF(D1859&lt;&gt;"",D1859-VLOOKUP(A1859,Consolidado!$B$1:$L$1500,8,FALSE),"")</f>
        <v/>
      </c>
      <c r="H1859" s="31"/>
      <c r="I1859" s="32">
        <f t="shared" si="116"/>
        <v>0</v>
      </c>
      <c r="J1859" s="33" t="str">
        <f t="shared" si="117"/>
        <v/>
      </c>
      <c r="K1859" s="2"/>
      <c r="L1859" s="15"/>
      <c r="M1859" s="34">
        <f t="shared" si="118"/>
        <v>0</v>
      </c>
    </row>
    <row r="1860" spans="1:13" x14ac:dyDescent="0.25">
      <c r="A1860" s="31"/>
      <c r="B1860" s="16" t="str">
        <f>IFERROR(VLOOKUP(A1860,Consolidado!$B$1:$L$1500,2,FALSE),"")</f>
        <v/>
      </c>
      <c r="C1860" s="16">
        <f>IFERROR(SUMIF(Consolidado!$B$1:$B$1500,VLOOKUP(RegistroPago!A1860,Consolidado!$B$1:$L$1500,1,FALSE),Consolidado!$G$1:$G$1500),"")</f>
        <v>0</v>
      </c>
      <c r="D1860" s="3"/>
      <c r="E1860" s="3"/>
      <c r="F1860" s="5" t="str">
        <f t="shared" si="119"/>
        <v/>
      </c>
      <c r="G1860" s="16" t="str">
        <f>IF(D1860&lt;&gt;"",D1860-VLOOKUP(A1860,Consolidado!$B$1:$L$1500,8,FALSE),"")</f>
        <v/>
      </c>
      <c r="H1860" s="31"/>
      <c r="I1860" s="32">
        <f t="shared" si="116"/>
        <v>0</v>
      </c>
      <c r="J1860" s="33" t="str">
        <f t="shared" si="117"/>
        <v/>
      </c>
      <c r="K1860" s="2"/>
      <c r="L1860" s="15"/>
      <c r="M1860" s="34">
        <f t="shared" si="118"/>
        <v>0</v>
      </c>
    </row>
    <row r="1861" spans="1:13" x14ac:dyDescent="0.25">
      <c r="A1861" s="31"/>
      <c r="B1861" s="16" t="str">
        <f>IFERROR(VLOOKUP(A1861,Consolidado!$B$1:$L$1500,2,FALSE),"")</f>
        <v/>
      </c>
      <c r="C1861" s="16">
        <f>IFERROR(SUMIF(Consolidado!$B$1:$B$1500,VLOOKUP(RegistroPago!A1861,Consolidado!$B$1:$L$1500,1,FALSE),Consolidado!$G$1:$G$1500),"")</f>
        <v>0</v>
      </c>
      <c r="D1861" s="3"/>
      <c r="E1861" s="3"/>
      <c r="F1861" s="5" t="str">
        <f t="shared" si="119"/>
        <v/>
      </c>
      <c r="G1861" s="16" t="str">
        <f>IF(D1861&lt;&gt;"",D1861-VLOOKUP(A1861,Consolidado!$B$1:$L$1500,8,FALSE),"")</f>
        <v/>
      </c>
      <c r="H1861" s="31"/>
      <c r="I1861" s="32">
        <f t="shared" si="116"/>
        <v>0</v>
      </c>
      <c r="J1861" s="33" t="str">
        <f t="shared" si="117"/>
        <v/>
      </c>
      <c r="K1861" s="2"/>
      <c r="L1861" s="15"/>
      <c r="M1861" s="34">
        <f t="shared" si="118"/>
        <v>0</v>
      </c>
    </row>
    <row r="1862" spans="1:13" x14ac:dyDescent="0.25">
      <c r="A1862" s="31"/>
      <c r="B1862" s="16" t="str">
        <f>IFERROR(VLOOKUP(A1862,Consolidado!$B$1:$L$1500,2,FALSE),"")</f>
        <v/>
      </c>
      <c r="C1862" s="16">
        <f>IFERROR(SUMIF(Consolidado!$B$1:$B$1500,VLOOKUP(RegistroPago!A1862,Consolidado!$B$1:$L$1500,1,FALSE),Consolidado!$G$1:$G$1500),"")</f>
        <v>0</v>
      </c>
      <c r="D1862" s="3"/>
      <c r="E1862" s="3"/>
      <c r="F1862" s="5" t="str">
        <f t="shared" si="119"/>
        <v/>
      </c>
      <c r="G1862" s="16" t="str">
        <f>IF(D1862&lt;&gt;"",D1862-VLOOKUP(A1862,Consolidado!$B$1:$L$1500,8,FALSE),"")</f>
        <v/>
      </c>
      <c r="H1862" s="31"/>
      <c r="I1862" s="32">
        <f t="shared" si="116"/>
        <v>0</v>
      </c>
      <c r="J1862" s="33" t="str">
        <f t="shared" si="117"/>
        <v/>
      </c>
      <c r="K1862" s="2"/>
      <c r="L1862" s="15"/>
      <c r="M1862" s="34">
        <f t="shared" si="118"/>
        <v>0</v>
      </c>
    </row>
    <row r="1863" spans="1:13" x14ac:dyDescent="0.25">
      <c r="A1863" s="31"/>
      <c r="B1863" s="16" t="str">
        <f>IFERROR(VLOOKUP(A1863,Consolidado!$B$1:$L$1500,2,FALSE),"")</f>
        <v/>
      </c>
      <c r="C1863" s="16">
        <f>IFERROR(SUMIF(Consolidado!$B$1:$B$1500,VLOOKUP(RegistroPago!A1863,Consolidado!$B$1:$L$1500,1,FALSE),Consolidado!$G$1:$G$1500),"")</f>
        <v>0</v>
      </c>
      <c r="D1863" s="3"/>
      <c r="E1863" s="3"/>
      <c r="F1863" s="5" t="str">
        <f t="shared" si="119"/>
        <v/>
      </c>
      <c r="G1863" s="16" t="str">
        <f>IF(D1863&lt;&gt;"",D1863-VLOOKUP(A1863,Consolidado!$B$1:$L$1500,8,FALSE),"")</f>
        <v/>
      </c>
      <c r="H1863" s="31"/>
      <c r="I1863" s="32">
        <f t="shared" si="116"/>
        <v>0</v>
      </c>
      <c r="J1863" s="33" t="str">
        <f t="shared" si="117"/>
        <v/>
      </c>
      <c r="K1863" s="2"/>
      <c r="L1863" s="15"/>
      <c r="M1863" s="34">
        <f t="shared" si="118"/>
        <v>0</v>
      </c>
    </row>
    <row r="1864" spans="1:13" x14ac:dyDescent="0.25">
      <c r="A1864" s="31"/>
      <c r="B1864" s="16" t="str">
        <f>IFERROR(VLOOKUP(A1864,Consolidado!$B$1:$L$1500,2,FALSE),"")</f>
        <v/>
      </c>
      <c r="C1864" s="16">
        <f>IFERROR(SUMIF(Consolidado!$B$1:$B$1500,VLOOKUP(RegistroPago!A1864,Consolidado!$B$1:$L$1500,1,FALSE),Consolidado!$G$1:$G$1500),"")</f>
        <v>0</v>
      </c>
      <c r="D1864" s="3"/>
      <c r="E1864" s="3"/>
      <c r="F1864" s="5" t="str">
        <f t="shared" si="119"/>
        <v/>
      </c>
      <c r="G1864" s="16" t="str">
        <f>IF(D1864&lt;&gt;"",D1864-VLOOKUP(A1864,Consolidado!$B$1:$L$1500,8,FALSE),"")</f>
        <v/>
      </c>
      <c r="H1864" s="31"/>
      <c r="I1864" s="32">
        <f t="shared" si="116"/>
        <v>0</v>
      </c>
      <c r="J1864" s="33" t="str">
        <f t="shared" si="117"/>
        <v/>
      </c>
      <c r="K1864" s="2"/>
      <c r="L1864" s="15"/>
      <c r="M1864" s="34">
        <f t="shared" si="118"/>
        <v>0</v>
      </c>
    </row>
    <row r="1865" spans="1:13" x14ac:dyDescent="0.25">
      <c r="A1865" s="31"/>
      <c r="B1865" s="16" t="str">
        <f>IFERROR(VLOOKUP(A1865,Consolidado!$B$1:$L$1500,2,FALSE),"")</f>
        <v/>
      </c>
      <c r="C1865" s="16">
        <f>IFERROR(SUMIF(Consolidado!$B$1:$B$1500,VLOOKUP(RegistroPago!A1865,Consolidado!$B$1:$L$1500,1,FALSE),Consolidado!$G$1:$G$1500),"")</f>
        <v>0</v>
      </c>
      <c r="D1865" s="3"/>
      <c r="E1865" s="3"/>
      <c r="F1865" s="5" t="str">
        <f t="shared" si="119"/>
        <v/>
      </c>
      <c r="G1865" s="16" t="str">
        <f>IF(D1865&lt;&gt;"",D1865-VLOOKUP(A1865,Consolidado!$B$1:$L$1500,8,FALSE),"")</f>
        <v/>
      </c>
      <c r="H1865" s="31"/>
      <c r="I1865" s="32">
        <f t="shared" si="116"/>
        <v>0</v>
      </c>
      <c r="J1865" s="33" t="str">
        <f t="shared" si="117"/>
        <v/>
      </c>
      <c r="K1865" s="2"/>
      <c r="L1865" s="15"/>
      <c r="M1865" s="34">
        <f t="shared" si="118"/>
        <v>0</v>
      </c>
    </row>
    <row r="1866" spans="1:13" x14ac:dyDescent="0.25">
      <c r="A1866" s="31"/>
      <c r="B1866" s="16" t="str">
        <f>IFERROR(VLOOKUP(A1866,Consolidado!$B$1:$L$1500,2,FALSE),"")</f>
        <v/>
      </c>
      <c r="C1866" s="16">
        <f>IFERROR(SUMIF(Consolidado!$B$1:$B$1500,VLOOKUP(RegistroPago!A1866,Consolidado!$B$1:$L$1500,1,FALSE),Consolidado!$G$1:$G$1500),"")</f>
        <v>0</v>
      </c>
      <c r="D1866" s="3"/>
      <c r="E1866" s="3"/>
      <c r="F1866" s="5" t="str">
        <f t="shared" si="119"/>
        <v/>
      </c>
      <c r="G1866" s="16" t="str">
        <f>IF(D1866&lt;&gt;"",D1866-VLOOKUP(A1866,Consolidado!$B$1:$L$1500,8,FALSE),"")</f>
        <v/>
      </c>
      <c r="H1866" s="31"/>
      <c r="I1866" s="32">
        <f t="shared" si="116"/>
        <v>0</v>
      </c>
      <c r="J1866" s="33" t="str">
        <f t="shared" si="117"/>
        <v/>
      </c>
      <c r="K1866" s="2"/>
      <c r="L1866" s="15"/>
      <c r="M1866" s="34">
        <f t="shared" si="118"/>
        <v>0</v>
      </c>
    </row>
    <row r="1867" spans="1:13" x14ac:dyDescent="0.25">
      <c r="A1867" s="31"/>
      <c r="B1867" s="16" t="str">
        <f>IFERROR(VLOOKUP(A1867,Consolidado!$B$1:$L$1500,2,FALSE),"")</f>
        <v/>
      </c>
      <c r="C1867" s="16">
        <f>IFERROR(SUMIF(Consolidado!$B$1:$B$1500,VLOOKUP(RegistroPago!A1867,Consolidado!$B$1:$L$1500,1,FALSE),Consolidado!$G$1:$G$1500),"")</f>
        <v>0</v>
      </c>
      <c r="D1867" s="3"/>
      <c r="E1867" s="3"/>
      <c r="F1867" s="5" t="str">
        <f t="shared" si="119"/>
        <v/>
      </c>
      <c r="G1867" s="16" t="str">
        <f>IF(D1867&lt;&gt;"",D1867-VLOOKUP(A1867,Consolidado!$B$1:$L$1500,8,FALSE),"")</f>
        <v/>
      </c>
      <c r="H1867" s="31"/>
      <c r="I1867" s="32">
        <f t="shared" si="116"/>
        <v>0</v>
      </c>
      <c r="J1867" s="33" t="str">
        <f t="shared" si="117"/>
        <v/>
      </c>
      <c r="K1867" s="2"/>
      <c r="L1867" s="15"/>
      <c r="M1867" s="34">
        <f t="shared" si="118"/>
        <v>0</v>
      </c>
    </row>
    <row r="1868" spans="1:13" x14ac:dyDescent="0.25">
      <c r="A1868" s="31"/>
      <c r="B1868" s="16" t="str">
        <f>IFERROR(VLOOKUP(A1868,Consolidado!$B$1:$L$1500,2,FALSE),"")</f>
        <v/>
      </c>
      <c r="C1868" s="16">
        <f>IFERROR(SUMIF(Consolidado!$B$1:$B$1500,VLOOKUP(RegistroPago!A1868,Consolidado!$B$1:$L$1500,1,FALSE),Consolidado!$G$1:$G$1500),"")</f>
        <v>0</v>
      </c>
      <c r="D1868" s="3"/>
      <c r="E1868" s="3"/>
      <c r="F1868" s="5" t="str">
        <f t="shared" si="119"/>
        <v/>
      </c>
      <c r="G1868" s="16" t="str">
        <f>IF(D1868&lt;&gt;"",D1868-VLOOKUP(A1868,Consolidado!$B$1:$L$1500,8,FALSE),"")</f>
        <v/>
      </c>
      <c r="H1868" s="31"/>
      <c r="I1868" s="32">
        <f t="shared" si="116"/>
        <v>0</v>
      </c>
      <c r="J1868" s="33" t="str">
        <f t="shared" si="117"/>
        <v/>
      </c>
      <c r="K1868" s="2"/>
      <c r="L1868" s="15"/>
      <c r="M1868" s="34">
        <f t="shared" si="118"/>
        <v>0</v>
      </c>
    </row>
    <row r="1869" spans="1:13" x14ac:dyDescent="0.25">
      <c r="A1869" s="31"/>
      <c r="B1869" s="16" t="str">
        <f>IFERROR(VLOOKUP(A1869,Consolidado!$B$1:$L$1500,2,FALSE),"")</f>
        <v/>
      </c>
      <c r="C1869" s="16">
        <f>IFERROR(SUMIF(Consolidado!$B$1:$B$1500,VLOOKUP(RegistroPago!A1869,Consolidado!$B$1:$L$1500,1,FALSE),Consolidado!$G$1:$G$1500),"")</f>
        <v>0</v>
      </c>
      <c r="D1869" s="3"/>
      <c r="E1869" s="3"/>
      <c r="F1869" s="5" t="str">
        <f t="shared" si="119"/>
        <v/>
      </c>
      <c r="G1869" s="16" t="str">
        <f>IF(D1869&lt;&gt;"",D1869-VLOOKUP(A1869,Consolidado!$B$1:$L$1500,8,FALSE),"")</f>
        <v/>
      </c>
      <c r="H1869" s="31"/>
      <c r="I1869" s="32">
        <f t="shared" si="116"/>
        <v>0</v>
      </c>
      <c r="J1869" s="33" t="str">
        <f t="shared" si="117"/>
        <v/>
      </c>
      <c r="K1869" s="2"/>
      <c r="L1869" s="15"/>
      <c r="M1869" s="34">
        <f t="shared" si="118"/>
        <v>0</v>
      </c>
    </row>
    <row r="1870" spans="1:13" x14ac:dyDescent="0.25">
      <c r="A1870" s="31"/>
      <c r="B1870" s="16" t="str">
        <f>IFERROR(VLOOKUP(A1870,Consolidado!$B$1:$L$1500,2,FALSE),"")</f>
        <v/>
      </c>
      <c r="C1870" s="16">
        <f>IFERROR(SUMIF(Consolidado!$B$1:$B$1500,VLOOKUP(RegistroPago!A1870,Consolidado!$B$1:$L$1500,1,FALSE),Consolidado!$G$1:$G$1500),"")</f>
        <v>0</v>
      </c>
      <c r="D1870" s="3"/>
      <c r="E1870" s="3"/>
      <c r="F1870" s="5" t="str">
        <f t="shared" si="119"/>
        <v/>
      </c>
      <c r="G1870" s="16" t="str">
        <f>IF(D1870&lt;&gt;"",D1870-VLOOKUP(A1870,Consolidado!$B$1:$L$1500,8,FALSE),"")</f>
        <v/>
      </c>
      <c r="H1870" s="31"/>
      <c r="I1870" s="32">
        <f t="shared" si="116"/>
        <v>0</v>
      </c>
      <c r="J1870" s="33" t="str">
        <f t="shared" si="117"/>
        <v/>
      </c>
      <c r="K1870" s="2"/>
      <c r="L1870" s="15"/>
      <c r="M1870" s="34">
        <f t="shared" si="118"/>
        <v>0</v>
      </c>
    </row>
    <row r="1871" spans="1:13" x14ac:dyDescent="0.25">
      <c r="A1871" s="31"/>
      <c r="B1871" s="16" t="str">
        <f>IFERROR(VLOOKUP(A1871,Consolidado!$B$1:$L$1500,2,FALSE),"")</f>
        <v/>
      </c>
      <c r="C1871" s="16">
        <f>IFERROR(SUMIF(Consolidado!$B$1:$B$1500,VLOOKUP(RegistroPago!A1871,Consolidado!$B$1:$L$1500,1,FALSE),Consolidado!$G$1:$G$1500),"")</f>
        <v>0</v>
      </c>
      <c r="D1871" s="3"/>
      <c r="E1871" s="3"/>
      <c r="F1871" s="5" t="str">
        <f t="shared" si="119"/>
        <v/>
      </c>
      <c r="G1871" s="16" t="str">
        <f>IF(D1871&lt;&gt;"",D1871-VLOOKUP(A1871,Consolidado!$B$1:$L$1500,8,FALSE),"")</f>
        <v/>
      </c>
      <c r="H1871" s="31"/>
      <c r="I1871" s="32">
        <f t="shared" si="116"/>
        <v>0</v>
      </c>
      <c r="J1871" s="33" t="str">
        <f t="shared" si="117"/>
        <v/>
      </c>
      <c r="K1871" s="2"/>
      <c r="L1871" s="15"/>
      <c r="M1871" s="34">
        <f t="shared" si="118"/>
        <v>0</v>
      </c>
    </row>
    <row r="1872" spans="1:13" x14ac:dyDescent="0.25">
      <c r="A1872" s="31"/>
      <c r="B1872" s="16" t="str">
        <f>IFERROR(VLOOKUP(A1872,Consolidado!$B$1:$L$1500,2,FALSE),"")</f>
        <v/>
      </c>
      <c r="C1872" s="16">
        <f>IFERROR(SUMIF(Consolidado!$B$1:$B$1500,VLOOKUP(RegistroPago!A1872,Consolidado!$B$1:$L$1500,1,FALSE),Consolidado!$G$1:$G$1500),"")</f>
        <v>0</v>
      </c>
      <c r="D1872" s="3"/>
      <c r="E1872" s="3"/>
      <c r="F1872" s="5" t="str">
        <f t="shared" si="119"/>
        <v/>
      </c>
      <c r="G1872" s="16" t="str">
        <f>IF(D1872&lt;&gt;"",D1872-VLOOKUP(A1872,Consolidado!$B$1:$L$1500,8,FALSE),"")</f>
        <v/>
      </c>
      <c r="H1872" s="31"/>
      <c r="I1872" s="32">
        <f t="shared" si="116"/>
        <v>0</v>
      </c>
      <c r="J1872" s="33" t="str">
        <f t="shared" si="117"/>
        <v/>
      </c>
      <c r="K1872" s="2"/>
      <c r="L1872" s="15"/>
      <c r="M1872" s="34">
        <f t="shared" si="118"/>
        <v>0</v>
      </c>
    </row>
    <row r="1873" spans="1:13" x14ac:dyDescent="0.25">
      <c r="A1873" s="31"/>
      <c r="B1873" s="16" t="str">
        <f>IFERROR(VLOOKUP(A1873,Consolidado!$B$1:$L$1500,2,FALSE),"")</f>
        <v/>
      </c>
      <c r="C1873" s="16">
        <f>IFERROR(SUMIF(Consolidado!$B$1:$B$1500,VLOOKUP(RegistroPago!A1873,Consolidado!$B$1:$L$1500,1,FALSE),Consolidado!$G$1:$G$1500),"")</f>
        <v>0</v>
      </c>
      <c r="D1873" s="3"/>
      <c r="E1873" s="3"/>
      <c r="F1873" s="5" t="str">
        <f t="shared" si="119"/>
        <v/>
      </c>
      <c r="G1873" s="16" t="str">
        <f>IF(D1873&lt;&gt;"",D1873-VLOOKUP(A1873,Consolidado!$B$1:$L$1500,8,FALSE),"")</f>
        <v/>
      </c>
      <c r="H1873" s="31"/>
      <c r="I1873" s="32">
        <f t="shared" si="116"/>
        <v>0</v>
      </c>
      <c r="J1873" s="33" t="str">
        <f t="shared" si="117"/>
        <v/>
      </c>
      <c r="K1873" s="2"/>
      <c r="L1873" s="15"/>
      <c r="M1873" s="34">
        <f t="shared" si="118"/>
        <v>0</v>
      </c>
    </row>
    <row r="1874" spans="1:13" x14ac:dyDescent="0.25">
      <c r="A1874" s="31"/>
      <c r="B1874" s="16" t="str">
        <f>IFERROR(VLOOKUP(A1874,Consolidado!$B$1:$L$1500,2,FALSE),"")</f>
        <v/>
      </c>
      <c r="C1874" s="16">
        <f>IFERROR(SUMIF(Consolidado!$B$1:$B$1500,VLOOKUP(RegistroPago!A1874,Consolidado!$B$1:$L$1500,1,FALSE),Consolidado!$G$1:$G$1500),"")</f>
        <v>0</v>
      </c>
      <c r="D1874" s="3"/>
      <c r="E1874" s="3"/>
      <c r="F1874" s="5" t="str">
        <f t="shared" si="119"/>
        <v/>
      </c>
      <c r="G1874" s="16" t="str">
        <f>IF(D1874&lt;&gt;"",D1874-VLOOKUP(A1874,Consolidado!$B$1:$L$1500,8,FALSE),"")</f>
        <v/>
      </c>
      <c r="H1874" s="31"/>
      <c r="I1874" s="32">
        <f t="shared" si="116"/>
        <v>0</v>
      </c>
      <c r="J1874" s="33" t="str">
        <f t="shared" si="117"/>
        <v/>
      </c>
      <c r="K1874" s="2"/>
      <c r="L1874" s="15"/>
      <c r="M1874" s="34">
        <f t="shared" si="118"/>
        <v>0</v>
      </c>
    </row>
    <row r="1875" spans="1:13" x14ac:dyDescent="0.25">
      <c r="A1875" s="31"/>
      <c r="B1875" s="16" t="str">
        <f>IFERROR(VLOOKUP(A1875,Consolidado!$B$1:$L$1500,2,FALSE),"")</f>
        <v/>
      </c>
      <c r="C1875" s="16">
        <f>IFERROR(SUMIF(Consolidado!$B$1:$B$1500,VLOOKUP(RegistroPago!A1875,Consolidado!$B$1:$L$1500,1,FALSE),Consolidado!$G$1:$G$1500),"")</f>
        <v>0</v>
      </c>
      <c r="D1875" s="3"/>
      <c r="E1875" s="3"/>
      <c r="F1875" s="5" t="str">
        <f t="shared" si="119"/>
        <v/>
      </c>
      <c r="G1875" s="16" t="str">
        <f>IF(D1875&lt;&gt;"",D1875-VLOOKUP(A1875,Consolidado!$B$1:$L$1500,8,FALSE),"")</f>
        <v/>
      </c>
      <c r="H1875" s="31"/>
      <c r="I1875" s="32">
        <f t="shared" si="116"/>
        <v>0</v>
      </c>
      <c r="J1875" s="33" t="str">
        <f t="shared" si="117"/>
        <v/>
      </c>
      <c r="K1875" s="2"/>
      <c r="L1875" s="15"/>
      <c r="M1875" s="34">
        <f t="shared" si="118"/>
        <v>0</v>
      </c>
    </row>
    <row r="1876" spans="1:13" x14ac:dyDescent="0.25">
      <c r="A1876" s="31"/>
      <c r="B1876" s="16" t="str">
        <f>IFERROR(VLOOKUP(A1876,Consolidado!$B$1:$L$1500,2,FALSE),"")</f>
        <v/>
      </c>
      <c r="C1876" s="16">
        <f>IFERROR(SUMIF(Consolidado!$B$1:$B$1500,VLOOKUP(RegistroPago!A1876,Consolidado!$B$1:$L$1500,1,FALSE),Consolidado!$G$1:$G$1500),"")</f>
        <v>0</v>
      </c>
      <c r="D1876" s="3"/>
      <c r="E1876" s="3"/>
      <c r="F1876" s="5" t="str">
        <f t="shared" si="119"/>
        <v/>
      </c>
      <c r="G1876" s="16" t="str">
        <f>IF(D1876&lt;&gt;"",D1876-VLOOKUP(A1876,Consolidado!$B$1:$L$1500,8,FALSE),"")</f>
        <v/>
      </c>
      <c r="H1876" s="31"/>
      <c r="I1876" s="32">
        <f t="shared" si="116"/>
        <v>0</v>
      </c>
      <c r="J1876" s="33" t="str">
        <f t="shared" si="117"/>
        <v/>
      </c>
      <c r="K1876" s="2"/>
      <c r="L1876" s="15"/>
      <c r="M1876" s="34">
        <f t="shared" si="118"/>
        <v>0</v>
      </c>
    </row>
    <row r="1877" spans="1:13" x14ac:dyDescent="0.25">
      <c r="A1877" s="31"/>
      <c r="B1877" s="16" t="str">
        <f>IFERROR(VLOOKUP(A1877,Consolidado!$B$1:$L$1500,2,FALSE),"")</f>
        <v/>
      </c>
      <c r="C1877" s="16">
        <f>IFERROR(SUMIF(Consolidado!$B$1:$B$1500,VLOOKUP(RegistroPago!A1877,Consolidado!$B$1:$L$1500,1,FALSE),Consolidado!$G$1:$G$1500),"")</f>
        <v>0</v>
      </c>
      <c r="D1877" s="3"/>
      <c r="E1877" s="3"/>
      <c r="F1877" s="5" t="str">
        <f t="shared" si="119"/>
        <v/>
      </c>
      <c r="G1877" s="16" t="str">
        <f>IF(D1877&lt;&gt;"",D1877-VLOOKUP(A1877,Consolidado!$B$1:$L$1500,8,FALSE),"")</f>
        <v/>
      </c>
      <c r="H1877" s="31"/>
      <c r="I1877" s="32">
        <f t="shared" si="116"/>
        <v>0</v>
      </c>
      <c r="J1877" s="33" t="str">
        <f t="shared" si="117"/>
        <v/>
      </c>
      <c r="K1877" s="2"/>
      <c r="L1877" s="15"/>
      <c r="M1877" s="34">
        <f t="shared" si="118"/>
        <v>0</v>
      </c>
    </row>
    <row r="1878" spans="1:13" x14ac:dyDescent="0.25">
      <c r="A1878" s="31"/>
      <c r="B1878" s="16" t="str">
        <f>IFERROR(VLOOKUP(A1878,Consolidado!$B$1:$L$1500,2,FALSE),"")</f>
        <v/>
      </c>
      <c r="C1878" s="16">
        <f>IFERROR(SUMIF(Consolidado!$B$1:$B$1500,VLOOKUP(RegistroPago!A1878,Consolidado!$B$1:$L$1500,1,FALSE),Consolidado!$G$1:$G$1500),"")</f>
        <v>0</v>
      </c>
      <c r="D1878" s="3"/>
      <c r="E1878" s="3"/>
      <c r="F1878" s="5" t="str">
        <f t="shared" si="119"/>
        <v/>
      </c>
      <c r="G1878" s="16" t="str">
        <f>IF(D1878&lt;&gt;"",D1878-VLOOKUP(A1878,Consolidado!$B$1:$L$1500,8,FALSE),"")</f>
        <v/>
      </c>
      <c r="H1878" s="31"/>
      <c r="I1878" s="32">
        <f t="shared" si="116"/>
        <v>0</v>
      </c>
      <c r="J1878" s="33" t="str">
        <f t="shared" si="117"/>
        <v/>
      </c>
      <c r="K1878" s="2"/>
      <c r="L1878" s="15"/>
      <c r="M1878" s="34">
        <f t="shared" si="118"/>
        <v>0</v>
      </c>
    </row>
    <row r="1879" spans="1:13" x14ac:dyDescent="0.25">
      <c r="A1879" s="31"/>
      <c r="B1879" s="16" t="str">
        <f>IFERROR(VLOOKUP(A1879,Consolidado!$B$1:$L$1500,2,FALSE),"")</f>
        <v/>
      </c>
      <c r="C1879" s="16">
        <f>IFERROR(SUMIF(Consolidado!$B$1:$B$1500,VLOOKUP(RegistroPago!A1879,Consolidado!$B$1:$L$1500,1,FALSE),Consolidado!$G$1:$G$1500),"")</f>
        <v>0</v>
      </c>
      <c r="D1879" s="3"/>
      <c r="E1879" s="3"/>
      <c r="F1879" s="5" t="str">
        <f t="shared" si="119"/>
        <v/>
      </c>
      <c r="G1879" s="16" t="str">
        <f>IF(D1879&lt;&gt;"",D1879-VLOOKUP(A1879,Consolidado!$B$1:$L$1500,8,FALSE),"")</f>
        <v/>
      </c>
      <c r="H1879" s="31"/>
      <c r="I1879" s="32">
        <f t="shared" si="116"/>
        <v>0</v>
      </c>
      <c r="J1879" s="33" t="str">
        <f t="shared" si="117"/>
        <v/>
      </c>
      <c r="K1879" s="2"/>
      <c r="L1879" s="15"/>
      <c r="M1879" s="34">
        <f t="shared" si="118"/>
        <v>0</v>
      </c>
    </row>
    <row r="1880" spans="1:13" x14ac:dyDescent="0.25">
      <c r="A1880" s="31"/>
      <c r="B1880" s="16" t="str">
        <f>IFERROR(VLOOKUP(A1880,Consolidado!$B$1:$L$1500,2,FALSE),"")</f>
        <v/>
      </c>
      <c r="C1880" s="16">
        <f>IFERROR(SUMIF(Consolidado!$B$1:$B$1500,VLOOKUP(RegistroPago!A1880,Consolidado!$B$1:$L$1500,1,FALSE),Consolidado!$G$1:$G$1500),"")</f>
        <v>0</v>
      </c>
      <c r="D1880" s="3"/>
      <c r="E1880" s="3"/>
      <c r="F1880" s="5" t="str">
        <f t="shared" si="119"/>
        <v/>
      </c>
      <c r="G1880" s="16" t="str">
        <f>IF(D1880&lt;&gt;"",D1880-VLOOKUP(A1880,Consolidado!$B$1:$L$1500,8,FALSE),"")</f>
        <v/>
      </c>
      <c r="H1880" s="31"/>
      <c r="I1880" s="32">
        <f t="shared" si="116"/>
        <v>0</v>
      </c>
      <c r="J1880" s="33" t="str">
        <f t="shared" si="117"/>
        <v/>
      </c>
      <c r="K1880" s="2"/>
      <c r="L1880" s="15"/>
      <c r="M1880" s="34">
        <f t="shared" si="118"/>
        <v>0</v>
      </c>
    </row>
    <row r="1881" spans="1:13" x14ac:dyDescent="0.25">
      <c r="A1881" s="31"/>
      <c r="B1881" s="16" t="str">
        <f>IFERROR(VLOOKUP(A1881,Consolidado!$B$1:$L$1500,2,FALSE),"")</f>
        <v/>
      </c>
      <c r="C1881" s="16">
        <f>IFERROR(SUMIF(Consolidado!$B$1:$B$1500,VLOOKUP(RegistroPago!A1881,Consolidado!$B$1:$L$1500,1,FALSE),Consolidado!$G$1:$G$1500),"")</f>
        <v>0</v>
      </c>
      <c r="D1881" s="3"/>
      <c r="E1881" s="3"/>
      <c r="F1881" s="5" t="str">
        <f t="shared" si="119"/>
        <v/>
      </c>
      <c r="G1881" s="16" t="str">
        <f>IF(D1881&lt;&gt;"",D1881-VLOOKUP(A1881,Consolidado!$B$1:$L$1500,8,FALSE),"")</f>
        <v/>
      </c>
      <c r="H1881" s="31"/>
      <c r="I1881" s="32">
        <f t="shared" si="116"/>
        <v>0</v>
      </c>
      <c r="J1881" s="33" t="str">
        <f t="shared" si="117"/>
        <v/>
      </c>
      <c r="K1881" s="2"/>
      <c r="L1881" s="15"/>
      <c r="M1881" s="34">
        <f t="shared" si="118"/>
        <v>0</v>
      </c>
    </row>
    <row r="1882" spans="1:13" x14ac:dyDescent="0.25">
      <c r="A1882" s="31"/>
      <c r="B1882" s="16" t="str">
        <f>IFERROR(VLOOKUP(A1882,Consolidado!$B$1:$L$1500,2,FALSE),"")</f>
        <v/>
      </c>
      <c r="C1882" s="16">
        <f>IFERROR(SUMIF(Consolidado!$B$1:$B$1500,VLOOKUP(RegistroPago!A1882,Consolidado!$B$1:$L$1500,1,FALSE),Consolidado!$G$1:$G$1500),"")</f>
        <v>0</v>
      </c>
      <c r="D1882" s="3"/>
      <c r="E1882" s="3"/>
      <c r="F1882" s="5" t="str">
        <f t="shared" si="119"/>
        <v/>
      </c>
      <c r="G1882" s="16" t="str">
        <f>IF(D1882&lt;&gt;"",D1882-VLOOKUP(A1882,Consolidado!$B$1:$L$1500,8,FALSE),"")</f>
        <v/>
      </c>
      <c r="H1882" s="31"/>
      <c r="I1882" s="32">
        <f t="shared" si="116"/>
        <v>0</v>
      </c>
      <c r="J1882" s="33" t="str">
        <f t="shared" si="117"/>
        <v/>
      </c>
      <c r="K1882" s="2"/>
      <c r="L1882" s="15"/>
      <c r="M1882" s="34">
        <f t="shared" si="118"/>
        <v>0</v>
      </c>
    </row>
    <row r="1883" spans="1:13" x14ac:dyDescent="0.25">
      <c r="A1883" s="31"/>
      <c r="B1883" s="16" t="str">
        <f>IFERROR(VLOOKUP(A1883,Consolidado!$B$1:$L$1500,2,FALSE),"")</f>
        <v/>
      </c>
      <c r="C1883" s="16">
        <f>IFERROR(SUMIF(Consolidado!$B$1:$B$1500,VLOOKUP(RegistroPago!A1883,Consolidado!$B$1:$L$1500,1,FALSE),Consolidado!$G$1:$G$1500),"")</f>
        <v>0</v>
      </c>
      <c r="D1883" s="3"/>
      <c r="E1883" s="3"/>
      <c r="F1883" s="5" t="str">
        <f t="shared" si="119"/>
        <v/>
      </c>
      <c r="G1883" s="16" t="str">
        <f>IF(D1883&lt;&gt;"",D1883-VLOOKUP(A1883,Consolidado!$B$1:$L$1500,8,FALSE),"")</f>
        <v/>
      </c>
      <c r="H1883" s="31"/>
      <c r="I1883" s="32">
        <f t="shared" si="116"/>
        <v>0</v>
      </c>
      <c r="J1883" s="33" t="str">
        <f t="shared" si="117"/>
        <v/>
      </c>
      <c r="K1883" s="2"/>
      <c r="L1883" s="15"/>
      <c r="M1883" s="34">
        <f t="shared" si="118"/>
        <v>0</v>
      </c>
    </row>
    <row r="1884" spans="1:13" x14ac:dyDescent="0.25">
      <c r="A1884" s="31"/>
      <c r="B1884" s="16" t="str">
        <f>IFERROR(VLOOKUP(A1884,Consolidado!$B$1:$L$1500,2,FALSE),"")</f>
        <v/>
      </c>
      <c r="C1884" s="16">
        <f>IFERROR(SUMIF(Consolidado!$B$1:$B$1500,VLOOKUP(RegistroPago!A1884,Consolidado!$B$1:$L$1500,1,FALSE),Consolidado!$G$1:$G$1500),"")</f>
        <v>0</v>
      </c>
      <c r="D1884" s="3"/>
      <c r="E1884" s="3"/>
      <c r="F1884" s="5" t="str">
        <f t="shared" si="119"/>
        <v/>
      </c>
      <c r="G1884" s="16" t="str">
        <f>IF(D1884&lt;&gt;"",D1884-VLOOKUP(A1884,Consolidado!$B$1:$L$1500,8,FALSE),"")</f>
        <v/>
      </c>
      <c r="H1884" s="31"/>
      <c r="I1884" s="32">
        <f t="shared" si="116"/>
        <v>0</v>
      </c>
      <c r="J1884" s="33" t="str">
        <f t="shared" si="117"/>
        <v/>
      </c>
      <c r="K1884" s="2"/>
      <c r="L1884" s="15"/>
      <c r="M1884" s="34">
        <f t="shared" si="118"/>
        <v>0</v>
      </c>
    </row>
    <row r="1885" spans="1:13" x14ac:dyDescent="0.25">
      <c r="A1885" s="31"/>
      <c r="B1885" s="16" t="str">
        <f>IFERROR(VLOOKUP(A1885,Consolidado!$B$1:$L$1500,2,FALSE),"")</f>
        <v/>
      </c>
      <c r="C1885" s="16">
        <f>IFERROR(SUMIF(Consolidado!$B$1:$B$1500,VLOOKUP(RegistroPago!A1885,Consolidado!$B$1:$L$1500,1,FALSE),Consolidado!$G$1:$G$1500),"")</f>
        <v>0</v>
      </c>
      <c r="D1885" s="3"/>
      <c r="E1885" s="3"/>
      <c r="F1885" s="5" t="str">
        <f t="shared" si="119"/>
        <v/>
      </c>
      <c r="G1885" s="16" t="str">
        <f>IF(D1885&lt;&gt;"",D1885-VLOOKUP(A1885,Consolidado!$B$1:$L$1500,8,FALSE),"")</f>
        <v/>
      </c>
      <c r="H1885" s="31"/>
      <c r="I1885" s="32">
        <f t="shared" si="116"/>
        <v>0</v>
      </c>
      <c r="J1885" s="33" t="str">
        <f t="shared" si="117"/>
        <v/>
      </c>
      <c r="K1885" s="2"/>
      <c r="L1885" s="15"/>
      <c r="M1885" s="34">
        <f t="shared" si="118"/>
        <v>0</v>
      </c>
    </row>
    <row r="1886" spans="1:13" x14ac:dyDescent="0.25">
      <c r="A1886" s="31"/>
      <c r="B1886" s="16" t="str">
        <f>IFERROR(VLOOKUP(A1886,Consolidado!$B$1:$L$1500,2,FALSE),"")</f>
        <v/>
      </c>
      <c r="C1886" s="16">
        <f>IFERROR(SUMIF(Consolidado!$B$1:$B$1500,VLOOKUP(RegistroPago!A1886,Consolidado!$B$1:$L$1500,1,FALSE),Consolidado!$G$1:$G$1500),"")</f>
        <v>0</v>
      </c>
      <c r="D1886" s="3"/>
      <c r="E1886" s="3"/>
      <c r="F1886" s="5" t="str">
        <f t="shared" si="119"/>
        <v/>
      </c>
      <c r="G1886" s="16" t="str">
        <f>IF(D1886&lt;&gt;"",D1886-VLOOKUP(A1886,Consolidado!$B$1:$L$1500,8,FALSE),"")</f>
        <v/>
      </c>
      <c r="H1886" s="31"/>
      <c r="I1886" s="32">
        <f t="shared" si="116"/>
        <v>0</v>
      </c>
      <c r="J1886" s="33" t="str">
        <f t="shared" si="117"/>
        <v/>
      </c>
      <c r="K1886" s="2"/>
      <c r="L1886" s="15"/>
      <c r="M1886" s="34">
        <f t="shared" si="118"/>
        <v>0</v>
      </c>
    </row>
    <row r="1887" spans="1:13" x14ac:dyDescent="0.25">
      <c r="A1887" s="31"/>
      <c r="B1887" s="16" t="str">
        <f>IFERROR(VLOOKUP(A1887,Consolidado!$B$1:$L$1500,2,FALSE),"")</f>
        <v/>
      </c>
      <c r="C1887" s="16">
        <f>IFERROR(SUMIF(Consolidado!$B$1:$B$1500,VLOOKUP(RegistroPago!A1887,Consolidado!$B$1:$L$1500,1,FALSE),Consolidado!$G$1:$G$1500),"")</f>
        <v>0</v>
      </c>
      <c r="D1887" s="3"/>
      <c r="E1887" s="3"/>
      <c r="F1887" s="5" t="str">
        <f t="shared" si="119"/>
        <v/>
      </c>
      <c r="G1887" s="16" t="str">
        <f>IF(D1887&lt;&gt;"",D1887-VLOOKUP(A1887,Consolidado!$B$1:$L$1500,8,FALSE),"")</f>
        <v/>
      </c>
      <c r="H1887" s="31"/>
      <c r="I1887" s="32">
        <f t="shared" si="116"/>
        <v>0</v>
      </c>
      <c r="J1887" s="33" t="str">
        <f t="shared" si="117"/>
        <v/>
      </c>
      <c r="K1887" s="2"/>
      <c r="L1887" s="15"/>
      <c r="M1887" s="34">
        <f t="shared" si="118"/>
        <v>0</v>
      </c>
    </row>
    <row r="1888" spans="1:13" x14ac:dyDescent="0.25">
      <c r="A1888" s="31"/>
      <c r="B1888" s="16" t="str">
        <f>IFERROR(VLOOKUP(A1888,Consolidado!$B$1:$L$1500,2,FALSE),"")</f>
        <v/>
      </c>
      <c r="C1888" s="16">
        <f>IFERROR(SUMIF(Consolidado!$B$1:$B$1500,VLOOKUP(RegistroPago!A1888,Consolidado!$B$1:$L$1500,1,FALSE),Consolidado!$G$1:$G$1500),"")</f>
        <v>0</v>
      </c>
      <c r="D1888" s="3"/>
      <c r="E1888" s="3"/>
      <c r="F1888" s="5" t="str">
        <f t="shared" si="119"/>
        <v/>
      </c>
      <c r="G1888" s="16" t="str">
        <f>IF(D1888&lt;&gt;"",D1888-VLOOKUP(A1888,Consolidado!$B$1:$L$1500,8,FALSE),"")</f>
        <v/>
      </c>
      <c r="H1888" s="31"/>
      <c r="I1888" s="32">
        <f t="shared" si="116"/>
        <v>0</v>
      </c>
      <c r="J1888" s="33" t="str">
        <f t="shared" si="117"/>
        <v/>
      </c>
      <c r="K1888" s="2"/>
      <c r="L1888" s="15"/>
      <c r="M1888" s="34">
        <f t="shared" si="118"/>
        <v>0</v>
      </c>
    </row>
    <row r="1889" spans="1:13" x14ac:dyDescent="0.25">
      <c r="A1889" s="31"/>
      <c r="B1889" s="16" t="str">
        <f>IFERROR(VLOOKUP(A1889,Consolidado!$B$1:$L$1500,2,FALSE),"")</f>
        <v/>
      </c>
      <c r="C1889" s="16">
        <f>IFERROR(SUMIF(Consolidado!$B$1:$B$1500,VLOOKUP(RegistroPago!A1889,Consolidado!$B$1:$L$1500,1,FALSE),Consolidado!$G$1:$G$1500),"")</f>
        <v>0</v>
      </c>
      <c r="D1889" s="3"/>
      <c r="E1889" s="3"/>
      <c r="F1889" s="5" t="str">
        <f t="shared" si="119"/>
        <v/>
      </c>
      <c r="G1889" s="16" t="str">
        <f>IF(D1889&lt;&gt;"",D1889-VLOOKUP(A1889,Consolidado!$B$1:$L$1500,8,FALSE),"")</f>
        <v/>
      </c>
      <c r="H1889" s="31"/>
      <c r="I1889" s="32">
        <f t="shared" si="116"/>
        <v>0</v>
      </c>
      <c r="J1889" s="33" t="str">
        <f t="shared" si="117"/>
        <v/>
      </c>
      <c r="K1889" s="2"/>
      <c r="L1889" s="15"/>
      <c r="M1889" s="34">
        <f t="shared" si="118"/>
        <v>0</v>
      </c>
    </row>
    <row r="1890" spans="1:13" x14ac:dyDescent="0.25">
      <c r="A1890" s="31"/>
      <c r="B1890" s="16" t="str">
        <f>IFERROR(VLOOKUP(A1890,Consolidado!$B$1:$L$1500,2,FALSE),"")</f>
        <v/>
      </c>
      <c r="C1890" s="16">
        <f>IFERROR(SUMIF(Consolidado!$B$1:$B$1500,VLOOKUP(RegistroPago!A1890,Consolidado!$B$1:$L$1500,1,FALSE),Consolidado!$G$1:$G$1500),"")</f>
        <v>0</v>
      </c>
      <c r="D1890" s="3"/>
      <c r="E1890" s="3"/>
      <c r="F1890" s="5" t="str">
        <f t="shared" si="119"/>
        <v/>
      </c>
      <c r="G1890" s="16" t="str">
        <f>IF(D1890&lt;&gt;"",D1890-VLOOKUP(A1890,Consolidado!$B$1:$L$1500,8,FALSE),"")</f>
        <v/>
      </c>
      <c r="H1890" s="31"/>
      <c r="I1890" s="32">
        <f t="shared" si="116"/>
        <v>0</v>
      </c>
      <c r="J1890" s="33" t="str">
        <f t="shared" si="117"/>
        <v/>
      </c>
      <c r="K1890" s="2"/>
      <c r="L1890" s="15"/>
      <c r="M1890" s="34">
        <f t="shared" si="118"/>
        <v>0</v>
      </c>
    </row>
    <row r="1891" spans="1:13" x14ac:dyDescent="0.25">
      <c r="A1891" s="31"/>
      <c r="B1891" s="16" t="str">
        <f>IFERROR(VLOOKUP(A1891,Consolidado!$B$1:$L$1500,2,FALSE),"")</f>
        <v/>
      </c>
      <c r="C1891" s="16">
        <f>IFERROR(SUMIF(Consolidado!$B$1:$B$1500,VLOOKUP(RegistroPago!A1891,Consolidado!$B$1:$L$1500,1,FALSE),Consolidado!$G$1:$G$1500),"")</f>
        <v>0</v>
      </c>
      <c r="D1891" s="3"/>
      <c r="E1891" s="3"/>
      <c r="F1891" s="5" t="str">
        <f t="shared" si="119"/>
        <v/>
      </c>
      <c r="G1891" s="16" t="str">
        <f>IF(D1891&lt;&gt;"",D1891-VLOOKUP(A1891,Consolidado!$B$1:$L$1500,8,FALSE),"")</f>
        <v/>
      </c>
      <c r="H1891" s="31"/>
      <c r="I1891" s="32">
        <f t="shared" si="116"/>
        <v>0</v>
      </c>
      <c r="J1891" s="33" t="str">
        <f t="shared" si="117"/>
        <v/>
      </c>
      <c r="K1891" s="2"/>
      <c r="L1891" s="15"/>
      <c r="M1891" s="34">
        <f t="shared" si="118"/>
        <v>0</v>
      </c>
    </row>
    <row r="1892" spans="1:13" x14ac:dyDescent="0.25">
      <c r="A1892" s="31"/>
      <c r="B1892" s="16" t="str">
        <f>IFERROR(VLOOKUP(A1892,Consolidado!$B$1:$L$1500,2,FALSE),"")</f>
        <v/>
      </c>
      <c r="C1892" s="16">
        <f>IFERROR(SUMIF(Consolidado!$B$1:$B$1500,VLOOKUP(RegistroPago!A1892,Consolidado!$B$1:$L$1500,1,FALSE),Consolidado!$G$1:$G$1500),"")</f>
        <v>0</v>
      </c>
      <c r="D1892" s="3"/>
      <c r="E1892" s="3"/>
      <c r="F1892" s="5" t="str">
        <f t="shared" si="119"/>
        <v/>
      </c>
      <c r="G1892" s="16" t="str">
        <f>IF(D1892&lt;&gt;"",D1892-VLOOKUP(A1892,Consolidado!$B$1:$L$1500,8,FALSE),"")</f>
        <v/>
      </c>
      <c r="H1892" s="31"/>
      <c r="I1892" s="32">
        <f t="shared" si="116"/>
        <v>0</v>
      </c>
      <c r="J1892" s="33" t="str">
        <f t="shared" si="117"/>
        <v/>
      </c>
      <c r="K1892" s="2"/>
      <c r="L1892" s="15"/>
      <c r="M1892" s="34">
        <f t="shared" si="118"/>
        <v>0</v>
      </c>
    </row>
    <row r="1893" spans="1:13" x14ac:dyDescent="0.25">
      <c r="A1893" s="31"/>
      <c r="B1893" s="16" t="str">
        <f>IFERROR(VLOOKUP(A1893,Consolidado!$B$1:$L$1500,2,FALSE),"")</f>
        <v/>
      </c>
      <c r="C1893" s="16">
        <f>IFERROR(SUMIF(Consolidado!$B$1:$B$1500,VLOOKUP(RegistroPago!A1893,Consolidado!$B$1:$L$1500,1,FALSE),Consolidado!$G$1:$G$1500),"")</f>
        <v>0</v>
      </c>
      <c r="D1893" s="3"/>
      <c r="E1893" s="3"/>
      <c r="F1893" s="5" t="str">
        <f t="shared" si="119"/>
        <v/>
      </c>
      <c r="G1893" s="16" t="str">
        <f>IF(D1893&lt;&gt;"",D1893-VLOOKUP(A1893,Consolidado!$B$1:$L$1500,8,FALSE),"")</f>
        <v/>
      </c>
      <c r="H1893" s="31"/>
      <c r="I1893" s="32">
        <f t="shared" si="116"/>
        <v>0</v>
      </c>
      <c r="J1893" s="33" t="str">
        <f t="shared" si="117"/>
        <v/>
      </c>
      <c r="K1893" s="2"/>
      <c r="L1893" s="15"/>
      <c r="M1893" s="34">
        <f t="shared" si="118"/>
        <v>0</v>
      </c>
    </row>
    <row r="1894" spans="1:13" x14ac:dyDescent="0.25">
      <c r="A1894" s="31"/>
      <c r="B1894" s="16" t="str">
        <f>IFERROR(VLOOKUP(A1894,Consolidado!$B$1:$L$1500,2,FALSE),"")</f>
        <v/>
      </c>
      <c r="C1894" s="16">
        <f>IFERROR(SUMIF(Consolidado!$B$1:$B$1500,VLOOKUP(RegistroPago!A1894,Consolidado!$B$1:$L$1500,1,FALSE),Consolidado!$G$1:$G$1500),"")</f>
        <v>0</v>
      </c>
      <c r="D1894" s="3"/>
      <c r="E1894" s="3"/>
      <c r="F1894" s="5" t="str">
        <f t="shared" si="119"/>
        <v/>
      </c>
      <c r="G1894" s="16" t="str">
        <f>IF(D1894&lt;&gt;"",D1894-VLOOKUP(A1894,Consolidado!$B$1:$L$1500,8,FALSE),"")</f>
        <v/>
      </c>
      <c r="H1894" s="31"/>
      <c r="I1894" s="32">
        <f t="shared" si="116"/>
        <v>0</v>
      </c>
      <c r="J1894" s="33" t="str">
        <f t="shared" si="117"/>
        <v/>
      </c>
      <c r="K1894" s="2"/>
      <c r="L1894" s="15"/>
      <c r="M1894" s="34">
        <f t="shared" si="118"/>
        <v>0</v>
      </c>
    </row>
    <row r="1895" spans="1:13" x14ac:dyDescent="0.25">
      <c r="A1895" s="31"/>
      <c r="B1895" s="16" t="str">
        <f>IFERROR(VLOOKUP(A1895,Consolidado!$B$1:$L$1500,2,FALSE),"")</f>
        <v/>
      </c>
      <c r="C1895" s="16">
        <f>IFERROR(SUMIF(Consolidado!$B$1:$B$1500,VLOOKUP(RegistroPago!A1895,Consolidado!$B$1:$L$1500,1,FALSE),Consolidado!$G$1:$G$1500),"")</f>
        <v>0</v>
      </c>
      <c r="D1895" s="3"/>
      <c r="E1895" s="3"/>
      <c r="F1895" s="5" t="str">
        <f t="shared" si="119"/>
        <v/>
      </c>
      <c r="G1895" s="16" t="str">
        <f>IF(D1895&lt;&gt;"",D1895-VLOOKUP(A1895,Consolidado!$B$1:$L$1500,8,FALSE),"")</f>
        <v/>
      </c>
      <c r="H1895" s="31"/>
      <c r="I1895" s="32">
        <f t="shared" si="116"/>
        <v>0</v>
      </c>
      <c r="J1895" s="33" t="str">
        <f t="shared" si="117"/>
        <v/>
      </c>
      <c r="K1895" s="2"/>
      <c r="L1895" s="15"/>
      <c r="M1895" s="34">
        <f t="shared" si="118"/>
        <v>0</v>
      </c>
    </row>
    <row r="1896" spans="1:13" x14ac:dyDescent="0.25">
      <c r="A1896" s="31"/>
      <c r="B1896" s="16" t="str">
        <f>IFERROR(VLOOKUP(A1896,Consolidado!$B$1:$L$1500,2,FALSE),"")</f>
        <v/>
      </c>
      <c r="C1896" s="16">
        <f>IFERROR(SUMIF(Consolidado!$B$1:$B$1500,VLOOKUP(RegistroPago!A1896,Consolidado!$B$1:$L$1500,1,FALSE),Consolidado!$G$1:$G$1500),"")</f>
        <v>0</v>
      </c>
      <c r="D1896" s="3"/>
      <c r="E1896" s="3"/>
      <c r="F1896" s="5" t="str">
        <f t="shared" si="119"/>
        <v/>
      </c>
      <c r="G1896" s="16" t="str">
        <f>IF(D1896&lt;&gt;"",D1896-VLOOKUP(A1896,Consolidado!$B$1:$L$1500,8,FALSE),"")</f>
        <v/>
      </c>
      <c r="H1896" s="31"/>
      <c r="I1896" s="32">
        <f t="shared" si="116"/>
        <v>0</v>
      </c>
      <c r="J1896" s="33" t="str">
        <f t="shared" si="117"/>
        <v/>
      </c>
      <c r="K1896" s="2"/>
      <c r="L1896" s="15"/>
      <c r="M1896" s="34">
        <f t="shared" si="118"/>
        <v>0</v>
      </c>
    </row>
    <row r="1897" spans="1:13" x14ac:dyDescent="0.25">
      <c r="A1897" s="31"/>
      <c r="B1897" s="16" t="str">
        <f>IFERROR(VLOOKUP(A1897,Consolidado!$B$1:$L$1500,2,FALSE),"")</f>
        <v/>
      </c>
      <c r="C1897" s="16">
        <f>IFERROR(SUMIF(Consolidado!$B$1:$B$1500,VLOOKUP(RegistroPago!A1897,Consolidado!$B$1:$L$1500,1,FALSE),Consolidado!$G$1:$G$1500),"")</f>
        <v>0</v>
      </c>
      <c r="D1897" s="3"/>
      <c r="E1897" s="3"/>
      <c r="F1897" s="5" t="str">
        <f t="shared" si="119"/>
        <v/>
      </c>
      <c r="G1897" s="16" t="str">
        <f>IF(D1897&lt;&gt;"",D1897-VLOOKUP(A1897,Consolidado!$B$1:$L$1500,8,FALSE),"")</f>
        <v/>
      </c>
      <c r="H1897" s="31"/>
      <c r="I1897" s="32">
        <f t="shared" ref="I1897:I1960" si="120">IFERROR(SUMIF($E$1:$E$2000,H1897,$C$1:$C$2000)-SUMIF($E$1:$E$2000,H1897,$F$1:$F$2000),"")</f>
        <v>0</v>
      </c>
      <c r="J1897" s="33" t="str">
        <f t="shared" ref="J1897:J1960" si="121">IFERROR(I1897/SUMIF($E$1:$E$2000,H1897,$C$1:$C$2000),"")</f>
        <v/>
      </c>
      <c r="K1897" s="2"/>
      <c r="L1897" s="15"/>
      <c r="M1897" s="34">
        <f t="shared" ref="M1897:M1960" si="122">IFERROR(L1897*SUMIF($E$1:$E$2000,H1897,$F$1:$F$2000),"")</f>
        <v>0</v>
      </c>
    </row>
    <row r="1898" spans="1:13" x14ac:dyDescent="0.25">
      <c r="A1898" s="31"/>
      <c r="B1898" s="16" t="str">
        <f>IFERROR(VLOOKUP(A1898,Consolidado!$B$1:$L$1500,2,FALSE),"")</f>
        <v/>
      </c>
      <c r="C1898" s="16">
        <f>IFERROR(SUMIF(Consolidado!$B$1:$B$1500,VLOOKUP(RegistroPago!A1898,Consolidado!$B$1:$L$1500,1,FALSE),Consolidado!$G$1:$G$1500),"")</f>
        <v>0</v>
      </c>
      <c r="D1898" s="3"/>
      <c r="E1898" s="3"/>
      <c r="F1898" s="5" t="str">
        <f t="shared" si="119"/>
        <v/>
      </c>
      <c r="G1898" s="16" t="str">
        <f>IF(D1898&lt;&gt;"",D1898-VLOOKUP(A1898,Consolidado!$B$1:$L$1500,8,FALSE),"")</f>
        <v/>
      </c>
      <c r="H1898" s="31"/>
      <c r="I1898" s="32">
        <f t="shared" si="120"/>
        <v>0</v>
      </c>
      <c r="J1898" s="33" t="str">
        <f t="shared" si="121"/>
        <v/>
      </c>
      <c r="K1898" s="2"/>
      <c r="L1898" s="15"/>
      <c r="M1898" s="34">
        <f t="shared" si="122"/>
        <v>0</v>
      </c>
    </row>
    <row r="1899" spans="1:13" x14ac:dyDescent="0.25">
      <c r="A1899" s="31"/>
      <c r="B1899" s="16" t="str">
        <f>IFERROR(VLOOKUP(A1899,Consolidado!$B$1:$L$1500,2,FALSE),"")</f>
        <v/>
      </c>
      <c r="C1899" s="16">
        <f>IFERROR(SUMIF(Consolidado!$B$1:$B$1500,VLOOKUP(RegistroPago!A1899,Consolidado!$B$1:$L$1500,1,FALSE),Consolidado!$G$1:$G$1500),"")</f>
        <v>0</v>
      </c>
      <c r="D1899" s="3"/>
      <c r="E1899" s="3"/>
      <c r="F1899" s="5" t="str">
        <f t="shared" si="119"/>
        <v/>
      </c>
      <c r="G1899" s="16" t="str">
        <f>IF(D1899&lt;&gt;"",D1899-VLOOKUP(A1899,Consolidado!$B$1:$L$1500,8,FALSE),"")</f>
        <v/>
      </c>
      <c r="H1899" s="31"/>
      <c r="I1899" s="32">
        <f t="shared" si="120"/>
        <v>0</v>
      </c>
      <c r="J1899" s="33" t="str">
        <f t="shared" si="121"/>
        <v/>
      </c>
      <c r="K1899" s="2"/>
      <c r="L1899" s="15"/>
      <c r="M1899" s="34">
        <f t="shared" si="122"/>
        <v>0</v>
      </c>
    </row>
    <row r="1900" spans="1:13" x14ac:dyDescent="0.25">
      <c r="A1900" s="31"/>
      <c r="B1900" s="16" t="str">
        <f>IFERROR(VLOOKUP(A1900,Consolidado!$B$1:$L$1500,2,FALSE),"")</f>
        <v/>
      </c>
      <c r="C1900" s="16">
        <f>IFERROR(SUMIF(Consolidado!$B$1:$B$1500,VLOOKUP(RegistroPago!A1900,Consolidado!$B$1:$L$1500,1,FALSE),Consolidado!$G$1:$G$1500),"")</f>
        <v>0</v>
      </c>
      <c r="D1900" s="3"/>
      <c r="E1900" s="3"/>
      <c r="F1900" s="5" t="str">
        <f t="shared" si="119"/>
        <v/>
      </c>
      <c r="G1900" s="16" t="str">
        <f>IF(D1900&lt;&gt;"",D1900-VLOOKUP(A1900,Consolidado!$B$1:$L$1500,8,FALSE),"")</f>
        <v/>
      </c>
      <c r="H1900" s="31"/>
      <c r="I1900" s="32">
        <f t="shared" si="120"/>
        <v>0</v>
      </c>
      <c r="J1900" s="33" t="str">
        <f t="shared" si="121"/>
        <v/>
      </c>
      <c r="K1900" s="2"/>
      <c r="L1900" s="15"/>
      <c r="M1900" s="34">
        <f t="shared" si="122"/>
        <v>0</v>
      </c>
    </row>
    <row r="1901" spans="1:13" x14ac:dyDescent="0.25">
      <c r="A1901" s="31"/>
      <c r="B1901" s="16" t="str">
        <f>IFERROR(VLOOKUP(A1901,Consolidado!$B$1:$L$1500,2,FALSE),"")</f>
        <v/>
      </c>
      <c r="C1901" s="16">
        <f>IFERROR(SUMIF(Consolidado!$B$1:$B$1500,VLOOKUP(RegistroPago!A1901,Consolidado!$B$1:$L$1500,1,FALSE),Consolidado!$G$1:$G$1500),"")</f>
        <v>0</v>
      </c>
      <c r="D1901" s="3"/>
      <c r="E1901" s="3"/>
      <c r="F1901" s="5" t="str">
        <f t="shared" si="119"/>
        <v/>
      </c>
      <c r="G1901" s="16" t="str">
        <f>IF(D1901&lt;&gt;"",D1901-VLOOKUP(A1901,Consolidado!$B$1:$L$1500,8,FALSE),"")</f>
        <v/>
      </c>
      <c r="H1901" s="31"/>
      <c r="I1901" s="32">
        <f t="shared" si="120"/>
        <v>0</v>
      </c>
      <c r="J1901" s="33" t="str">
        <f t="shared" si="121"/>
        <v/>
      </c>
      <c r="K1901" s="2"/>
      <c r="L1901" s="15"/>
      <c r="M1901" s="34">
        <f t="shared" si="122"/>
        <v>0</v>
      </c>
    </row>
    <row r="1902" spans="1:13" x14ac:dyDescent="0.25">
      <c r="A1902" s="31"/>
      <c r="B1902" s="16" t="str">
        <f>IFERROR(VLOOKUP(A1902,Consolidado!$B$1:$L$1500,2,FALSE),"")</f>
        <v/>
      </c>
      <c r="C1902" s="16">
        <f>IFERROR(SUMIF(Consolidado!$B$1:$B$1500,VLOOKUP(RegistroPago!A1902,Consolidado!$B$1:$L$1500,1,FALSE),Consolidado!$G$1:$G$1500),"")</f>
        <v>0</v>
      </c>
      <c r="D1902" s="3"/>
      <c r="E1902" s="3"/>
      <c r="F1902" s="5" t="str">
        <f t="shared" si="119"/>
        <v/>
      </c>
      <c r="G1902" s="16" t="str">
        <f>IF(D1902&lt;&gt;"",D1902-VLOOKUP(A1902,Consolidado!$B$1:$L$1500,8,FALSE),"")</f>
        <v/>
      </c>
      <c r="H1902" s="31"/>
      <c r="I1902" s="32">
        <f t="shared" si="120"/>
        <v>0</v>
      </c>
      <c r="J1902" s="33" t="str">
        <f t="shared" si="121"/>
        <v/>
      </c>
      <c r="K1902" s="2"/>
      <c r="L1902" s="15"/>
      <c r="M1902" s="34">
        <f t="shared" si="122"/>
        <v>0</v>
      </c>
    </row>
    <row r="1903" spans="1:13" x14ac:dyDescent="0.25">
      <c r="A1903" s="31"/>
      <c r="B1903" s="16" t="str">
        <f>IFERROR(VLOOKUP(A1903,Consolidado!$B$1:$L$1500,2,FALSE),"")</f>
        <v/>
      </c>
      <c r="C1903" s="16">
        <f>IFERROR(SUMIF(Consolidado!$B$1:$B$1500,VLOOKUP(RegistroPago!A1903,Consolidado!$B$1:$L$1500,1,FALSE),Consolidado!$G$1:$G$1500),"")</f>
        <v>0</v>
      </c>
      <c r="D1903" s="3"/>
      <c r="E1903" s="3"/>
      <c r="F1903" s="5" t="str">
        <f t="shared" si="119"/>
        <v/>
      </c>
      <c r="G1903" s="16" t="str">
        <f>IF(D1903&lt;&gt;"",D1903-VLOOKUP(A1903,Consolidado!$B$1:$L$1500,8,FALSE),"")</f>
        <v/>
      </c>
      <c r="H1903" s="31"/>
      <c r="I1903" s="32">
        <f t="shared" si="120"/>
        <v>0</v>
      </c>
      <c r="J1903" s="33" t="str">
        <f t="shared" si="121"/>
        <v/>
      </c>
      <c r="K1903" s="2"/>
      <c r="L1903" s="15"/>
      <c r="M1903" s="34">
        <f t="shared" si="122"/>
        <v>0</v>
      </c>
    </row>
    <row r="1904" spans="1:13" x14ac:dyDescent="0.25">
      <c r="A1904" s="31"/>
      <c r="B1904" s="16" t="str">
        <f>IFERROR(VLOOKUP(A1904,Consolidado!$B$1:$L$1500,2,FALSE),"")</f>
        <v/>
      </c>
      <c r="C1904" s="16">
        <f>IFERROR(SUMIF(Consolidado!$B$1:$B$1500,VLOOKUP(RegistroPago!A1904,Consolidado!$B$1:$L$1500,1,FALSE),Consolidado!$G$1:$G$1500),"")</f>
        <v>0</v>
      </c>
      <c r="D1904" s="3"/>
      <c r="E1904" s="3"/>
      <c r="F1904" s="5" t="str">
        <f t="shared" si="119"/>
        <v/>
      </c>
      <c r="G1904" s="16" t="str">
        <f>IF(D1904&lt;&gt;"",D1904-VLOOKUP(A1904,Consolidado!$B$1:$L$1500,8,FALSE),"")</f>
        <v/>
      </c>
      <c r="H1904" s="31"/>
      <c r="I1904" s="32">
        <f t="shared" si="120"/>
        <v>0</v>
      </c>
      <c r="J1904" s="33" t="str">
        <f t="shared" si="121"/>
        <v/>
      </c>
      <c r="K1904" s="2"/>
      <c r="L1904" s="15"/>
      <c r="M1904" s="34">
        <f t="shared" si="122"/>
        <v>0</v>
      </c>
    </row>
    <row r="1905" spans="1:13" x14ac:dyDescent="0.25">
      <c r="A1905" s="31"/>
      <c r="B1905" s="16" t="str">
        <f>IFERROR(VLOOKUP(A1905,Consolidado!$B$1:$L$1500,2,FALSE),"")</f>
        <v/>
      </c>
      <c r="C1905" s="16">
        <f>IFERROR(SUMIF(Consolidado!$B$1:$B$1500,VLOOKUP(RegistroPago!A1905,Consolidado!$B$1:$L$1500,1,FALSE),Consolidado!$G$1:$G$1500),"")</f>
        <v>0</v>
      </c>
      <c r="D1905" s="3"/>
      <c r="E1905" s="3"/>
      <c r="F1905" s="5" t="str">
        <f t="shared" si="119"/>
        <v/>
      </c>
      <c r="G1905" s="16" t="str">
        <f>IF(D1905&lt;&gt;"",D1905-VLOOKUP(A1905,Consolidado!$B$1:$L$1500,8,FALSE),"")</f>
        <v/>
      </c>
      <c r="H1905" s="31"/>
      <c r="I1905" s="32">
        <f t="shared" si="120"/>
        <v>0</v>
      </c>
      <c r="J1905" s="33" t="str">
        <f t="shared" si="121"/>
        <v/>
      </c>
      <c r="K1905" s="2"/>
      <c r="L1905" s="15"/>
      <c r="M1905" s="34">
        <f t="shared" si="122"/>
        <v>0</v>
      </c>
    </row>
    <row r="1906" spans="1:13" x14ac:dyDescent="0.25">
      <c r="A1906" s="31"/>
      <c r="B1906" s="16" t="str">
        <f>IFERROR(VLOOKUP(A1906,Consolidado!$B$1:$L$1500,2,FALSE),"")</f>
        <v/>
      </c>
      <c r="C1906" s="16">
        <f>IFERROR(SUMIF(Consolidado!$B$1:$B$1500,VLOOKUP(RegistroPago!A1906,Consolidado!$B$1:$L$1500,1,FALSE),Consolidado!$G$1:$G$1500),"")</f>
        <v>0</v>
      </c>
      <c r="D1906" s="3"/>
      <c r="E1906" s="3"/>
      <c r="F1906" s="5" t="str">
        <f t="shared" si="119"/>
        <v/>
      </c>
      <c r="G1906" s="16" t="str">
        <f>IF(D1906&lt;&gt;"",D1906-VLOOKUP(A1906,Consolidado!$B$1:$L$1500,8,FALSE),"")</f>
        <v/>
      </c>
      <c r="H1906" s="31"/>
      <c r="I1906" s="32">
        <f t="shared" si="120"/>
        <v>0</v>
      </c>
      <c r="J1906" s="33" t="str">
        <f t="shared" si="121"/>
        <v/>
      </c>
      <c r="K1906" s="2"/>
      <c r="L1906" s="15"/>
      <c r="M1906" s="34">
        <f t="shared" si="122"/>
        <v>0</v>
      </c>
    </row>
    <row r="1907" spans="1:13" x14ac:dyDescent="0.25">
      <c r="A1907" s="31"/>
      <c r="B1907" s="16" t="str">
        <f>IFERROR(VLOOKUP(A1907,Consolidado!$B$1:$L$1500,2,FALSE),"")</f>
        <v/>
      </c>
      <c r="C1907" s="16">
        <f>IFERROR(SUMIF(Consolidado!$B$1:$B$1500,VLOOKUP(RegistroPago!A1907,Consolidado!$B$1:$L$1500,1,FALSE),Consolidado!$G$1:$G$1500),"")</f>
        <v>0</v>
      </c>
      <c r="D1907" s="3"/>
      <c r="E1907" s="3"/>
      <c r="F1907" s="5" t="str">
        <f t="shared" si="119"/>
        <v/>
      </c>
      <c r="G1907" s="16" t="str">
        <f>IF(D1907&lt;&gt;"",D1907-VLOOKUP(A1907,Consolidado!$B$1:$L$1500,8,FALSE),"")</f>
        <v/>
      </c>
      <c r="H1907" s="31"/>
      <c r="I1907" s="32">
        <f t="shared" si="120"/>
        <v>0</v>
      </c>
      <c r="J1907" s="33" t="str">
        <f t="shared" si="121"/>
        <v/>
      </c>
      <c r="K1907" s="2"/>
      <c r="L1907" s="15"/>
      <c r="M1907" s="34">
        <f t="shared" si="122"/>
        <v>0</v>
      </c>
    </row>
    <row r="1908" spans="1:13" x14ac:dyDescent="0.25">
      <c r="A1908" s="31"/>
      <c r="B1908" s="16" t="str">
        <f>IFERROR(VLOOKUP(A1908,Consolidado!$B$1:$L$1500,2,FALSE),"")</f>
        <v/>
      </c>
      <c r="C1908" s="16">
        <f>IFERROR(SUMIF(Consolidado!$B$1:$B$1500,VLOOKUP(RegistroPago!A1908,Consolidado!$B$1:$L$1500,1,FALSE),Consolidado!$G$1:$G$1500),"")</f>
        <v>0</v>
      </c>
      <c r="D1908" s="3"/>
      <c r="E1908" s="3"/>
      <c r="F1908" s="5" t="str">
        <f t="shared" si="119"/>
        <v/>
      </c>
      <c r="G1908" s="16" t="str">
        <f>IF(D1908&lt;&gt;"",D1908-VLOOKUP(A1908,Consolidado!$B$1:$L$1500,8,FALSE),"")</f>
        <v/>
      </c>
      <c r="H1908" s="31"/>
      <c r="I1908" s="32">
        <f t="shared" si="120"/>
        <v>0</v>
      </c>
      <c r="J1908" s="33" t="str">
        <f t="shared" si="121"/>
        <v/>
      </c>
      <c r="K1908" s="2"/>
      <c r="L1908" s="15"/>
      <c r="M1908" s="34">
        <f t="shared" si="122"/>
        <v>0</v>
      </c>
    </row>
    <row r="1909" spans="1:13" x14ac:dyDescent="0.25">
      <c r="A1909" s="31"/>
      <c r="B1909" s="16" t="str">
        <f>IFERROR(VLOOKUP(A1909,Consolidado!$B$1:$L$1500,2,FALSE),"")</f>
        <v/>
      </c>
      <c r="C1909" s="16">
        <f>IFERROR(SUMIF(Consolidado!$B$1:$B$1500,VLOOKUP(RegistroPago!A1909,Consolidado!$B$1:$L$1500,1,FALSE),Consolidado!$G$1:$G$1500),"")</f>
        <v>0</v>
      </c>
      <c r="D1909" s="3"/>
      <c r="E1909" s="3"/>
      <c r="F1909" s="5" t="str">
        <f t="shared" si="119"/>
        <v/>
      </c>
      <c r="G1909" s="16" t="str">
        <f>IF(D1909&lt;&gt;"",D1909-VLOOKUP(A1909,Consolidado!$B$1:$L$1500,8,FALSE),"")</f>
        <v/>
      </c>
      <c r="H1909" s="31"/>
      <c r="I1909" s="32">
        <f t="shared" si="120"/>
        <v>0</v>
      </c>
      <c r="J1909" s="33" t="str">
        <f t="shared" si="121"/>
        <v/>
      </c>
      <c r="K1909" s="2"/>
      <c r="L1909" s="15"/>
      <c r="M1909" s="34">
        <f t="shared" si="122"/>
        <v>0</v>
      </c>
    </row>
    <row r="1910" spans="1:13" x14ac:dyDescent="0.25">
      <c r="A1910" s="31"/>
      <c r="B1910" s="16" t="str">
        <f>IFERROR(VLOOKUP(A1910,Consolidado!$B$1:$L$1500,2,FALSE),"")</f>
        <v/>
      </c>
      <c r="C1910" s="16">
        <f>IFERROR(SUMIF(Consolidado!$B$1:$B$1500,VLOOKUP(RegistroPago!A1910,Consolidado!$B$1:$L$1500,1,FALSE),Consolidado!$G$1:$G$1500),"")</f>
        <v>0</v>
      </c>
      <c r="D1910" s="3"/>
      <c r="E1910" s="3"/>
      <c r="F1910" s="5" t="str">
        <f t="shared" si="119"/>
        <v/>
      </c>
      <c r="G1910" s="16" t="str">
        <f>IF(D1910&lt;&gt;"",D1910-VLOOKUP(A1910,Consolidado!$B$1:$L$1500,8,FALSE),"")</f>
        <v/>
      </c>
      <c r="H1910" s="31"/>
      <c r="I1910" s="32">
        <f t="shared" si="120"/>
        <v>0</v>
      </c>
      <c r="J1910" s="33" t="str">
        <f t="shared" si="121"/>
        <v/>
      </c>
      <c r="K1910" s="2"/>
      <c r="L1910" s="15"/>
      <c r="M1910" s="34">
        <f t="shared" si="122"/>
        <v>0</v>
      </c>
    </row>
    <row r="1911" spans="1:13" x14ac:dyDescent="0.25">
      <c r="A1911" s="31"/>
      <c r="B1911" s="16" t="str">
        <f>IFERROR(VLOOKUP(A1911,Consolidado!$B$1:$L$1500,2,FALSE),"")</f>
        <v/>
      </c>
      <c r="C1911" s="16">
        <f>IFERROR(SUMIF(Consolidado!$B$1:$B$1500,VLOOKUP(RegistroPago!A1911,Consolidado!$B$1:$L$1500,1,FALSE),Consolidado!$G$1:$G$1500),"")</f>
        <v>0</v>
      </c>
      <c r="D1911" s="3"/>
      <c r="E1911" s="3"/>
      <c r="F1911" s="5" t="str">
        <f t="shared" si="119"/>
        <v/>
      </c>
      <c r="G1911" s="16" t="str">
        <f>IF(D1911&lt;&gt;"",D1911-VLOOKUP(A1911,Consolidado!$B$1:$L$1500,8,FALSE),"")</f>
        <v/>
      </c>
      <c r="H1911" s="31"/>
      <c r="I1911" s="32">
        <f t="shared" si="120"/>
        <v>0</v>
      </c>
      <c r="J1911" s="33" t="str">
        <f t="shared" si="121"/>
        <v/>
      </c>
      <c r="K1911" s="2"/>
      <c r="L1911" s="15"/>
      <c r="M1911" s="34">
        <f t="shared" si="122"/>
        <v>0</v>
      </c>
    </row>
    <row r="1912" spans="1:13" x14ac:dyDescent="0.25">
      <c r="A1912" s="31"/>
      <c r="B1912" s="16" t="str">
        <f>IFERROR(VLOOKUP(A1912,Consolidado!$B$1:$L$1500,2,FALSE),"")</f>
        <v/>
      </c>
      <c r="C1912" s="16">
        <f>IFERROR(SUMIF(Consolidado!$B$1:$B$1500,VLOOKUP(RegistroPago!A1912,Consolidado!$B$1:$L$1500,1,FALSE),Consolidado!$G$1:$G$1500),"")</f>
        <v>0</v>
      </c>
      <c r="D1912" s="3"/>
      <c r="E1912" s="3"/>
      <c r="F1912" s="5" t="str">
        <f t="shared" si="119"/>
        <v/>
      </c>
      <c r="G1912" s="16" t="str">
        <f>IF(D1912&lt;&gt;"",D1912-VLOOKUP(A1912,Consolidado!$B$1:$L$1500,8,FALSE),"")</f>
        <v/>
      </c>
      <c r="H1912" s="31"/>
      <c r="I1912" s="32">
        <f t="shared" si="120"/>
        <v>0</v>
      </c>
      <c r="J1912" s="33" t="str">
        <f t="shared" si="121"/>
        <v/>
      </c>
      <c r="K1912" s="2"/>
      <c r="L1912" s="15"/>
      <c r="M1912" s="34">
        <f t="shared" si="122"/>
        <v>0</v>
      </c>
    </row>
    <row r="1913" spans="1:13" x14ac:dyDescent="0.25">
      <c r="A1913" s="31"/>
      <c r="B1913" s="16" t="str">
        <f>IFERROR(VLOOKUP(A1913,Consolidado!$B$1:$L$1500,2,FALSE),"")</f>
        <v/>
      </c>
      <c r="C1913" s="16">
        <f>IFERROR(SUMIF(Consolidado!$B$1:$B$1500,VLOOKUP(RegistroPago!A1913,Consolidado!$B$1:$L$1500,1,FALSE),Consolidado!$G$1:$G$1500),"")</f>
        <v>0</v>
      </c>
      <c r="D1913" s="3"/>
      <c r="E1913" s="3"/>
      <c r="F1913" s="5" t="str">
        <f t="shared" si="119"/>
        <v/>
      </c>
      <c r="G1913" s="16" t="str">
        <f>IF(D1913&lt;&gt;"",D1913-VLOOKUP(A1913,Consolidado!$B$1:$L$1500,8,FALSE),"")</f>
        <v/>
      </c>
      <c r="H1913" s="31"/>
      <c r="I1913" s="32">
        <f t="shared" si="120"/>
        <v>0</v>
      </c>
      <c r="J1913" s="33" t="str">
        <f t="shared" si="121"/>
        <v/>
      </c>
      <c r="K1913" s="2"/>
      <c r="L1913" s="15"/>
      <c r="M1913" s="34">
        <f t="shared" si="122"/>
        <v>0</v>
      </c>
    </row>
    <row r="1914" spans="1:13" x14ac:dyDescent="0.25">
      <c r="A1914" s="31"/>
      <c r="B1914" s="16" t="str">
        <f>IFERROR(VLOOKUP(A1914,Consolidado!$B$1:$L$1500,2,FALSE),"")</f>
        <v/>
      </c>
      <c r="C1914" s="16">
        <f>IFERROR(SUMIF(Consolidado!$B$1:$B$1500,VLOOKUP(RegistroPago!A1914,Consolidado!$B$1:$L$1500,1,FALSE),Consolidado!$G$1:$G$1500),"")</f>
        <v>0</v>
      </c>
      <c r="D1914" s="3"/>
      <c r="E1914" s="3"/>
      <c r="F1914" s="5" t="str">
        <f t="shared" si="119"/>
        <v/>
      </c>
      <c r="G1914" s="16" t="str">
        <f>IF(D1914&lt;&gt;"",D1914-VLOOKUP(A1914,Consolidado!$B$1:$L$1500,8,FALSE),"")</f>
        <v/>
      </c>
      <c r="H1914" s="31"/>
      <c r="I1914" s="32">
        <f t="shared" si="120"/>
        <v>0</v>
      </c>
      <c r="J1914" s="33" t="str">
        <f t="shared" si="121"/>
        <v/>
      </c>
      <c r="K1914" s="2"/>
      <c r="L1914" s="15"/>
      <c r="M1914" s="34">
        <f t="shared" si="122"/>
        <v>0</v>
      </c>
    </row>
    <row r="1915" spans="1:13" x14ac:dyDescent="0.25">
      <c r="A1915" s="31"/>
      <c r="B1915" s="16" t="str">
        <f>IFERROR(VLOOKUP(A1915,Consolidado!$B$1:$L$1500,2,FALSE),"")</f>
        <v/>
      </c>
      <c r="C1915" s="16">
        <f>IFERROR(SUMIF(Consolidado!$B$1:$B$1500,VLOOKUP(RegistroPago!A1915,Consolidado!$B$1:$L$1500,1,FALSE),Consolidado!$G$1:$G$1500),"")</f>
        <v>0</v>
      </c>
      <c r="D1915" s="3"/>
      <c r="E1915" s="3"/>
      <c r="F1915" s="5" t="str">
        <f t="shared" si="119"/>
        <v/>
      </c>
      <c r="G1915" s="16" t="str">
        <f>IF(D1915&lt;&gt;"",D1915-VLOOKUP(A1915,Consolidado!$B$1:$L$1500,8,FALSE),"")</f>
        <v/>
      </c>
      <c r="H1915" s="31"/>
      <c r="I1915" s="32">
        <f t="shared" si="120"/>
        <v>0</v>
      </c>
      <c r="J1915" s="33" t="str">
        <f t="shared" si="121"/>
        <v/>
      </c>
      <c r="K1915" s="2"/>
      <c r="L1915" s="15"/>
      <c r="M1915" s="34">
        <f t="shared" si="122"/>
        <v>0</v>
      </c>
    </row>
    <row r="1916" spans="1:13" x14ac:dyDescent="0.25">
      <c r="A1916" s="31"/>
      <c r="B1916" s="16" t="str">
        <f>IFERROR(VLOOKUP(A1916,Consolidado!$B$1:$L$1500,2,FALSE),"")</f>
        <v/>
      </c>
      <c r="C1916" s="16">
        <f>IFERROR(SUMIF(Consolidado!$B$1:$B$1500,VLOOKUP(RegistroPago!A1916,Consolidado!$B$1:$L$1500,1,FALSE),Consolidado!$G$1:$G$1500),"")</f>
        <v>0</v>
      </c>
      <c r="D1916" s="3"/>
      <c r="E1916" s="3"/>
      <c r="F1916" s="5" t="str">
        <f t="shared" si="119"/>
        <v/>
      </c>
      <c r="G1916" s="16" t="str">
        <f>IF(D1916&lt;&gt;"",D1916-VLOOKUP(A1916,Consolidado!$B$1:$L$1500,8,FALSE),"")</f>
        <v/>
      </c>
      <c r="H1916" s="31"/>
      <c r="I1916" s="32">
        <f t="shared" si="120"/>
        <v>0</v>
      </c>
      <c r="J1916" s="33" t="str">
        <f t="shared" si="121"/>
        <v/>
      </c>
      <c r="K1916" s="2"/>
      <c r="L1916" s="15"/>
      <c r="M1916" s="34">
        <f t="shared" si="122"/>
        <v>0</v>
      </c>
    </row>
    <row r="1917" spans="1:13" x14ac:dyDescent="0.25">
      <c r="A1917" s="31"/>
      <c r="B1917" s="16" t="str">
        <f>IFERROR(VLOOKUP(A1917,Consolidado!$B$1:$L$1500,2,FALSE),"")</f>
        <v/>
      </c>
      <c r="C1917" s="16">
        <f>IFERROR(SUMIF(Consolidado!$B$1:$B$1500,VLOOKUP(RegistroPago!A1917,Consolidado!$B$1:$L$1500,1,FALSE),Consolidado!$G$1:$G$1500),"")</f>
        <v>0</v>
      </c>
      <c r="D1917" s="3"/>
      <c r="E1917" s="3"/>
      <c r="F1917" s="5" t="str">
        <f t="shared" si="119"/>
        <v/>
      </c>
      <c r="G1917" s="16" t="str">
        <f>IF(D1917&lt;&gt;"",D1917-VLOOKUP(A1917,Consolidado!$B$1:$L$1500,8,FALSE),"")</f>
        <v/>
      </c>
      <c r="H1917" s="31"/>
      <c r="I1917" s="32">
        <f t="shared" si="120"/>
        <v>0</v>
      </c>
      <c r="J1917" s="33" t="str">
        <f t="shared" si="121"/>
        <v/>
      </c>
      <c r="K1917" s="2"/>
      <c r="L1917" s="15"/>
      <c r="M1917" s="34">
        <f t="shared" si="122"/>
        <v>0</v>
      </c>
    </row>
    <row r="1918" spans="1:13" x14ac:dyDescent="0.25">
      <c r="A1918" s="31"/>
      <c r="B1918" s="16" t="str">
        <f>IFERROR(VLOOKUP(A1918,Consolidado!$B$1:$L$1500,2,FALSE),"")</f>
        <v/>
      </c>
      <c r="C1918" s="16">
        <f>IFERROR(SUMIF(Consolidado!$B$1:$B$1500,VLOOKUP(RegistroPago!A1918,Consolidado!$B$1:$L$1500,1,FALSE),Consolidado!$G$1:$G$1500),"")</f>
        <v>0</v>
      </c>
      <c r="D1918" s="3"/>
      <c r="E1918" s="3"/>
      <c r="F1918" s="5" t="str">
        <f t="shared" si="119"/>
        <v/>
      </c>
      <c r="G1918" s="16" t="str">
        <f>IF(D1918&lt;&gt;"",D1918-VLOOKUP(A1918,Consolidado!$B$1:$L$1500,8,FALSE),"")</f>
        <v/>
      </c>
      <c r="H1918" s="31"/>
      <c r="I1918" s="32">
        <f t="shared" si="120"/>
        <v>0</v>
      </c>
      <c r="J1918" s="33" t="str">
        <f t="shared" si="121"/>
        <v/>
      </c>
      <c r="K1918" s="2"/>
      <c r="L1918" s="15"/>
      <c r="M1918" s="34">
        <f t="shared" si="122"/>
        <v>0</v>
      </c>
    </row>
    <row r="1919" spans="1:13" x14ac:dyDescent="0.25">
      <c r="A1919" s="31"/>
      <c r="B1919" s="16" t="str">
        <f>IFERROR(VLOOKUP(A1919,Consolidado!$B$1:$L$1500,2,FALSE),"")</f>
        <v/>
      </c>
      <c r="C1919" s="16">
        <f>IFERROR(SUMIF(Consolidado!$B$1:$B$1500,VLOOKUP(RegistroPago!A1919,Consolidado!$B$1:$L$1500,1,FALSE),Consolidado!$G$1:$G$1500),"")</f>
        <v>0</v>
      </c>
      <c r="D1919" s="3"/>
      <c r="E1919" s="3"/>
      <c r="F1919" s="5" t="str">
        <f t="shared" si="119"/>
        <v/>
      </c>
      <c r="G1919" s="16" t="str">
        <f>IF(D1919&lt;&gt;"",D1919-VLOOKUP(A1919,Consolidado!$B$1:$L$1500,8,FALSE),"")</f>
        <v/>
      </c>
      <c r="H1919" s="31"/>
      <c r="I1919" s="32">
        <f t="shared" si="120"/>
        <v>0</v>
      </c>
      <c r="J1919" s="33" t="str">
        <f t="shared" si="121"/>
        <v/>
      </c>
      <c r="K1919" s="2"/>
      <c r="L1919" s="15"/>
      <c r="M1919" s="34">
        <f t="shared" si="122"/>
        <v>0</v>
      </c>
    </row>
    <row r="1920" spans="1:13" x14ac:dyDescent="0.25">
      <c r="A1920" s="31"/>
      <c r="B1920" s="16" t="str">
        <f>IFERROR(VLOOKUP(A1920,Consolidado!$B$1:$L$1500,2,FALSE),"")</f>
        <v/>
      </c>
      <c r="C1920" s="16">
        <f>IFERROR(SUMIF(Consolidado!$B$1:$B$1500,VLOOKUP(RegistroPago!A1920,Consolidado!$B$1:$L$1500,1,FALSE),Consolidado!$G$1:$G$1500),"")</f>
        <v>0</v>
      </c>
      <c r="D1920" s="3"/>
      <c r="E1920" s="3"/>
      <c r="F1920" s="5" t="str">
        <f t="shared" si="119"/>
        <v/>
      </c>
      <c r="G1920" s="16" t="str">
        <f>IF(D1920&lt;&gt;"",D1920-VLOOKUP(A1920,Consolidado!$B$1:$L$1500,8,FALSE),"")</f>
        <v/>
      </c>
      <c r="H1920" s="31"/>
      <c r="I1920" s="32">
        <f t="shared" si="120"/>
        <v>0</v>
      </c>
      <c r="J1920" s="33" t="str">
        <f t="shared" si="121"/>
        <v/>
      </c>
      <c r="K1920" s="2"/>
      <c r="L1920" s="15"/>
      <c r="M1920" s="34">
        <f t="shared" si="122"/>
        <v>0</v>
      </c>
    </row>
    <row r="1921" spans="1:13" x14ac:dyDescent="0.25">
      <c r="A1921" s="31"/>
      <c r="B1921" s="16" t="str">
        <f>IFERROR(VLOOKUP(A1921,Consolidado!$B$1:$L$1500,2,FALSE),"")</f>
        <v/>
      </c>
      <c r="C1921" s="16">
        <f>IFERROR(SUMIF(Consolidado!$B$1:$B$1500,VLOOKUP(RegistroPago!A1921,Consolidado!$B$1:$L$1500,1,FALSE),Consolidado!$G$1:$G$1500),"")</f>
        <v>0</v>
      </c>
      <c r="D1921" s="3"/>
      <c r="E1921" s="3"/>
      <c r="F1921" s="5" t="str">
        <f t="shared" si="119"/>
        <v/>
      </c>
      <c r="G1921" s="16" t="str">
        <f>IF(D1921&lt;&gt;"",D1921-VLOOKUP(A1921,Consolidado!$B$1:$L$1500,8,FALSE),"")</f>
        <v/>
      </c>
      <c r="H1921" s="31"/>
      <c r="I1921" s="32">
        <f t="shared" si="120"/>
        <v>0</v>
      </c>
      <c r="J1921" s="33" t="str">
        <f t="shared" si="121"/>
        <v/>
      </c>
      <c r="K1921" s="2"/>
      <c r="L1921" s="15"/>
      <c r="M1921" s="34">
        <f t="shared" si="122"/>
        <v>0</v>
      </c>
    </row>
    <row r="1922" spans="1:13" x14ac:dyDescent="0.25">
      <c r="A1922" s="31"/>
      <c r="B1922" s="16" t="str">
        <f>IFERROR(VLOOKUP(A1922,Consolidado!$B$1:$L$1500,2,FALSE),"")</f>
        <v/>
      </c>
      <c r="C1922" s="16">
        <f>IFERROR(SUMIF(Consolidado!$B$1:$B$1500,VLOOKUP(RegistroPago!A1922,Consolidado!$B$1:$L$1500,1,FALSE),Consolidado!$G$1:$G$1500),"")</f>
        <v>0</v>
      </c>
      <c r="D1922" s="3"/>
      <c r="E1922" s="3"/>
      <c r="F1922" s="5" t="str">
        <f t="shared" si="119"/>
        <v/>
      </c>
      <c r="G1922" s="16" t="str">
        <f>IF(D1922&lt;&gt;"",D1922-VLOOKUP(A1922,Consolidado!$B$1:$L$1500,8,FALSE),"")</f>
        <v/>
      </c>
      <c r="H1922" s="31"/>
      <c r="I1922" s="32">
        <f t="shared" si="120"/>
        <v>0</v>
      </c>
      <c r="J1922" s="33" t="str">
        <f t="shared" si="121"/>
        <v/>
      </c>
      <c r="K1922" s="2"/>
      <c r="L1922" s="15"/>
      <c r="M1922" s="34">
        <f t="shared" si="122"/>
        <v>0</v>
      </c>
    </row>
    <row r="1923" spans="1:13" x14ac:dyDescent="0.25">
      <c r="A1923" s="31"/>
      <c r="B1923" s="16" t="str">
        <f>IFERROR(VLOOKUP(A1923,Consolidado!$B$1:$L$1500,2,FALSE),"")</f>
        <v/>
      </c>
      <c r="C1923" s="16">
        <f>IFERROR(SUMIF(Consolidado!$B$1:$B$1500,VLOOKUP(RegistroPago!A1923,Consolidado!$B$1:$L$1500,1,FALSE),Consolidado!$G$1:$G$1500),"")</f>
        <v>0</v>
      </c>
      <c r="D1923" s="3"/>
      <c r="E1923" s="3"/>
      <c r="F1923" s="5" t="str">
        <f t="shared" ref="F1923:F1986" si="123">IF(COUNTIF($E$2:$E$2000,E1923)&gt;1,"Ya registrado","")</f>
        <v/>
      </c>
      <c r="G1923" s="16" t="str">
        <f>IF(D1923&lt;&gt;"",D1923-VLOOKUP(A1923,Consolidado!$B$1:$L$1500,8,FALSE),"")</f>
        <v/>
      </c>
      <c r="H1923" s="31"/>
      <c r="I1923" s="32">
        <f t="shared" si="120"/>
        <v>0</v>
      </c>
      <c r="J1923" s="33" t="str">
        <f t="shared" si="121"/>
        <v/>
      </c>
      <c r="K1923" s="2"/>
      <c r="L1923" s="15"/>
      <c r="M1923" s="34">
        <f t="shared" si="122"/>
        <v>0</v>
      </c>
    </row>
    <row r="1924" spans="1:13" x14ac:dyDescent="0.25">
      <c r="A1924" s="31"/>
      <c r="B1924" s="16" t="str">
        <f>IFERROR(VLOOKUP(A1924,Consolidado!$B$1:$L$1500,2,FALSE),"")</f>
        <v/>
      </c>
      <c r="C1924" s="16">
        <f>IFERROR(SUMIF(Consolidado!$B$1:$B$1500,VLOOKUP(RegistroPago!A1924,Consolidado!$B$1:$L$1500,1,FALSE),Consolidado!$G$1:$G$1500),"")</f>
        <v>0</v>
      </c>
      <c r="D1924" s="3"/>
      <c r="E1924" s="3"/>
      <c r="F1924" s="5" t="str">
        <f t="shared" si="123"/>
        <v/>
      </c>
      <c r="G1924" s="16" t="str">
        <f>IF(D1924&lt;&gt;"",D1924-VLOOKUP(A1924,Consolidado!$B$1:$L$1500,8,FALSE),"")</f>
        <v/>
      </c>
      <c r="H1924" s="31"/>
      <c r="I1924" s="32">
        <f t="shared" si="120"/>
        <v>0</v>
      </c>
      <c r="J1924" s="33" t="str">
        <f t="shared" si="121"/>
        <v/>
      </c>
      <c r="K1924" s="2"/>
      <c r="L1924" s="15"/>
      <c r="M1924" s="34">
        <f t="shared" si="122"/>
        <v>0</v>
      </c>
    </row>
    <row r="1925" spans="1:13" x14ac:dyDescent="0.25">
      <c r="A1925" s="31"/>
      <c r="B1925" s="16" t="str">
        <f>IFERROR(VLOOKUP(A1925,Consolidado!$B$1:$L$1500,2,FALSE),"")</f>
        <v/>
      </c>
      <c r="C1925" s="16">
        <f>IFERROR(SUMIF(Consolidado!$B$1:$B$1500,VLOOKUP(RegistroPago!A1925,Consolidado!$B$1:$L$1500,1,FALSE),Consolidado!$G$1:$G$1500),"")</f>
        <v>0</v>
      </c>
      <c r="D1925" s="3"/>
      <c r="E1925" s="3"/>
      <c r="F1925" s="5" t="str">
        <f t="shared" si="123"/>
        <v/>
      </c>
      <c r="G1925" s="16" t="str">
        <f>IF(D1925&lt;&gt;"",D1925-VLOOKUP(A1925,Consolidado!$B$1:$L$1500,8,FALSE),"")</f>
        <v/>
      </c>
      <c r="H1925" s="31"/>
      <c r="I1925" s="32">
        <f t="shared" si="120"/>
        <v>0</v>
      </c>
      <c r="J1925" s="33" t="str">
        <f t="shared" si="121"/>
        <v/>
      </c>
      <c r="K1925" s="2"/>
      <c r="L1925" s="15"/>
      <c r="M1925" s="34">
        <f t="shared" si="122"/>
        <v>0</v>
      </c>
    </row>
    <row r="1926" spans="1:13" x14ac:dyDescent="0.25">
      <c r="A1926" s="31"/>
      <c r="B1926" s="16" t="str">
        <f>IFERROR(VLOOKUP(A1926,Consolidado!$B$1:$L$1500,2,FALSE),"")</f>
        <v/>
      </c>
      <c r="C1926" s="16">
        <f>IFERROR(SUMIF(Consolidado!$B$1:$B$1500,VLOOKUP(RegistroPago!A1926,Consolidado!$B$1:$L$1500,1,FALSE),Consolidado!$G$1:$G$1500),"")</f>
        <v>0</v>
      </c>
      <c r="D1926" s="3"/>
      <c r="E1926" s="3"/>
      <c r="F1926" s="5" t="str">
        <f t="shared" si="123"/>
        <v/>
      </c>
      <c r="G1926" s="16" t="str">
        <f>IF(D1926&lt;&gt;"",D1926-VLOOKUP(A1926,Consolidado!$B$1:$L$1500,8,FALSE),"")</f>
        <v/>
      </c>
      <c r="H1926" s="31"/>
      <c r="I1926" s="32">
        <f t="shared" si="120"/>
        <v>0</v>
      </c>
      <c r="J1926" s="33" t="str">
        <f t="shared" si="121"/>
        <v/>
      </c>
      <c r="K1926" s="2"/>
      <c r="L1926" s="15"/>
      <c r="M1926" s="34">
        <f t="shared" si="122"/>
        <v>0</v>
      </c>
    </row>
    <row r="1927" spans="1:13" x14ac:dyDescent="0.25">
      <c r="A1927" s="31"/>
      <c r="B1927" s="16" t="str">
        <f>IFERROR(VLOOKUP(A1927,Consolidado!$B$1:$L$1500,2,FALSE),"")</f>
        <v/>
      </c>
      <c r="C1927" s="16">
        <f>IFERROR(SUMIF(Consolidado!$B$1:$B$1500,VLOOKUP(RegistroPago!A1927,Consolidado!$B$1:$L$1500,1,FALSE),Consolidado!$G$1:$G$1500),"")</f>
        <v>0</v>
      </c>
      <c r="D1927" s="3"/>
      <c r="E1927" s="3"/>
      <c r="F1927" s="5" t="str">
        <f t="shared" si="123"/>
        <v/>
      </c>
      <c r="G1927" s="16" t="str">
        <f>IF(D1927&lt;&gt;"",D1927-VLOOKUP(A1927,Consolidado!$B$1:$L$1500,8,FALSE),"")</f>
        <v/>
      </c>
      <c r="H1927" s="31"/>
      <c r="I1927" s="32">
        <f t="shared" si="120"/>
        <v>0</v>
      </c>
      <c r="J1927" s="33" t="str">
        <f t="shared" si="121"/>
        <v/>
      </c>
      <c r="K1927" s="2"/>
      <c r="L1927" s="15"/>
      <c r="M1927" s="34">
        <f t="shared" si="122"/>
        <v>0</v>
      </c>
    </row>
    <row r="1928" spans="1:13" x14ac:dyDescent="0.25">
      <c r="A1928" s="31"/>
      <c r="B1928" s="16" t="str">
        <f>IFERROR(VLOOKUP(A1928,Consolidado!$B$1:$L$1500,2,FALSE),"")</f>
        <v/>
      </c>
      <c r="C1928" s="16">
        <f>IFERROR(SUMIF(Consolidado!$B$1:$B$1500,VLOOKUP(RegistroPago!A1928,Consolidado!$B$1:$L$1500,1,FALSE),Consolidado!$G$1:$G$1500),"")</f>
        <v>0</v>
      </c>
      <c r="D1928" s="3"/>
      <c r="E1928" s="3"/>
      <c r="F1928" s="5" t="str">
        <f t="shared" si="123"/>
        <v/>
      </c>
      <c r="G1928" s="16" t="str">
        <f>IF(D1928&lt;&gt;"",D1928-VLOOKUP(A1928,Consolidado!$B$1:$L$1500,8,FALSE),"")</f>
        <v/>
      </c>
      <c r="H1928" s="31"/>
      <c r="I1928" s="32">
        <f t="shared" si="120"/>
        <v>0</v>
      </c>
      <c r="J1928" s="33" t="str">
        <f t="shared" si="121"/>
        <v/>
      </c>
      <c r="K1928" s="2"/>
      <c r="L1928" s="15"/>
      <c r="M1928" s="34">
        <f t="shared" si="122"/>
        <v>0</v>
      </c>
    </row>
    <row r="1929" spans="1:13" x14ac:dyDescent="0.25">
      <c r="A1929" s="31"/>
      <c r="B1929" s="16" t="str">
        <f>IFERROR(VLOOKUP(A1929,Consolidado!$B$1:$L$1500,2,FALSE),"")</f>
        <v/>
      </c>
      <c r="C1929" s="16">
        <f>IFERROR(SUMIF(Consolidado!$B$1:$B$1500,VLOOKUP(RegistroPago!A1929,Consolidado!$B$1:$L$1500,1,FALSE),Consolidado!$G$1:$G$1500),"")</f>
        <v>0</v>
      </c>
      <c r="D1929" s="3"/>
      <c r="E1929" s="3"/>
      <c r="F1929" s="5" t="str">
        <f t="shared" si="123"/>
        <v/>
      </c>
      <c r="G1929" s="16" t="str">
        <f>IF(D1929&lt;&gt;"",D1929-VLOOKUP(A1929,Consolidado!$B$1:$L$1500,8,FALSE),"")</f>
        <v/>
      </c>
      <c r="H1929" s="31"/>
      <c r="I1929" s="32">
        <f t="shared" si="120"/>
        <v>0</v>
      </c>
      <c r="J1929" s="33" t="str">
        <f t="shared" si="121"/>
        <v/>
      </c>
      <c r="K1929" s="2"/>
      <c r="L1929" s="15"/>
      <c r="M1929" s="34">
        <f t="shared" si="122"/>
        <v>0</v>
      </c>
    </row>
    <row r="1930" spans="1:13" x14ac:dyDescent="0.25">
      <c r="A1930" s="31"/>
      <c r="B1930" s="16" t="str">
        <f>IFERROR(VLOOKUP(A1930,Consolidado!$B$1:$L$1500,2,FALSE),"")</f>
        <v/>
      </c>
      <c r="C1930" s="16">
        <f>IFERROR(SUMIF(Consolidado!$B$1:$B$1500,VLOOKUP(RegistroPago!A1930,Consolidado!$B$1:$L$1500,1,FALSE),Consolidado!$G$1:$G$1500),"")</f>
        <v>0</v>
      </c>
      <c r="D1930" s="3"/>
      <c r="E1930" s="3"/>
      <c r="F1930" s="5" t="str">
        <f t="shared" si="123"/>
        <v/>
      </c>
      <c r="G1930" s="16" t="str">
        <f>IF(D1930&lt;&gt;"",D1930-VLOOKUP(A1930,Consolidado!$B$1:$L$1500,8,FALSE),"")</f>
        <v/>
      </c>
      <c r="H1930" s="31"/>
      <c r="I1930" s="32">
        <f t="shared" si="120"/>
        <v>0</v>
      </c>
      <c r="J1930" s="33" t="str">
        <f t="shared" si="121"/>
        <v/>
      </c>
      <c r="K1930" s="2"/>
      <c r="L1930" s="15"/>
      <c r="M1930" s="34">
        <f t="shared" si="122"/>
        <v>0</v>
      </c>
    </row>
    <row r="1931" spans="1:13" x14ac:dyDescent="0.25">
      <c r="A1931" s="31"/>
      <c r="B1931" s="16" t="str">
        <f>IFERROR(VLOOKUP(A1931,Consolidado!$B$1:$L$1500,2,FALSE),"")</f>
        <v/>
      </c>
      <c r="C1931" s="16">
        <f>IFERROR(SUMIF(Consolidado!$B$1:$B$1500,VLOOKUP(RegistroPago!A1931,Consolidado!$B$1:$L$1500,1,FALSE),Consolidado!$G$1:$G$1500),"")</f>
        <v>0</v>
      </c>
      <c r="D1931" s="3"/>
      <c r="E1931" s="3"/>
      <c r="F1931" s="5" t="str">
        <f t="shared" si="123"/>
        <v/>
      </c>
      <c r="G1931" s="16" t="str">
        <f>IF(D1931&lt;&gt;"",D1931-VLOOKUP(A1931,Consolidado!$B$1:$L$1500,8,FALSE),"")</f>
        <v/>
      </c>
      <c r="H1931" s="31"/>
      <c r="I1931" s="32">
        <f t="shared" si="120"/>
        <v>0</v>
      </c>
      <c r="J1931" s="33" t="str">
        <f t="shared" si="121"/>
        <v/>
      </c>
      <c r="K1931" s="2"/>
      <c r="L1931" s="15"/>
      <c r="M1931" s="34">
        <f t="shared" si="122"/>
        <v>0</v>
      </c>
    </row>
    <row r="1932" spans="1:13" x14ac:dyDescent="0.25">
      <c r="A1932" s="31"/>
      <c r="B1932" s="16" t="str">
        <f>IFERROR(VLOOKUP(A1932,Consolidado!$B$1:$L$1500,2,FALSE),"")</f>
        <v/>
      </c>
      <c r="C1932" s="16">
        <f>IFERROR(SUMIF(Consolidado!$B$1:$B$1500,VLOOKUP(RegistroPago!A1932,Consolidado!$B$1:$L$1500,1,FALSE),Consolidado!$G$1:$G$1500),"")</f>
        <v>0</v>
      </c>
      <c r="D1932" s="3"/>
      <c r="E1932" s="3"/>
      <c r="F1932" s="5" t="str">
        <f t="shared" si="123"/>
        <v/>
      </c>
      <c r="G1932" s="16" t="str">
        <f>IF(D1932&lt;&gt;"",D1932-VLOOKUP(A1932,Consolidado!$B$1:$L$1500,8,FALSE),"")</f>
        <v/>
      </c>
      <c r="H1932" s="31"/>
      <c r="I1932" s="32">
        <f t="shared" si="120"/>
        <v>0</v>
      </c>
      <c r="J1932" s="33" t="str">
        <f t="shared" si="121"/>
        <v/>
      </c>
      <c r="K1932" s="2"/>
      <c r="L1932" s="15"/>
      <c r="M1932" s="34">
        <f t="shared" si="122"/>
        <v>0</v>
      </c>
    </row>
    <row r="1933" spans="1:13" x14ac:dyDescent="0.25">
      <c r="A1933" s="31"/>
      <c r="B1933" s="16" t="str">
        <f>IFERROR(VLOOKUP(A1933,Consolidado!$B$1:$L$1500,2,FALSE),"")</f>
        <v/>
      </c>
      <c r="C1933" s="16">
        <f>IFERROR(SUMIF(Consolidado!$B$1:$B$1500,VLOOKUP(RegistroPago!A1933,Consolidado!$B$1:$L$1500,1,FALSE),Consolidado!$G$1:$G$1500),"")</f>
        <v>0</v>
      </c>
      <c r="D1933" s="3"/>
      <c r="E1933" s="3"/>
      <c r="F1933" s="5" t="str">
        <f t="shared" si="123"/>
        <v/>
      </c>
      <c r="G1933" s="16" t="str">
        <f>IF(D1933&lt;&gt;"",D1933-VLOOKUP(A1933,Consolidado!$B$1:$L$1500,8,FALSE),"")</f>
        <v/>
      </c>
      <c r="H1933" s="31"/>
      <c r="I1933" s="32">
        <f t="shared" si="120"/>
        <v>0</v>
      </c>
      <c r="J1933" s="33" t="str">
        <f t="shared" si="121"/>
        <v/>
      </c>
      <c r="K1933" s="2"/>
      <c r="L1933" s="15"/>
      <c r="M1933" s="34">
        <f t="shared" si="122"/>
        <v>0</v>
      </c>
    </row>
    <row r="1934" spans="1:13" x14ac:dyDescent="0.25">
      <c r="A1934" s="31"/>
      <c r="B1934" s="16" t="str">
        <f>IFERROR(VLOOKUP(A1934,Consolidado!$B$1:$L$1500,2,FALSE),"")</f>
        <v/>
      </c>
      <c r="C1934" s="16">
        <f>IFERROR(SUMIF(Consolidado!$B$1:$B$1500,VLOOKUP(RegistroPago!A1934,Consolidado!$B$1:$L$1500,1,FALSE),Consolidado!$G$1:$G$1500),"")</f>
        <v>0</v>
      </c>
      <c r="D1934" s="3"/>
      <c r="E1934" s="3"/>
      <c r="F1934" s="5" t="str">
        <f t="shared" si="123"/>
        <v/>
      </c>
      <c r="G1934" s="16" t="str">
        <f>IF(D1934&lt;&gt;"",D1934-VLOOKUP(A1934,Consolidado!$B$1:$L$1500,8,FALSE),"")</f>
        <v/>
      </c>
      <c r="H1934" s="31"/>
      <c r="I1934" s="32">
        <f t="shared" si="120"/>
        <v>0</v>
      </c>
      <c r="J1934" s="33" t="str">
        <f t="shared" si="121"/>
        <v/>
      </c>
      <c r="K1934" s="2"/>
      <c r="L1934" s="15"/>
      <c r="M1934" s="34">
        <f t="shared" si="122"/>
        <v>0</v>
      </c>
    </row>
    <row r="1935" spans="1:13" x14ac:dyDescent="0.25">
      <c r="A1935" s="31"/>
      <c r="B1935" s="16" t="str">
        <f>IFERROR(VLOOKUP(A1935,Consolidado!$B$1:$L$1500,2,FALSE),"")</f>
        <v/>
      </c>
      <c r="C1935" s="16">
        <f>IFERROR(SUMIF(Consolidado!$B$1:$B$1500,VLOOKUP(RegistroPago!A1935,Consolidado!$B$1:$L$1500,1,FALSE),Consolidado!$G$1:$G$1500),"")</f>
        <v>0</v>
      </c>
      <c r="D1935" s="3"/>
      <c r="E1935" s="3"/>
      <c r="F1935" s="5" t="str">
        <f t="shared" si="123"/>
        <v/>
      </c>
      <c r="G1935" s="16" t="str">
        <f>IF(D1935&lt;&gt;"",D1935-VLOOKUP(A1935,Consolidado!$B$1:$L$1500,8,FALSE),"")</f>
        <v/>
      </c>
      <c r="H1935" s="31"/>
      <c r="I1935" s="32">
        <f t="shared" si="120"/>
        <v>0</v>
      </c>
      <c r="J1935" s="33" t="str">
        <f t="shared" si="121"/>
        <v/>
      </c>
      <c r="K1935" s="2"/>
      <c r="L1935" s="15"/>
      <c r="M1935" s="34">
        <f t="shared" si="122"/>
        <v>0</v>
      </c>
    </row>
    <row r="1936" spans="1:13" x14ac:dyDescent="0.25">
      <c r="A1936" s="31"/>
      <c r="B1936" s="16" t="str">
        <f>IFERROR(VLOOKUP(A1936,Consolidado!$B$1:$L$1500,2,FALSE),"")</f>
        <v/>
      </c>
      <c r="C1936" s="16">
        <f>IFERROR(SUMIF(Consolidado!$B$1:$B$1500,VLOOKUP(RegistroPago!A1936,Consolidado!$B$1:$L$1500,1,FALSE),Consolidado!$G$1:$G$1500),"")</f>
        <v>0</v>
      </c>
      <c r="D1936" s="3"/>
      <c r="E1936" s="3"/>
      <c r="F1936" s="5" t="str">
        <f t="shared" si="123"/>
        <v/>
      </c>
      <c r="G1936" s="16" t="str">
        <f>IF(D1936&lt;&gt;"",D1936-VLOOKUP(A1936,Consolidado!$B$1:$L$1500,8,FALSE),"")</f>
        <v/>
      </c>
      <c r="H1936" s="31"/>
      <c r="I1936" s="32">
        <f t="shared" si="120"/>
        <v>0</v>
      </c>
      <c r="J1936" s="33" t="str">
        <f t="shared" si="121"/>
        <v/>
      </c>
      <c r="K1936" s="2"/>
      <c r="L1936" s="15"/>
      <c r="M1936" s="34">
        <f t="shared" si="122"/>
        <v>0</v>
      </c>
    </row>
    <row r="1937" spans="1:13" x14ac:dyDescent="0.25">
      <c r="A1937" s="31"/>
      <c r="B1937" s="16" t="str">
        <f>IFERROR(VLOOKUP(A1937,Consolidado!$B$1:$L$1500,2,FALSE),"")</f>
        <v/>
      </c>
      <c r="C1937" s="16">
        <f>IFERROR(SUMIF(Consolidado!$B$1:$B$1500,VLOOKUP(RegistroPago!A1937,Consolidado!$B$1:$L$1500,1,FALSE),Consolidado!$G$1:$G$1500),"")</f>
        <v>0</v>
      </c>
      <c r="D1937" s="3"/>
      <c r="E1937" s="3"/>
      <c r="F1937" s="5" t="str">
        <f t="shared" si="123"/>
        <v/>
      </c>
      <c r="G1937" s="16" t="str">
        <f>IF(D1937&lt;&gt;"",D1937-VLOOKUP(A1937,Consolidado!$B$1:$L$1500,8,FALSE),"")</f>
        <v/>
      </c>
      <c r="H1937" s="31"/>
      <c r="I1937" s="32">
        <f t="shared" si="120"/>
        <v>0</v>
      </c>
      <c r="J1937" s="33" t="str">
        <f t="shared" si="121"/>
        <v/>
      </c>
      <c r="K1937" s="2"/>
      <c r="L1937" s="15"/>
      <c r="M1937" s="34">
        <f t="shared" si="122"/>
        <v>0</v>
      </c>
    </row>
    <row r="1938" spans="1:13" x14ac:dyDescent="0.25">
      <c r="A1938" s="31"/>
      <c r="B1938" s="16" t="str">
        <f>IFERROR(VLOOKUP(A1938,Consolidado!$B$1:$L$1500,2,FALSE),"")</f>
        <v/>
      </c>
      <c r="C1938" s="16">
        <f>IFERROR(SUMIF(Consolidado!$B$1:$B$1500,VLOOKUP(RegistroPago!A1938,Consolidado!$B$1:$L$1500,1,FALSE),Consolidado!$G$1:$G$1500),"")</f>
        <v>0</v>
      </c>
      <c r="D1938" s="3"/>
      <c r="E1938" s="3"/>
      <c r="F1938" s="5" t="str">
        <f t="shared" si="123"/>
        <v/>
      </c>
      <c r="G1938" s="16" t="str">
        <f>IF(D1938&lt;&gt;"",D1938-VLOOKUP(A1938,Consolidado!$B$1:$L$1500,8,FALSE),"")</f>
        <v/>
      </c>
      <c r="H1938" s="31"/>
      <c r="I1938" s="32">
        <f t="shared" si="120"/>
        <v>0</v>
      </c>
      <c r="J1938" s="33" t="str">
        <f t="shared" si="121"/>
        <v/>
      </c>
      <c r="K1938" s="2"/>
      <c r="L1938" s="15"/>
      <c r="M1938" s="34">
        <f t="shared" si="122"/>
        <v>0</v>
      </c>
    </row>
    <row r="1939" spans="1:13" x14ac:dyDescent="0.25">
      <c r="A1939" s="31"/>
      <c r="B1939" s="16" t="str">
        <f>IFERROR(VLOOKUP(A1939,Consolidado!$B$1:$L$1500,2,FALSE),"")</f>
        <v/>
      </c>
      <c r="C1939" s="16">
        <f>IFERROR(SUMIF(Consolidado!$B$1:$B$1500,VLOOKUP(RegistroPago!A1939,Consolidado!$B$1:$L$1500,1,FALSE),Consolidado!$G$1:$G$1500),"")</f>
        <v>0</v>
      </c>
      <c r="D1939" s="3"/>
      <c r="E1939" s="3"/>
      <c r="F1939" s="5" t="str">
        <f t="shared" si="123"/>
        <v/>
      </c>
      <c r="G1939" s="16" t="str">
        <f>IF(D1939&lt;&gt;"",D1939-VLOOKUP(A1939,Consolidado!$B$1:$L$1500,8,FALSE),"")</f>
        <v/>
      </c>
      <c r="H1939" s="31"/>
      <c r="I1939" s="32">
        <f t="shared" si="120"/>
        <v>0</v>
      </c>
      <c r="J1939" s="33" t="str">
        <f t="shared" si="121"/>
        <v/>
      </c>
      <c r="K1939" s="2"/>
      <c r="L1939" s="15"/>
      <c r="M1939" s="34">
        <f t="shared" si="122"/>
        <v>0</v>
      </c>
    </row>
    <row r="1940" spans="1:13" x14ac:dyDescent="0.25">
      <c r="A1940" s="31"/>
      <c r="B1940" s="16" t="str">
        <f>IFERROR(VLOOKUP(A1940,Consolidado!$B$1:$L$1500,2,FALSE),"")</f>
        <v/>
      </c>
      <c r="C1940" s="16">
        <f>IFERROR(SUMIF(Consolidado!$B$1:$B$1500,VLOOKUP(RegistroPago!A1940,Consolidado!$B$1:$L$1500,1,FALSE),Consolidado!$G$1:$G$1500),"")</f>
        <v>0</v>
      </c>
      <c r="D1940" s="3"/>
      <c r="E1940" s="3"/>
      <c r="F1940" s="5" t="str">
        <f t="shared" si="123"/>
        <v/>
      </c>
      <c r="G1940" s="16" t="str">
        <f>IF(D1940&lt;&gt;"",D1940-VLOOKUP(A1940,Consolidado!$B$1:$L$1500,8,FALSE),"")</f>
        <v/>
      </c>
      <c r="H1940" s="31"/>
      <c r="I1940" s="32">
        <f t="shared" si="120"/>
        <v>0</v>
      </c>
      <c r="J1940" s="33" t="str">
        <f t="shared" si="121"/>
        <v/>
      </c>
      <c r="K1940" s="2"/>
      <c r="L1940" s="15"/>
      <c r="M1940" s="34">
        <f t="shared" si="122"/>
        <v>0</v>
      </c>
    </row>
    <row r="1941" spans="1:13" x14ac:dyDescent="0.25">
      <c r="A1941" s="31"/>
      <c r="B1941" s="16" t="str">
        <f>IFERROR(VLOOKUP(A1941,Consolidado!$B$1:$L$1500,2,FALSE),"")</f>
        <v/>
      </c>
      <c r="C1941" s="16">
        <f>IFERROR(SUMIF(Consolidado!$B$1:$B$1500,VLOOKUP(RegistroPago!A1941,Consolidado!$B$1:$L$1500,1,FALSE),Consolidado!$G$1:$G$1500),"")</f>
        <v>0</v>
      </c>
      <c r="D1941" s="3"/>
      <c r="E1941" s="3"/>
      <c r="F1941" s="5" t="str">
        <f t="shared" si="123"/>
        <v/>
      </c>
      <c r="G1941" s="16" t="str">
        <f>IF(D1941&lt;&gt;"",D1941-VLOOKUP(A1941,Consolidado!$B$1:$L$1500,8,FALSE),"")</f>
        <v/>
      </c>
      <c r="H1941" s="31"/>
      <c r="I1941" s="32">
        <f t="shared" si="120"/>
        <v>0</v>
      </c>
      <c r="J1941" s="33" t="str">
        <f t="shared" si="121"/>
        <v/>
      </c>
      <c r="K1941" s="2"/>
      <c r="L1941" s="15"/>
      <c r="M1941" s="34">
        <f t="shared" si="122"/>
        <v>0</v>
      </c>
    </row>
    <row r="1942" spans="1:13" x14ac:dyDescent="0.25">
      <c r="A1942" s="31"/>
      <c r="B1942" s="16" t="str">
        <f>IFERROR(VLOOKUP(A1942,Consolidado!$B$1:$L$1500,2,FALSE),"")</f>
        <v/>
      </c>
      <c r="C1942" s="16">
        <f>IFERROR(SUMIF(Consolidado!$B$1:$B$1500,VLOOKUP(RegistroPago!A1942,Consolidado!$B$1:$L$1500,1,FALSE),Consolidado!$G$1:$G$1500),"")</f>
        <v>0</v>
      </c>
      <c r="D1942" s="3"/>
      <c r="E1942" s="3"/>
      <c r="F1942" s="5" t="str">
        <f t="shared" si="123"/>
        <v/>
      </c>
      <c r="G1942" s="16" t="str">
        <f>IF(D1942&lt;&gt;"",D1942-VLOOKUP(A1942,Consolidado!$B$1:$L$1500,8,FALSE),"")</f>
        <v/>
      </c>
      <c r="H1942" s="31"/>
      <c r="I1942" s="32">
        <f t="shared" si="120"/>
        <v>0</v>
      </c>
      <c r="J1942" s="33" t="str">
        <f t="shared" si="121"/>
        <v/>
      </c>
      <c r="K1942" s="2"/>
      <c r="L1942" s="15"/>
      <c r="M1942" s="34">
        <f t="shared" si="122"/>
        <v>0</v>
      </c>
    </row>
    <row r="1943" spans="1:13" x14ac:dyDescent="0.25">
      <c r="A1943" s="31"/>
      <c r="B1943" s="16" t="str">
        <f>IFERROR(VLOOKUP(A1943,Consolidado!$B$1:$L$1500,2,FALSE),"")</f>
        <v/>
      </c>
      <c r="C1943" s="16">
        <f>IFERROR(SUMIF(Consolidado!$B$1:$B$1500,VLOOKUP(RegistroPago!A1943,Consolidado!$B$1:$L$1500,1,FALSE),Consolidado!$G$1:$G$1500),"")</f>
        <v>0</v>
      </c>
      <c r="D1943" s="3"/>
      <c r="E1943" s="3"/>
      <c r="F1943" s="5" t="str">
        <f t="shared" si="123"/>
        <v/>
      </c>
      <c r="G1943" s="16" t="str">
        <f>IF(D1943&lt;&gt;"",D1943-VLOOKUP(A1943,Consolidado!$B$1:$L$1500,8,FALSE),"")</f>
        <v/>
      </c>
      <c r="H1943" s="31"/>
      <c r="I1943" s="32">
        <f t="shared" si="120"/>
        <v>0</v>
      </c>
      <c r="J1943" s="33" t="str">
        <f t="shared" si="121"/>
        <v/>
      </c>
      <c r="K1943" s="2"/>
      <c r="L1943" s="15"/>
      <c r="M1943" s="34">
        <f t="shared" si="122"/>
        <v>0</v>
      </c>
    </row>
    <row r="1944" spans="1:13" x14ac:dyDescent="0.25">
      <c r="A1944" s="31"/>
      <c r="B1944" s="16" t="str">
        <f>IFERROR(VLOOKUP(A1944,Consolidado!$B$1:$L$1500,2,FALSE),"")</f>
        <v/>
      </c>
      <c r="C1944" s="16">
        <f>IFERROR(SUMIF(Consolidado!$B$1:$B$1500,VLOOKUP(RegistroPago!A1944,Consolidado!$B$1:$L$1500,1,FALSE),Consolidado!$G$1:$G$1500),"")</f>
        <v>0</v>
      </c>
      <c r="D1944" s="3"/>
      <c r="E1944" s="3"/>
      <c r="F1944" s="5" t="str">
        <f t="shared" si="123"/>
        <v/>
      </c>
      <c r="G1944" s="16" t="str">
        <f>IF(D1944&lt;&gt;"",D1944-VLOOKUP(A1944,Consolidado!$B$1:$L$1500,8,FALSE),"")</f>
        <v/>
      </c>
      <c r="H1944" s="31"/>
      <c r="I1944" s="32">
        <f t="shared" si="120"/>
        <v>0</v>
      </c>
      <c r="J1944" s="33" t="str">
        <f t="shared" si="121"/>
        <v/>
      </c>
      <c r="K1944" s="2"/>
      <c r="L1944" s="15"/>
      <c r="M1944" s="34">
        <f t="shared" si="122"/>
        <v>0</v>
      </c>
    </row>
    <row r="1945" spans="1:13" x14ac:dyDescent="0.25">
      <c r="A1945" s="31"/>
      <c r="B1945" s="16" t="str">
        <f>IFERROR(VLOOKUP(A1945,Consolidado!$B$1:$L$1500,2,FALSE),"")</f>
        <v/>
      </c>
      <c r="C1945" s="16">
        <f>IFERROR(SUMIF(Consolidado!$B$1:$B$1500,VLOOKUP(RegistroPago!A1945,Consolidado!$B$1:$L$1500,1,FALSE),Consolidado!$G$1:$G$1500),"")</f>
        <v>0</v>
      </c>
      <c r="D1945" s="3"/>
      <c r="E1945" s="3"/>
      <c r="F1945" s="5" t="str">
        <f t="shared" si="123"/>
        <v/>
      </c>
      <c r="G1945" s="16" t="str">
        <f>IF(D1945&lt;&gt;"",D1945-VLOOKUP(A1945,Consolidado!$B$1:$L$1500,8,FALSE),"")</f>
        <v/>
      </c>
      <c r="H1945" s="31"/>
      <c r="I1945" s="32">
        <f t="shared" si="120"/>
        <v>0</v>
      </c>
      <c r="J1945" s="33" t="str">
        <f t="shared" si="121"/>
        <v/>
      </c>
      <c r="K1945" s="2"/>
      <c r="L1945" s="15"/>
      <c r="M1945" s="34">
        <f t="shared" si="122"/>
        <v>0</v>
      </c>
    </row>
    <row r="1946" spans="1:13" x14ac:dyDescent="0.25">
      <c r="A1946" s="31"/>
      <c r="B1946" s="16" t="str">
        <f>IFERROR(VLOOKUP(A1946,Consolidado!$B$1:$L$1500,2,FALSE),"")</f>
        <v/>
      </c>
      <c r="C1946" s="16">
        <f>IFERROR(SUMIF(Consolidado!$B$1:$B$1500,VLOOKUP(RegistroPago!A1946,Consolidado!$B$1:$L$1500,1,FALSE),Consolidado!$G$1:$G$1500),"")</f>
        <v>0</v>
      </c>
      <c r="D1946" s="3"/>
      <c r="E1946" s="3"/>
      <c r="F1946" s="5" t="str">
        <f t="shared" si="123"/>
        <v/>
      </c>
      <c r="G1946" s="16" t="str">
        <f>IF(D1946&lt;&gt;"",D1946-VLOOKUP(A1946,Consolidado!$B$1:$L$1500,8,FALSE),"")</f>
        <v/>
      </c>
      <c r="H1946" s="31"/>
      <c r="I1946" s="32">
        <f t="shared" si="120"/>
        <v>0</v>
      </c>
      <c r="J1946" s="33" t="str">
        <f t="shared" si="121"/>
        <v/>
      </c>
      <c r="K1946" s="2"/>
      <c r="L1946" s="15"/>
      <c r="M1946" s="34">
        <f t="shared" si="122"/>
        <v>0</v>
      </c>
    </row>
    <row r="1947" spans="1:13" x14ac:dyDescent="0.25">
      <c r="A1947" s="31"/>
      <c r="B1947" s="16" t="str">
        <f>IFERROR(VLOOKUP(A1947,Consolidado!$B$1:$L$1500,2,FALSE),"")</f>
        <v/>
      </c>
      <c r="C1947" s="16">
        <f>IFERROR(SUMIF(Consolidado!$B$1:$B$1500,VLOOKUP(RegistroPago!A1947,Consolidado!$B$1:$L$1500,1,FALSE),Consolidado!$G$1:$G$1500),"")</f>
        <v>0</v>
      </c>
      <c r="D1947" s="3"/>
      <c r="E1947" s="3"/>
      <c r="F1947" s="5" t="str">
        <f t="shared" si="123"/>
        <v/>
      </c>
      <c r="G1947" s="16" t="str">
        <f>IF(D1947&lt;&gt;"",D1947-VLOOKUP(A1947,Consolidado!$B$1:$L$1500,8,FALSE),"")</f>
        <v/>
      </c>
      <c r="H1947" s="31"/>
      <c r="I1947" s="32">
        <f t="shared" si="120"/>
        <v>0</v>
      </c>
      <c r="J1947" s="33" t="str">
        <f t="shared" si="121"/>
        <v/>
      </c>
      <c r="K1947" s="2"/>
      <c r="L1947" s="15"/>
      <c r="M1947" s="34">
        <f t="shared" si="122"/>
        <v>0</v>
      </c>
    </row>
    <row r="1948" spans="1:13" x14ac:dyDescent="0.25">
      <c r="A1948" s="31"/>
      <c r="B1948" s="16" t="str">
        <f>IFERROR(VLOOKUP(A1948,Consolidado!$B$1:$L$1500,2,FALSE),"")</f>
        <v/>
      </c>
      <c r="C1948" s="16">
        <f>IFERROR(SUMIF(Consolidado!$B$1:$B$1500,VLOOKUP(RegistroPago!A1948,Consolidado!$B$1:$L$1500,1,FALSE),Consolidado!$G$1:$G$1500),"")</f>
        <v>0</v>
      </c>
      <c r="D1948" s="3"/>
      <c r="E1948" s="3"/>
      <c r="F1948" s="5" t="str">
        <f t="shared" si="123"/>
        <v/>
      </c>
      <c r="G1948" s="16" t="str">
        <f>IF(D1948&lt;&gt;"",D1948-VLOOKUP(A1948,Consolidado!$B$1:$L$1500,8,FALSE),"")</f>
        <v/>
      </c>
      <c r="H1948" s="31"/>
      <c r="I1948" s="32">
        <f t="shared" si="120"/>
        <v>0</v>
      </c>
      <c r="J1948" s="33" t="str">
        <f t="shared" si="121"/>
        <v/>
      </c>
      <c r="K1948" s="2"/>
      <c r="L1948" s="15"/>
      <c r="M1948" s="34">
        <f t="shared" si="122"/>
        <v>0</v>
      </c>
    </row>
    <row r="1949" spans="1:13" x14ac:dyDescent="0.25">
      <c r="A1949" s="31"/>
      <c r="B1949" s="16" t="str">
        <f>IFERROR(VLOOKUP(A1949,Consolidado!$B$1:$L$1500,2,FALSE),"")</f>
        <v/>
      </c>
      <c r="C1949" s="16">
        <f>IFERROR(SUMIF(Consolidado!$B$1:$B$1500,VLOOKUP(RegistroPago!A1949,Consolidado!$B$1:$L$1500,1,FALSE),Consolidado!$G$1:$G$1500),"")</f>
        <v>0</v>
      </c>
      <c r="D1949" s="3"/>
      <c r="E1949" s="3"/>
      <c r="F1949" s="5" t="str">
        <f t="shared" si="123"/>
        <v/>
      </c>
      <c r="G1949" s="16" t="str">
        <f>IF(D1949&lt;&gt;"",D1949-VLOOKUP(A1949,Consolidado!$B$1:$L$1500,8,FALSE),"")</f>
        <v/>
      </c>
      <c r="H1949" s="31"/>
      <c r="I1949" s="32">
        <f t="shared" si="120"/>
        <v>0</v>
      </c>
      <c r="J1949" s="33" t="str">
        <f t="shared" si="121"/>
        <v/>
      </c>
      <c r="K1949" s="2"/>
      <c r="L1949" s="15"/>
      <c r="M1949" s="34">
        <f t="shared" si="122"/>
        <v>0</v>
      </c>
    </row>
    <row r="1950" spans="1:13" x14ac:dyDescent="0.25">
      <c r="A1950" s="31"/>
      <c r="B1950" s="16" t="str">
        <f>IFERROR(VLOOKUP(A1950,Consolidado!$B$1:$L$1500,2,FALSE),"")</f>
        <v/>
      </c>
      <c r="C1950" s="16">
        <f>IFERROR(SUMIF(Consolidado!$B$1:$B$1500,VLOOKUP(RegistroPago!A1950,Consolidado!$B$1:$L$1500,1,FALSE),Consolidado!$G$1:$G$1500),"")</f>
        <v>0</v>
      </c>
      <c r="D1950" s="3"/>
      <c r="E1950" s="3"/>
      <c r="F1950" s="5" t="str">
        <f t="shared" si="123"/>
        <v/>
      </c>
      <c r="G1950" s="16" t="str">
        <f>IF(D1950&lt;&gt;"",D1950-VLOOKUP(A1950,Consolidado!$B$1:$L$1500,8,FALSE),"")</f>
        <v/>
      </c>
      <c r="H1950" s="31"/>
      <c r="I1950" s="32">
        <f t="shared" si="120"/>
        <v>0</v>
      </c>
      <c r="J1950" s="33" t="str">
        <f t="shared" si="121"/>
        <v/>
      </c>
      <c r="K1950" s="2"/>
      <c r="L1950" s="15"/>
      <c r="M1950" s="34">
        <f t="shared" si="122"/>
        <v>0</v>
      </c>
    </row>
    <row r="1951" spans="1:13" x14ac:dyDescent="0.25">
      <c r="A1951" s="31"/>
      <c r="B1951" s="16" t="str">
        <f>IFERROR(VLOOKUP(A1951,Consolidado!$B$1:$L$1500,2,FALSE),"")</f>
        <v/>
      </c>
      <c r="C1951" s="16">
        <f>IFERROR(SUMIF(Consolidado!$B$1:$B$1500,VLOOKUP(RegistroPago!A1951,Consolidado!$B$1:$L$1500,1,FALSE),Consolidado!$G$1:$G$1500),"")</f>
        <v>0</v>
      </c>
      <c r="D1951" s="3"/>
      <c r="E1951" s="3"/>
      <c r="F1951" s="5" t="str">
        <f t="shared" si="123"/>
        <v/>
      </c>
      <c r="G1951" s="16" t="str">
        <f>IF(D1951&lt;&gt;"",D1951-VLOOKUP(A1951,Consolidado!$B$1:$L$1500,8,FALSE),"")</f>
        <v/>
      </c>
      <c r="H1951" s="31"/>
      <c r="I1951" s="32">
        <f t="shared" si="120"/>
        <v>0</v>
      </c>
      <c r="J1951" s="33" t="str">
        <f t="shared" si="121"/>
        <v/>
      </c>
      <c r="K1951" s="2"/>
      <c r="L1951" s="15"/>
      <c r="M1951" s="34">
        <f t="shared" si="122"/>
        <v>0</v>
      </c>
    </row>
    <row r="1952" spans="1:13" x14ac:dyDescent="0.25">
      <c r="A1952" s="31"/>
      <c r="B1952" s="16" t="str">
        <f>IFERROR(VLOOKUP(A1952,Consolidado!$B$1:$L$1500,2,FALSE),"")</f>
        <v/>
      </c>
      <c r="C1952" s="16">
        <f>IFERROR(SUMIF(Consolidado!$B$1:$B$1500,VLOOKUP(RegistroPago!A1952,Consolidado!$B$1:$L$1500,1,FALSE),Consolidado!$G$1:$G$1500),"")</f>
        <v>0</v>
      </c>
      <c r="D1952" s="3"/>
      <c r="E1952" s="3"/>
      <c r="F1952" s="5" t="str">
        <f t="shared" si="123"/>
        <v/>
      </c>
      <c r="G1952" s="16" t="str">
        <f>IF(D1952&lt;&gt;"",D1952-VLOOKUP(A1952,Consolidado!$B$1:$L$1500,8,FALSE),"")</f>
        <v/>
      </c>
      <c r="H1952" s="31"/>
      <c r="I1952" s="32">
        <f t="shared" si="120"/>
        <v>0</v>
      </c>
      <c r="J1952" s="33" t="str">
        <f t="shared" si="121"/>
        <v/>
      </c>
      <c r="K1952" s="2"/>
      <c r="L1952" s="15"/>
      <c r="M1952" s="34">
        <f t="shared" si="122"/>
        <v>0</v>
      </c>
    </row>
    <row r="1953" spans="1:13" x14ac:dyDescent="0.25">
      <c r="A1953" s="31"/>
      <c r="B1953" s="16" t="str">
        <f>IFERROR(VLOOKUP(A1953,Consolidado!$B$1:$L$1500,2,FALSE),"")</f>
        <v/>
      </c>
      <c r="C1953" s="16">
        <f>IFERROR(SUMIF(Consolidado!$B$1:$B$1500,VLOOKUP(RegistroPago!A1953,Consolidado!$B$1:$L$1500,1,FALSE),Consolidado!$G$1:$G$1500),"")</f>
        <v>0</v>
      </c>
      <c r="D1953" s="3"/>
      <c r="E1953" s="3"/>
      <c r="F1953" s="5" t="str">
        <f t="shared" si="123"/>
        <v/>
      </c>
      <c r="G1953" s="16" t="str">
        <f>IF(D1953&lt;&gt;"",D1953-VLOOKUP(A1953,Consolidado!$B$1:$L$1500,8,FALSE),"")</f>
        <v/>
      </c>
      <c r="H1953" s="31"/>
      <c r="I1953" s="32">
        <f t="shared" si="120"/>
        <v>0</v>
      </c>
      <c r="J1953" s="33" t="str">
        <f t="shared" si="121"/>
        <v/>
      </c>
      <c r="K1953" s="2"/>
      <c r="L1953" s="15"/>
      <c r="M1953" s="34">
        <f t="shared" si="122"/>
        <v>0</v>
      </c>
    </row>
    <row r="1954" spans="1:13" x14ac:dyDescent="0.25">
      <c r="A1954" s="31"/>
      <c r="B1954" s="16" t="str">
        <f>IFERROR(VLOOKUP(A1954,Consolidado!$B$1:$L$1500,2,FALSE),"")</f>
        <v/>
      </c>
      <c r="C1954" s="16">
        <f>IFERROR(SUMIF(Consolidado!$B$1:$B$1500,VLOOKUP(RegistroPago!A1954,Consolidado!$B$1:$L$1500,1,FALSE),Consolidado!$G$1:$G$1500),"")</f>
        <v>0</v>
      </c>
      <c r="D1954" s="3"/>
      <c r="E1954" s="3"/>
      <c r="F1954" s="5" t="str">
        <f t="shared" si="123"/>
        <v/>
      </c>
      <c r="G1954" s="16" t="str">
        <f>IF(D1954&lt;&gt;"",D1954-VLOOKUP(A1954,Consolidado!$B$1:$L$1500,8,FALSE),"")</f>
        <v/>
      </c>
      <c r="H1954" s="31"/>
      <c r="I1954" s="32">
        <f t="shared" si="120"/>
        <v>0</v>
      </c>
      <c r="J1954" s="33" t="str">
        <f t="shared" si="121"/>
        <v/>
      </c>
      <c r="K1954" s="2"/>
      <c r="L1954" s="15"/>
      <c r="M1954" s="34">
        <f t="shared" si="122"/>
        <v>0</v>
      </c>
    </row>
    <row r="1955" spans="1:13" x14ac:dyDescent="0.25">
      <c r="A1955" s="31"/>
      <c r="B1955" s="16" t="str">
        <f>IFERROR(VLOOKUP(A1955,Consolidado!$B$1:$L$1500,2,FALSE),"")</f>
        <v/>
      </c>
      <c r="C1955" s="16">
        <f>IFERROR(SUMIF(Consolidado!$B$1:$B$1500,VLOOKUP(RegistroPago!A1955,Consolidado!$B$1:$L$1500,1,FALSE),Consolidado!$G$1:$G$1500),"")</f>
        <v>0</v>
      </c>
      <c r="D1955" s="3"/>
      <c r="E1955" s="3"/>
      <c r="F1955" s="5" t="str">
        <f t="shared" si="123"/>
        <v/>
      </c>
      <c r="G1955" s="16" t="str">
        <f>IF(D1955&lt;&gt;"",D1955-VLOOKUP(A1955,Consolidado!$B$1:$L$1500,8,FALSE),"")</f>
        <v/>
      </c>
      <c r="H1955" s="31"/>
      <c r="I1955" s="32">
        <f t="shared" si="120"/>
        <v>0</v>
      </c>
      <c r="J1955" s="33" t="str">
        <f t="shared" si="121"/>
        <v/>
      </c>
      <c r="K1955" s="2"/>
      <c r="L1955" s="15"/>
      <c r="M1955" s="34">
        <f t="shared" si="122"/>
        <v>0</v>
      </c>
    </row>
    <row r="1956" spans="1:13" x14ac:dyDescent="0.25">
      <c r="A1956" s="31"/>
      <c r="B1956" s="16" t="str">
        <f>IFERROR(VLOOKUP(A1956,Consolidado!$B$1:$L$1500,2,FALSE),"")</f>
        <v/>
      </c>
      <c r="C1956" s="16">
        <f>IFERROR(SUMIF(Consolidado!$B$1:$B$1500,VLOOKUP(RegistroPago!A1956,Consolidado!$B$1:$L$1500,1,FALSE),Consolidado!$G$1:$G$1500),"")</f>
        <v>0</v>
      </c>
      <c r="D1956" s="3"/>
      <c r="E1956" s="3"/>
      <c r="F1956" s="5" t="str">
        <f t="shared" si="123"/>
        <v/>
      </c>
      <c r="G1956" s="16" t="str">
        <f>IF(D1956&lt;&gt;"",D1956-VLOOKUP(A1956,Consolidado!$B$1:$L$1500,8,FALSE),"")</f>
        <v/>
      </c>
      <c r="H1956" s="31"/>
      <c r="I1956" s="32">
        <f t="shared" si="120"/>
        <v>0</v>
      </c>
      <c r="J1956" s="33" t="str">
        <f t="shared" si="121"/>
        <v/>
      </c>
      <c r="K1956" s="2"/>
      <c r="L1956" s="15"/>
      <c r="M1956" s="34">
        <f t="shared" si="122"/>
        <v>0</v>
      </c>
    </row>
    <row r="1957" spans="1:13" x14ac:dyDescent="0.25">
      <c r="A1957" s="31"/>
      <c r="B1957" s="16" t="str">
        <f>IFERROR(VLOOKUP(A1957,Consolidado!$B$1:$L$1500,2,FALSE),"")</f>
        <v/>
      </c>
      <c r="C1957" s="16">
        <f>IFERROR(SUMIF(Consolidado!$B$1:$B$1500,VLOOKUP(RegistroPago!A1957,Consolidado!$B$1:$L$1500,1,FALSE),Consolidado!$G$1:$G$1500),"")</f>
        <v>0</v>
      </c>
      <c r="D1957" s="3"/>
      <c r="E1957" s="3"/>
      <c r="F1957" s="5" t="str">
        <f t="shared" si="123"/>
        <v/>
      </c>
      <c r="G1957" s="16" t="str">
        <f>IF(D1957&lt;&gt;"",D1957-VLOOKUP(A1957,Consolidado!$B$1:$L$1500,8,FALSE),"")</f>
        <v/>
      </c>
      <c r="H1957" s="31"/>
      <c r="I1957" s="32">
        <f t="shared" si="120"/>
        <v>0</v>
      </c>
      <c r="J1957" s="33" t="str">
        <f t="shared" si="121"/>
        <v/>
      </c>
      <c r="K1957" s="2"/>
      <c r="L1957" s="15"/>
      <c r="M1957" s="34">
        <f t="shared" si="122"/>
        <v>0</v>
      </c>
    </row>
    <row r="1958" spans="1:13" x14ac:dyDescent="0.25">
      <c r="A1958" s="31"/>
      <c r="B1958" s="16" t="str">
        <f>IFERROR(VLOOKUP(A1958,Consolidado!$B$1:$L$1500,2,FALSE),"")</f>
        <v/>
      </c>
      <c r="C1958" s="16">
        <f>IFERROR(SUMIF(Consolidado!$B$1:$B$1500,VLOOKUP(RegistroPago!A1958,Consolidado!$B$1:$L$1500,1,FALSE),Consolidado!$G$1:$G$1500),"")</f>
        <v>0</v>
      </c>
      <c r="D1958" s="3"/>
      <c r="E1958" s="3"/>
      <c r="F1958" s="5" t="str">
        <f t="shared" si="123"/>
        <v/>
      </c>
      <c r="G1958" s="16" t="str">
        <f>IF(D1958&lt;&gt;"",D1958-VLOOKUP(A1958,Consolidado!$B$1:$L$1500,8,FALSE),"")</f>
        <v/>
      </c>
      <c r="H1958" s="31"/>
      <c r="I1958" s="32">
        <f t="shared" si="120"/>
        <v>0</v>
      </c>
      <c r="J1958" s="33" t="str">
        <f t="shared" si="121"/>
        <v/>
      </c>
      <c r="K1958" s="2"/>
      <c r="L1958" s="15"/>
      <c r="M1958" s="34">
        <f t="shared" si="122"/>
        <v>0</v>
      </c>
    </row>
    <row r="1959" spans="1:13" x14ac:dyDescent="0.25">
      <c r="A1959" s="31"/>
      <c r="B1959" s="16" t="str">
        <f>IFERROR(VLOOKUP(A1959,Consolidado!$B$1:$L$1500,2,FALSE),"")</f>
        <v/>
      </c>
      <c r="C1959" s="16">
        <f>IFERROR(SUMIF(Consolidado!$B$1:$B$1500,VLOOKUP(RegistroPago!A1959,Consolidado!$B$1:$L$1500,1,FALSE),Consolidado!$G$1:$G$1500),"")</f>
        <v>0</v>
      </c>
      <c r="D1959" s="3"/>
      <c r="E1959" s="3"/>
      <c r="F1959" s="5" t="str">
        <f t="shared" si="123"/>
        <v/>
      </c>
      <c r="G1959" s="16" t="str">
        <f>IF(D1959&lt;&gt;"",D1959-VLOOKUP(A1959,Consolidado!$B$1:$L$1500,8,FALSE),"")</f>
        <v/>
      </c>
      <c r="H1959" s="31"/>
      <c r="I1959" s="32">
        <f t="shared" si="120"/>
        <v>0</v>
      </c>
      <c r="J1959" s="33" t="str">
        <f t="shared" si="121"/>
        <v/>
      </c>
      <c r="K1959" s="2"/>
      <c r="L1959" s="15"/>
      <c r="M1959" s="34">
        <f t="shared" si="122"/>
        <v>0</v>
      </c>
    </row>
    <row r="1960" spans="1:13" x14ac:dyDescent="0.25">
      <c r="A1960" s="31"/>
      <c r="B1960" s="16" t="str">
        <f>IFERROR(VLOOKUP(A1960,Consolidado!$B$1:$L$1500,2,FALSE),"")</f>
        <v/>
      </c>
      <c r="C1960" s="16">
        <f>IFERROR(SUMIF(Consolidado!$B$1:$B$1500,VLOOKUP(RegistroPago!A1960,Consolidado!$B$1:$L$1500,1,FALSE),Consolidado!$G$1:$G$1500),"")</f>
        <v>0</v>
      </c>
      <c r="D1960" s="3"/>
      <c r="E1960" s="3"/>
      <c r="F1960" s="5" t="str">
        <f t="shared" si="123"/>
        <v/>
      </c>
      <c r="G1960" s="16" t="str">
        <f>IF(D1960&lt;&gt;"",D1960-VLOOKUP(A1960,Consolidado!$B$1:$L$1500,8,FALSE),"")</f>
        <v/>
      </c>
      <c r="H1960" s="31"/>
      <c r="I1960" s="32">
        <f t="shared" si="120"/>
        <v>0</v>
      </c>
      <c r="J1960" s="33" t="str">
        <f t="shared" si="121"/>
        <v/>
      </c>
      <c r="K1960" s="2"/>
      <c r="L1960" s="15"/>
      <c r="M1960" s="34">
        <f t="shared" si="122"/>
        <v>0</v>
      </c>
    </row>
    <row r="1961" spans="1:13" x14ac:dyDescent="0.25">
      <c r="A1961" s="31"/>
      <c r="B1961" s="16" t="str">
        <f>IFERROR(VLOOKUP(A1961,Consolidado!$B$1:$L$1500,2,FALSE),"")</f>
        <v/>
      </c>
      <c r="C1961" s="16">
        <f>IFERROR(SUMIF(Consolidado!$B$1:$B$1500,VLOOKUP(RegistroPago!A1961,Consolidado!$B$1:$L$1500,1,FALSE),Consolidado!$G$1:$G$1500),"")</f>
        <v>0</v>
      </c>
      <c r="D1961" s="3"/>
      <c r="E1961" s="3"/>
      <c r="F1961" s="5" t="str">
        <f t="shared" si="123"/>
        <v/>
      </c>
      <c r="G1961" s="16" t="str">
        <f>IF(D1961&lt;&gt;"",D1961-VLOOKUP(A1961,Consolidado!$B$1:$L$1500,8,FALSE),"")</f>
        <v/>
      </c>
      <c r="H1961" s="31"/>
      <c r="I1961" s="32">
        <f t="shared" ref="I1961:I2000" si="124">IFERROR(SUMIF($E$1:$E$2000,H1961,$C$1:$C$2000)-SUMIF($E$1:$E$2000,H1961,$F$1:$F$2000),"")</f>
        <v>0</v>
      </c>
      <c r="J1961" s="33" t="str">
        <f t="shared" ref="J1961:J2000" si="125">IFERROR(I1961/SUMIF($E$1:$E$2000,H1961,$C$1:$C$2000),"")</f>
        <v/>
      </c>
      <c r="K1961" s="2"/>
      <c r="L1961" s="15"/>
      <c r="M1961" s="34">
        <f t="shared" ref="M1961:M2000" si="126">IFERROR(L1961*SUMIF($E$1:$E$2000,H1961,$F$1:$F$2000),"")</f>
        <v>0</v>
      </c>
    </row>
    <row r="1962" spans="1:13" x14ac:dyDescent="0.25">
      <c r="A1962" s="31"/>
      <c r="B1962" s="16" t="str">
        <f>IFERROR(VLOOKUP(A1962,Consolidado!$B$1:$L$1500,2,FALSE),"")</f>
        <v/>
      </c>
      <c r="C1962" s="16">
        <f>IFERROR(SUMIF(Consolidado!$B$1:$B$1500,VLOOKUP(RegistroPago!A1962,Consolidado!$B$1:$L$1500,1,FALSE),Consolidado!$G$1:$G$1500),"")</f>
        <v>0</v>
      </c>
      <c r="D1962" s="3"/>
      <c r="E1962" s="3"/>
      <c r="F1962" s="5" t="str">
        <f t="shared" si="123"/>
        <v/>
      </c>
      <c r="G1962" s="16" t="str">
        <f>IF(D1962&lt;&gt;"",D1962-VLOOKUP(A1962,Consolidado!$B$1:$L$1500,8,FALSE),"")</f>
        <v/>
      </c>
      <c r="H1962" s="31"/>
      <c r="I1962" s="32">
        <f t="shared" si="124"/>
        <v>0</v>
      </c>
      <c r="J1962" s="33" t="str">
        <f t="shared" si="125"/>
        <v/>
      </c>
      <c r="K1962" s="2"/>
      <c r="L1962" s="15"/>
      <c r="M1962" s="34">
        <f t="shared" si="126"/>
        <v>0</v>
      </c>
    </row>
    <row r="1963" spans="1:13" x14ac:dyDescent="0.25">
      <c r="A1963" s="31"/>
      <c r="B1963" s="16" t="str">
        <f>IFERROR(VLOOKUP(A1963,Consolidado!$B$1:$L$1500,2,FALSE),"")</f>
        <v/>
      </c>
      <c r="C1963" s="16">
        <f>IFERROR(SUMIF(Consolidado!$B$1:$B$1500,VLOOKUP(RegistroPago!A1963,Consolidado!$B$1:$L$1500,1,FALSE),Consolidado!$G$1:$G$1500),"")</f>
        <v>0</v>
      </c>
      <c r="D1963" s="3"/>
      <c r="E1963" s="3"/>
      <c r="F1963" s="5" t="str">
        <f t="shared" si="123"/>
        <v/>
      </c>
      <c r="G1963" s="16" t="str">
        <f>IF(D1963&lt;&gt;"",D1963-VLOOKUP(A1963,Consolidado!$B$1:$L$1500,8,FALSE),"")</f>
        <v/>
      </c>
      <c r="H1963" s="31"/>
      <c r="I1963" s="32">
        <f t="shared" si="124"/>
        <v>0</v>
      </c>
      <c r="J1963" s="33" t="str">
        <f t="shared" si="125"/>
        <v/>
      </c>
      <c r="K1963" s="2"/>
      <c r="L1963" s="15"/>
      <c r="M1963" s="34">
        <f t="shared" si="126"/>
        <v>0</v>
      </c>
    </row>
    <row r="1964" spans="1:13" x14ac:dyDescent="0.25">
      <c r="A1964" s="31"/>
      <c r="B1964" s="16" t="str">
        <f>IFERROR(VLOOKUP(A1964,Consolidado!$B$1:$L$1500,2,FALSE),"")</f>
        <v/>
      </c>
      <c r="C1964" s="16">
        <f>IFERROR(SUMIF(Consolidado!$B$1:$B$1500,VLOOKUP(RegistroPago!A1964,Consolidado!$B$1:$L$1500,1,FALSE),Consolidado!$G$1:$G$1500),"")</f>
        <v>0</v>
      </c>
      <c r="D1964" s="3"/>
      <c r="E1964" s="3"/>
      <c r="F1964" s="5" t="str">
        <f t="shared" si="123"/>
        <v/>
      </c>
      <c r="G1964" s="16" t="str">
        <f>IF(D1964&lt;&gt;"",D1964-VLOOKUP(A1964,Consolidado!$B$1:$L$1500,8,FALSE),"")</f>
        <v/>
      </c>
      <c r="H1964" s="31"/>
      <c r="I1964" s="32">
        <f t="shared" si="124"/>
        <v>0</v>
      </c>
      <c r="J1964" s="33" t="str">
        <f t="shared" si="125"/>
        <v/>
      </c>
      <c r="K1964" s="2"/>
      <c r="L1964" s="15"/>
      <c r="M1964" s="34">
        <f t="shared" si="126"/>
        <v>0</v>
      </c>
    </row>
    <row r="1965" spans="1:13" x14ac:dyDescent="0.25">
      <c r="A1965" s="31"/>
      <c r="B1965" s="16" t="str">
        <f>IFERROR(VLOOKUP(A1965,Consolidado!$B$1:$L$1500,2,FALSE),"")</f>
        <v/>
      </c>
      <c r="C1965" s="16">
        <f>IFERROR(SUMIF(Consolidado!$B$1:$B$1500,VLOOKUP(RegistroPago!A1965,Consolidado!$B$1:$L$1500,1,FALSE),Consolidado!$G$1:$G$1500),"")</f>
        <v>0</v>
      </c>
      <c r="D1965" s="3"/>
      <c r="E1965" s="3"/>
      <c r="F1965" s="5" t="str">
        <f t="shared" si="123"/>
        <v/>
      </c>
      <c r="G1965" s="16" t="str">
        <f>IF(D1965&lt;&gt;"",D1965-VLOOKUP(A1965,Consolidado!$B$1:$L$1500,8,FALSE),"")</f>
        <v/>
      </c>
      <c r="H1965" s="31"/>
      <c r="I1965" s="32">
        <f t="shared" si="124"/>
        <v>0</v>
      </c>
      <c r="J1965" s="33" t="str">
        <f t="shared" si="125"/>
        <v/>
      </c>
      <c r="K1965" s="2"/>
      <c r="L1965" s="15"/>
      <c r="M1965" s="34">
        <f t="shared" si="126"/>
        <v>0</v>
      </c>
    </row>
    <row r="1966" spans="1:13" x14ac:dyDescent="0.25">
      <c r="A1966" s="31"/>
      <c r="B1966" s="16" t="str">
        <f>IFERROR(VLOOKUP(A1966,Consolidado!$B$1:$L$1500,2,FALSE),"")</f>
        <v/>
      </c>
      <c r="C1966" s="16">
        <f>IFERROR(SUMIF(Consolidado!$B$1:$B$1500,VLOOKUP(RegistroPago!A1966,Consolidado!$B$1:$L$1500,1,FALSE),Consolidado!$G$1:$G$1500),"")</f>
        <v>0</v>
      </c>
      <c r="D1966" s="3"/>
      <c r="E1966" s="3"/>
      <c r="F1966" s="5" t="str">
        <f t="shared" si="123"/>
        <v/>
      </c>
      <c r="G1966" s="16" t="str">
        <f>IF(D1966&lt;&gt;"",D1966-VLOOKUP(A1966,Consolidado!$B$1:$L$1500,8,FALSE),"")</f>
        <v/>
      </c>
      <c r="H1966" s="31"/>
      <c r="I1966" s="32">
        <f t="shared" si="124"/>
        <v>0</v>
      </c>
      <c r="J1966" s="33" t="str">
        <f t="shared" si="125"/>
        <v/>
      </c>
      <c r="K1966" s="2"/>
      <c r="L1966" s="15"/>
      <c r="M1966" s="34">
        <f t="shared" si="126"/>
        <v>0</v>
      </c>
    </row>
    <row r="1967" spans="1:13" x14ac:dyDescent="0.25">
      <c r="A1967" s="31"/>
      <c r="B1967" s="16" t="str">
        <f>IFERROR(VLOOKUP(A1967,Consolidado!$B$1:$L$1500,2,FALSE),"")</f>
        <v/>
      </c>
      <c r="C1967" s="16">
        <f>IFERROR(SUMIF(Consolidado!$B$1:$B$1500,VLOOKUP(RegistroPago!A1967,Consolidado!$B$1:$L$1500,1,FALSE),Consolidado!$G$1:$G$1500),"")</f>
        <v>0</v>
      </c>
      <c r="D1967" s="3"/>
      <c r="E1967" s="3"/>
      <c r="F1967" s="5" t="str">
        <f t="shared" si="123"/>
        <v/>
      </c>
      <c r="G1967" s="16" t="str">
        <f>IF(D1967&lt;&gt;"",D1967-VLOOKUP(A1967,Consolidado!$B$1:$L$1500,8,FALSE),"")</f>
        <v/>
      </c>
      <c r="H1967" s="31"/>
      <c r="I1967" s="32">
        <f t="shared" si="124"/>
        <v>0</v>
      </c>
      <c r="J1967" s="33" t="str">
        <f t="shared" si="125"/>
        <v/>
      </c>
      <c r="K1967" s="2"/>
      <c r="L1967" s="15"/>
      <c r="M1967" s="34">
        <f t="shared" si="126"/>
        <v>0</v>
      </c>
    </row>
    <row r="1968" spans="1:13" x14ac:dyDescent="0.25">
      <c r="A1968" s="31"/>
      <c r="B1968" s="16" t="str">
        <f>IFERROR(VLOOKUP(A1968,Consolidado!$B$1:$L$1500,2,FALSE),"")</f>
        <v/>
      </c>
      <c r="C1968" s="16">
        <f>IFERROR(SUMIF(Consolidado!$B$1:$B$1500,VLOOKUP(RegistroPago!A1968,Consolidado!$B$1:$L$1500,1,FALSE),Consolidado!$G$1:$G$1500),"")</f>
        <v>0</v>
      </c>
      <c r="D1968" s="3"/>
      <c r="E1968" s="3"/>
      <c r="F1968" s="5" t="str">
        <f t="shared" si="123"/>
        <v/>
      </c>
      <c r="G1968" s="16" t="str">
        <f>IF(D1968&lt;&gt;"",D1968-VLOOKUP(A1968,Consolidado!$B$1:$L$1500,8,FALSE),"")</f>
        <v/>
      </c>
      <c r="H1968" s="31"/>
      <c r="I1968" s="32">
        <f t="shared" si="124"/>
        <v>0</v>
      </c>
      <c r="J1968" s="33" t="str">
        <f t="shared" si="125"/>
        <v/>
      </c>
      <c r="K1968" s="2"/>
      <c r="L1968" s="15"/>
      <c r="M1968" s="34">
        <f t="shared" si="126"/>
        <v>0</v>
      </c>
    </row>
    <row r="1969" spans="1:13" x14ac:dyDescent="0.25">
      <c r="A1969" s="31"/>
      <c r="B1969" s="16" t="str">
        <f>IFERROR(VLOOKUP(A1969,Consolidado!$B$1:$L$1500,2,FALSE),"")</f>
        <v/>
      </c>
      <c r="C1969" s="16">
        <f>IFERROR(SUMIF(Consolidado!$B$1:$B$1500,VLOOKUP(RegistroPago!A1969,Consolidado!$B$1:$L$1500,1,FALSE),Consolidado!$G$1:$G$1500),"")</f>
        <v>0</v>
      </c>
      <c r="D1969" s="3"/>
      <c r="E1969" s="3"/>
      <c r="F1969" s="5" t="str">
        <f t="shared" si="123"/>
        <v/>
      </c>
      <c r="G1969" s="16" t="str">
        <f>IF(D1969&lt;&gt;"",D1969-VLOOKUP(A1969,Consolidado!$B$1:$L$1500,8,FALSE),"")</f>
        <v/>
      </c>
      <c r="H1969" s="31"/>
      <c r="I1969" s="32">
        <f t="shared" si="124"/>
        <v>0</v>
      </c>
      <c r="J1969" s="33" t="str">
        <f t="shared" si="125"/>
        <v/>
      </c>
      <c r="K1969" s="2"/>
      <c r="L1969" s="15"/>
      <c r="M1969" s="34">
        <f t="shared" si="126"/>
        <v>0</v>
      </c>
    </row>
    <row r="1970" spans="1:13" x14ac:dyDescent="0.25">
      <c r="A1970" s="31"/>
      <c r="B1970" s="16" t="str">
        <f>IFERROR(VLOOKUP(A1970,Consolidado!$B$1:$L$1500,2,FALSE),"")</f>
        <v/>
      </c>
      <c r="C1970" s="16">
        <f>IFERROR(SUMIF(Consolidado!$B$1:$B$1500,VLOOKUP(RegistroPago!A1970,Consolidado!$B$1:$L$1500,1,FALSE),Consolidado!$G$1:$G$1500),"")</f>
        <v>0</v>
      </c>
      <c r="D1970" s="3"/>
      <c r="E1970" s="3"/>
      <c r="F1970" s="5" t="str">
        <f t="shared" si="123"/>
        <v/>
      </c>
      <c r="G1970" s="16" t="str">
        <f>IF(D1970&lt;&gt;"",D1970-VLOOKUP(A1970,Consolidado!$B$1:$L$1500,8,FALSE),"")</f>
        <v/>
      </c>
      <c r="H1970" s="31"/>
      <c r="I1970" s="32">
        <f t="shared" si="124"/>
        <v>0</v>
      </c>
      <c r="J1970" s="33" t="str">
        <f t="shared" si="125"/>
        <v/>
      </c>
      <c r="K1970" s="2"/>
      <c r="L1970" s="15"/>
      <c r="M1970" s="34">
        <f t="shared" si="126"/>
        <v>0</v>
      </c>
    </row>
    <row r="1971" spans="1:13" x14ac:dyDescent="0.25">
      <c r="A1971" s="31"/>
      <c r="B1971" s="16" t="str">
        <f>IFERROR(VLOOKUP(A1971,Consolidado!$B$1:$L$1500,2,FALSE),"")</f>
        <v/>
      </c>
      <c r="C1971" s="16">
        <f>IFERROR(SUMIF(Consolidado!$B$1:$B$1500,VLOOKUP(RegistroPago!A1971,Consolidado!$B$1:$L$1500,1,FALSE),Consolidado!$G$1:$G$1500),"")</f>
        <v>0</v>
      </c>
      <c r="D1971" s="3"/>
      <c r="E1971" s="3"/>
      <c r="F1971" s="5" t="str">
        <f t="shared" si="123"/>
        <v/>
      </c>
      <c r="G1971" s="16" t="str">
        <f>IF(D1971&lt;&gt;"",D1971-VLOOKUP(A1971,Consolidado!$B$1:$L$1500,8,FALSE),"")</f>
        <v/>
      </c>
      <c r="H1971" s="31"/>
      <c r="I1971" s="32">
        <f t="shared" si="124"/>
        <v>0</v>
      </c>
      <c r="J1971" s="33" t="str">
        <f t="shared" si="125"/>
        <v/>
      </c>
      <c r="K1971" s="2"/>
      <c r="L1971" s="15"/>
      <c r="M1971" s="34">
        <f t="shared" si="126"/>
        <v>0</v>
      </c>
    </row>
    <row r="1972" spans="1:13" x14ac:dyDescent="0.25">
      <c r="A1972" s="31"/>
      <c r="B1972" s="16" t="str">
        <f>IFERROR(VLOOKUP(A1972,Consolidado!$B$1:$L$1500,2,FALSE),"")</f>
        <v/>
      </c>
      <c r="C1972" s="16">
        <f>IFERROR(SUMIF(Consolidado!$B$1:$B$1500,VLOOKUP(RegistroPago!A1972,Consolidado!$B$1:$L$1500,1,FALSE),Consolidado!$G$1:$G$1500),"")</f>
        <v>0</v>
      </c>
      <c r="D1972" s="3"/>
      <c r="E1972" s="3"/>
      <c r="F1972" s="5" t="str">
        <f t="shared" si="123"/>
        <v/>
      </c>
      <c r="G1972" s="16" t="str">
        <f>IF(D1972&lt;&gt;"",D1972-VLOOKUP(A1972,Consolidado!$B$1:$L$1500,8,FALSE),"")</f>
        <v/>
      </c>
      <c r="H1972" s="31"/>
      <c r="I1972" s="32">
        <f t="shared" si="124"/>
        <v>0</v>
      </c>
      <c r="J1972" s="33" t="str">
        <f t="shared" si="125"/>
        <v/>
      </c>
      <c r="K1972" s="2"/>
      <c r="L1972" s="15"/>
      <c r="M1972" s="34">
        <f t="shared" si="126"/>
        <v>0</v>
      </c>
    </row>
    <row r="1973" spans="1:13" x14ac:dyDescent="0.25">
      <c r="A1973" s="31"/>
      <c r="B1973" s="16" t="str">
        <f>IFERROR(VLOOKUP(A1973,Consolidado!$B$1:$L$1500,2,FALSE),"")</f>
        <v/>
      </c>
      <c r="C1973" s="16">
        <f>IFERROR(SUMIF(Consolidado!$B$1:$B$1500,VLOOKUP(RegistroPago!A1973,Consolidado!$B$1:$L$1500,1,FALSE),Consolidado!$G$1:$G$1500),"")</f>
        <v>0</v>
      </c>
      <c r="D1973" s="3"/>
      <c r="E1973" s="3"/>
      <c r="F1973" s="5" t="str">
        <f t="shared" si="123"/>
        <v/>
      </c>
      <c r="G1973" s="16" t="str">
        <f>IF(D1973&lt;&gt;"",D1973-VLOOKUP(A1973,Consolidado!$B$1:$L$1500,8,FALSE),"")</f>
        <v/>
      </c>
      <c r="H1973" s="31"/>
      <c r="I1973" s="32">
        <f t="shared" si="124"/>
        <v>0</v>
      </c>
      <c r="J1973" s="33" t="str">
        <f t="shared" si="125"/>
        <v/>
      </c>
      <c r="K1973" s="2"/>
      <c r="L1973" s="15"/>
      <c r="M1973" s="34">
        <f t="shared" si="126"/>
        <v>0</v>
      </c>
    </row>
    <row r="1974" spans="1:13" x14ac:dyDescent="0.25">
      <c r="A1974" s="31"/>
      <c r="B1974" s="16" t="str">
        <f>IFERROR(VLOOKUP(A1974,Consolidado!$B$1:$L$1500,2,FALSE),"")</f>
        <v/>
      </c>
      <c r="C1974" s="16">
        <f>IFERROR(SUMIF(Consolidado!$B$1:$B$1500,VLOOKUP(RegistroPago!A1974,Consolidado!$B$1:$L$1500,1,FALSE),Consolidado!$G$1:$G$1500),"")</f>
        <v>0</v>
      </c>
      <c r="D1974" s="3"/>
      <c r="E1974" s="3"/>
      <c r="F1974" s="5" t="str">
        <f t="shared" si="123"/>
        <v/>
      </c>
      <c r="G1974" s="16" t="str">
        <f>IF(D1974&lt;&gt;"",D1974-VLOOKUP(A1974,Consolidado!$B$1:$L$1500,8,FALSE),"")</f>
        <v/>
      </c>
      <c r="H1974" s="31"/>
      <c r="I1974" s="32">
        <f t="shared" si="124"/>
        <v>0</v>
      </c>
      <c r="J1974" s="33" t="str">
        <f t="shared" si="125"/>
        <v/>
      </c>
      <c r="K1974" s="2"/>
      <c r="L1974" s="15"/>
      <c r="M1974" s="34">
        <f t="shared" si="126"/>
        <v>0</v>
      </c>
    </row>
    <row r="1975" spans="1:13" x14ac:dyDescent="0.25">
      <c r="A1975" s="31"/>
      <c r="B1975" s="16" t="str">
        <f>IFERROR(VLOOKUP(A1975,Consolidado!$B$1:$L$1500,2,FALSE),"")</f>
        <v/>
      </c>
      <c r="C1975" s="16">
        <f>IFERROR(SUMIF(Consolidado!$B$1:$B$1500,VLOOKUP(RegistroPago!A1975,Consolidado!$B$1:$L$1500,1,FALSE),Consolidado!$G$1:$G$1500),"")</f>
        <v>0</v>
      </c>
      <c r="D1975" s="3"/>
      <c r="E1975" s="3"/>
      <c r="F1975" s="5" t="str">
        <f t="shared" si="123"/>
        <v/>
      </c>
      <c r="G1975" s="16" t="str">
        <f>IF(D1975&lt;&gt;"",D1975-VLOOKUP(A1975,Consolidado!$B$1:$L$1500,8,FALSE),"")</f>
        <v/>
      </c>
      <c r="H1975" s="31"/>
      <c r="I1975" s="32">
        <f t="shared" si="124"/>
        <v>0</v>
      </c>
      <c r="J1975" s="33" t="str">
        <f t="shared" si="125"/>
        <v/>
      </c>
      <c r="K1975" s="2"/>
      <c r="L1975" s="15"/>
      <c r="M1975" s="34">
        <f t="shared" si="126"/>
        <v>0</v>
      </c>
    </row>
    <row r="1976" spans="1:13" x14ac:dyDescent="0.25">
      <c r="A1976" s="31"/>
      <c r="B1976" s="16" t="str">
        <f>IFERROR(VLOOKUP(A1976,Consolidado!$B$1:$L$1500,2,FALSE),"")</f>
        <v/>
      </c>
      <c r="C1976" s="16">
        <f>IFERROR(SUMIF(Consolidado!$B$1:$B$1500,VLOOKUP(RegistroPago!A1976,Consolidado!$B$1:$L$1500,1,FALSE),Consolidado!$G$1:$G$1500),"")</f>
        <v>0</v>
      </c>
      <c r="D1976" s="3"/>
      <c r="E1976" s="3"/>
      <c r="F1976" s="5" t="str">
        <f t="shared" si="123"/>
        <v/>
      </c>
      <c r="G1976" s="16" t="str">
        <f>IF(D1976&lt;&gt;"",D1976-VLOOKUP(A1976,Consolidado!$B$1:$L$1500,8,FALSE),"")</f>
        <v/>
      </c>
      <c r="H1976" s="31"/>
      <c r="I1976" s="32">
        <f t="shared" si="124"/>
        <v>0</v>
      </c>
      <c r="J1976" s="33" t="str">
        <f t="shared" si="125"/>
        <v/>
      </c>
      <c r="K1976" s="2"/>
      <c r="L1976" s="15"/>
      <c r="M1976" s="34">
        <f t="shared" si="126"/>
        <v>0</v>
      </c>
    </row>
    <row r="1977" spans="1:13" x14ac:dyDescent="0.25">
      <c r="A1977" s="31"/>
      <c r="B1977" s="16" t="str">
        <f>IFERROR(VLOOKUP(A1977,Consolidado!$B$1:$L$1500,2,FALSE),"")</f>
        <v/>
      </c>
      <c r="C1977" s="16">
        <f>IFERROR(SUMIF(Consolidado!$B$1:$B$1500,VLOOKUP(RegistroPago!A1977,Consolidado!$B$1:$L$1500,1,FALSE),Consolidado!$G$1:$G$1500),"")</f>
        <v>0</v>
      </c>
      <c r="D1977" s="3"/>
      <c r="E1977" s="3"/>
      <c r="F1977" s="5" t="str">
        <f t="shared" si="123"/>
        <v/>
      </c>
      <c r="G1977" s="16" t="str">
        <f>IF(D1977&lt;&gt;"",D1977-VLOOKUP(A1977,Consolidado!$B$1:$L$1500,8,FALSE),"")</f>
        <v/>
      </c>
      <c r="H1977" s="31"/>
      <c r="I1977" s="32">
        <f t="shared" si="124"/>
        <v>0</v>
      </c>
      <c r="J1977" s="33" t="str">
        <f t="shared" si="125"/>
        <v/>
      </c>
      <c r="K1977" s="2"/>
      <c r="L1977" s="15"/>
      <c r="M1977" s="34">
        <f t="shared" si="126"/>
        <v>0</v>
      </c>
    </row>
    <row r="1978" spans="1:13" x14ac:dyDescent="0.25">
      <c r="A1978" s="31"/>
      <c r="B1978" s="16" t="str">
        <f>IFERROR(VLOOKUP(A1978,Consolidado!$B$1:$L$1500,2,FALSE),"")</f>
        <v/>
      </c>
      <c r="C1978" s="16">
        <f>IFERROR(SUMIF(Consolidado!$B$1:$B$1500,VLOOKUP(RegistroPago!A1978,Consolidado!$B$1:$L$1500,1,FALSE),Consolidado!$G$1:$G$1500),"")</f>
        <v>0</v>
      </c>
      <c r="D1978" s="3"/>
      <c r="E1978" s="3"/>
      <c r="F1978" s="5" t="str">
        <f t="shared" si="123"/>
        <v/>
      </c>
      <c r="G1978" s="16" t="str">
        <f>IF(D1978&lt;&gt;"",D1978-VLOOKUP(A1978,Consolidado!$B$1:$L$1500,8,FALSE),"")</f>
        <v/>
      </c>
      <c r="H1978" s="31"/>
      <c r="I1978" s="32">
        <f t="shared" si="124"/>
        <v>0</v>
      </c>
      <c r="J1978" s="33" t="str">
        <f t="shared" si="125"/>
        <v/>
      </c>
      <c r="K1978" s="2"/>
      <c r="L1978" s="15"/>
      <c r="M1978" s="34">
        <f t="shared" si="126"/>
        <v>0</v>
      </c>
    </row>
    <row r="1979" spans="1:13" x14ac:dyDescent="0.25">
      <c r="A1979" s="31"/>
      <c r="B1979" s="16" t="str">
        <f>IFERROR(VLOOKUP(A1979,Consolidado!$B$1:$L$1500,2,FALSE),"")</f>
        <v/>
      </c>
      <c r="C1979" s="16">
        <f>IFERROR(SUMIF(Consolidado!$B$1:$B$1500,VLOOKUP(RegistroPago!A1979,Consolidado!$B$1:$L$1500,1,FALSE),Consolidado!$G$1:$G$1500),"")</f>
        <v>0</v>
      </c>
      <c r="D1979" s="3"/>
      <c r="E1979" s="3"/>
      <c r="F1979" s="5" t="str">
        <f t="shared" si="123"/>
        <v/>
      </c>
      <c r="G1979" s="16" t="str">
        <f>IF(D1979&lt;&gt;"",D1979-VLOOKUP(A1979,Consolidado!$B$1:$L$1500,8,FALSE),"")</f>
        <v/>
      </c>
      <c r="H1979" s="31"/>
      <c r="I1979" s="32">
        <f t="shared" si="124"/>
        <v>0</v>
      </c>
      <c r="J1979" s="33" t="str">
        <f t="shared" si="125"/>
        <v/>
      </c>
      <c r="K1979" s="2"/>
      <c r="L1979" s="15"/>
      <c r="M1979" s="34">
        <f t="shared" si="126"/>
        <v>0</v>
      </c>
    </row>
    <row r="1980" spans="1:13" x14ac:dyDescent="0.25">
      <c r="A1980" s="31"/>
      <c r="B1980" s="16" t="str">
        <f>IFERROR(VLOOKUP(A1980,Consolidado!$B$1:$L$1500,2,FALSE),"")</f>
        <v/>
      </c>
      <c r="C1980" s="16">
        <f>IFERROR(SUMIF(Consolidado!$B$1:$B$1500,VLOOKUP(RegistroPago!A1980,Consolidado!$B$1:$L$1500,1,FALSE),Consolidado!$G$1:$G$1500),"")</f>
        <v>0</v>
      </c>
      <c r="D1980" s="3"/>
      <c r="E1980" s="3"/>
      <c r="F1980" s="5" t="str">
        <f t="shared" si="123"/>
        <v/>
      </c>
      <c r="G1980" s="16" t="str">
        <f>IF(D1980&lt;&gt;"",D1980-VLOOKUP(A1980,Consolidado!$B$1:$L$1500,8,FALSE),"")</f>
        <v/>
      </c>
      <c r="H1980" s="31"/>
      <c r="I1980" s="32">
        <f t="shared" si="124"/>
        <v>0</v>
      </c>
      <c r="J1980" s="33" t="str">
        <f t="shared" si="125"/>
        <v/>
      </c>
      <c r="K1980" s="2"/>
      <c r="L1980" s="15"/>
      <c r="M1980" s="34">
        <f t="shared" si="126"/>
        <v>0</v>
      </c>
    </row>
    <row r="1981" spans="1:13" x14ac:dyDescent="0.25">
      <c r="A1981" s="31"/>
      <c r="B1981" s="16" t="str">
        <f>IFERROR(VLOOKUP(A1981,Consolidado!$B$1:$L$1500,2,FALSE),"")</f>
        <v/>
      </c>
      <c r="C1981" s="16">
        <f>IFERROR(SUMIF(Consolidado!$B$1:$B$1500,VLOOKUP(RegistroPago!A1981,Consolidado!$B$1:$L$1500,1,FALSE),Consolidado!$G$1:$G$1500),"")</f>
        <v>0</v>
      </c>
      <c r="D1981" s="3"/>
      <c r="E1981" s="3"/>
      <c r="F1981" s="5" t="str">
        <f t="shared" si="123"/>
        <v/>
      </c>
      <c r="G1981" s="16" t="str">
        <f>IF(D1981&lt;&gt;"",D1981-VLOOKUP(A1981,Consolidado!$B$1:$L$1500,8,FALSE),"")</f>
        <v/>
      </c>
      <c r="H1981" s="31"/>
      <c r="I1981" s="32">
        <f t="shared" si="124"/>
        <v>0</v>
      </c>
      <c r="J1981" s="33" t="str">
        <f t="shared" si="125"/>
        <v/>
      </c>
      <c r="K1981" s="2"/>
      <c r="L1981" s="15"/>
      <c r="M1981" s="34">
        <f t="shared" si="126"/>
        <v>0</v>
      </c>
    </row>
    <row r="1982" spans="1:13" x14ac:dyDescent="0.25">
      <c r="A1982" s="31"/>
      <c r="B1982" s="16" t="str">
        <f>IFERROR(VLOOKUP(A1982,Consolidado!$B$1:$L$1500,2,FALSE),"")</f>
        <v/>
      </c>
      <c r="C1982" s="16">
        <f>IFERROR(SUMIF(Consolidado!$B$1:$B$1500,VLOOKUP(RegistroPago!A1982,Consolidado!$B$1:$L$1500,1,FALSE),Consolidado!$G$1:$G$1500),"")</f>
        <v>0</v>
      </c>
      <c r="D1982" s="3"/>
      <c r="E1982" s="3"/>
      <c r="F1982" s="5" t="str">
        <f t="shared" si="123"/>
        <v/>
      </c>
      <c r="G1982" s="16" t="str">
        <f>IF(D1982&lt;&gt;"",D1982-VLOOKUP(A1982,Consolidado!$B$1:$L$1500,8,FALSE),"")</f>
        <v/>
      </c>
      <c r="H1982" s="31"/>
      <c r="I1982" s="32">
        <f t="shared" si="124"/>
        <v>0</v>
      </c>
      <c r="J1982" s="33" t="str">
        <f t="shared" si="125"/>
        <v/>
      </c>
      <c r="K1982" s="2"/>
      <c r="L1982" s="15"/>
      <c r="M1982" s="34">
        <f t="shared" si="126"/>
        <v>0</v>
      </c>
    </row>
    <row r="1983" spans="1:13" x14ac:dyDescent="0.25">
      <c r="A1983" s="31"/>
      <c r="B1983" s="16" t="str">
        <f>IFERROR(VLOOKUP(A1983,Consolidado!$B$1:$L$1500,2,FALSE),"")</f>
        <v/>
      </c>
      <c r="C1983" s="16">
        <f>IFERROR(SUMIF(Consolidado!$B$1:$B$1500,VLOOKUP(RegistroPago!A1983,Consolidado!$B$1:$L$1500,1,FALSE),Consolidado!$G$1:$G$1500),"")</f>
        <v>0</v>
      </c>
      <c r="D1983" s="3"/>
      <c r="E1983" s="3"/>
      <c r="F1983" s="5" t="str">
        <f t="shared" si="123"/>
        <v/>
      </c>
      <c r="G1983" s="16" t="str">
        <f>IF(D1983&lt;&gt;"",D1983-VLOOKUP(A1983,Consolidado!$B$1:$L$1500,8,FALSE),"")</f>
        <v/>
      </c>
      <c r="H1983" s="31"/>
      <c r="I1983" s="32">
        <f t="shared" si="124"/>
        <v>0</v>
      </c>
      <c r="J1983" s="33" t="str">
        <f t="shared" si="125"/>
        <v/>
      </c>
      <c r="K1983" s="2"/>
      <c r="L1983" s="15"/>
      <c r="M1983" s="34">
        <f t="shared" si="126"/>
        <v>0</v>
      </c>
    </row>
    <row r="1984" spans="1:13" x14ac:dyDescent="0.25">
      <c r="A1984" s="31"/>
      <c r="B1984" s="16" t="str">
        <f>IFERROR(VLOOKUP(A1984,Consolidado!$B$1:$L$1500,2,FALSE),"")</f>
        <v/>
      </c>
      <c r="C1984" s="16">
        <f>IFERROR(SUMIF(Consolidado!$B$1:$B$1500,VLOOKUP(RegistroPago!A1984,Consolidado!$B$1:$L$1500,1,FALSE),Consolidado!$G$1:$G$1500),"")</f>
        <v>0</v>
      </c>
      <c r="D1984" s="3"/>
      <c r="E1984" s="3"/>
      <c r="F1984" s="5" t="str">
        <f t="shared" si="123"/>
        <v/>
      </c>
      <c r="G1984" s="16" t="str">
        <f>IF(D1984&lt;&gt;"",D1984-VLOOKUP(A1984,Consolidado!$B$1:$L$1500,8,FALSE),"")</f>
        <v/>
      </c>
      <c r="H1984" s="31"/>
      <c r="I1984" s="32">
        <f t="shared" si="124"/>
        <v>0</v>
      </c>
      <c r="J1984" s="33" t="str">
        <f t="shared" si="125"/>
        <v/>
      </c>
      <c r="K1984" s="2"/>
      <c r="L1984" s="15"/>
      <c r="M1984" s="34">
        <f t="shared" si="126"/>
        <v>0</v>
      </c>
    </row>
    <row r="1985" spans="1:13" x14ac:dyDescent="0.25">
      <c r="A1985" s="31"/>
      <c r="B1985" s="16" t="str">
        <f>IFERROR(VLOOKUP(A1985,Consolidado!$B$1:$L$1500,2,FALSE),"")</f>
        <v/>
      </c>
      <c r="C1985" s="16">
        <f>IFERROR(SUMIF(Consolidado!$B$1:$B$1500,VLOOKUP(RegistroPago!A1985,Consolidado!$B$1:$L$1500,1,FALSE),Consolidado!$G$1:$G$1500),"")</f>
        <v>0</v>
      </c>
      <c r="D1985" s="3"/>
      <c r="E1985" s="3"/>
      <c r="F1985" s="5" t="str">
        <f t="shared" si="123"/>
        <v/>
      </c>
      <c r="G1985" s="16" t="str">
        <f>IF(D1985&lt;&gt;"",D1985-VLOOKUP(A1985,Consolidado!$B$1:$L$1500,8,FALSE),"")</f>
        <v/>
      </c>
      <c r="H1985" s="31"/>
      <c r="I1985" s="32">
        <f t="shared" si="124"/>
        <v>0</v>
      </c>
      <c r="J1985" s="33" t="str">
        <f t="shared" si="125"/>
        <v/>
      </c>
      <c r="K1985" s="2"/>
      <c r="L1985" s="15"/>
      <c r="M1985" s="34">
        <f t="shared" si="126"/>
        <v>0</v>
      </c>
    </row>
    <row r="1986" spans="1:13" x14ac:dyDescent="0.25">
      <c r="A1986" s="31"/>
      <c r="B1986" s="16" t="str">
        <f>IFERROR(VLOOKUP(A1986,Consolidado!$B$1:$L$1500,2,FALSE),"")</f>
        <v/>
      </c>
      <c r="C1986" s="16">
        <f>IFERROR(SUMIF(Consolidado!$B$1:$B$1500,VLOOKUP(RegistroPago!A1986,Consolidado!$B$1:$L$1500,1,FALSE),Consolidado!$G$1:$G$1500),"")</f>
        <v>0</v>
      </c>
      <c r="D1986" s="3"/>
      <c r="E1986" s="3"/>
      <c r="F1986" s="5" t="str">
        <f t="shared" si="123"/>
        <v/>
      </c>
      <c r="G1986" s="16" t="str">
        <f>IF(D1986&lt;&gt;"",D1986-VLOOKUP(A1986,Consolidado!$B$1:$L$1500,8,FALSE),"")</f>
        <v/>
      </c>
      <c r="H1986" s="31"/>
      <c r="I1986" s="32">
        <f t="shared" si="124"/>
        <v>0</v>
      </c>
      <c r="J1986" s="33" t="str">
        <f t="shared" si="125"/>
        <v/>
      </c>
      <c r="K1986" s="2"/>
      <c r="L1986" s="15"/>
      <c r="M1986" s="34">
        <f t="shared" si="126"/>
        <v>0</v>
      </c>
    </row>
    <row r="1987" spans="1:13" x14ac:dyDescent="0.25">
      <c r="A1987" s="31"/>
      <c r="B1987" s="16" t="str">
        <f>IFERROR(VLOOKUP(A1987,Consolidado!$B$1:$L$1500,2,FALSE),"")</f>
        <v/>
      </c>
      <c r="C1987" s="16">
        <f>IFERROR(SUMIF(Consolidado!$B$1:$B$1500,VLOOKUP(RegistroPago!A1987,Consolidado!$B$1:$L$1500,1,FALSE),Consolidado!$G$1:$G$1500),"")</f>
        <v>0</v>
      </c>
      <c r="D1987" s="3"/>
      <c r="E1987" s="3"/>
      <c r="F1987" s="5" t="str">
        <f t="shared" ref="F1987:F2000" si="127">IF(COUNTIF($E$2:$E$2000,E1987)&gt;1,"Ya registrado","")</f>
        <v/>
      </c>
      <c r="G1987" s="16" t="str">
        <f>IF(D1987&lt;&gt;"",D1987-VLOOKUP(A1987,Consolidado!$B$1:$L$1500,8,FALSE),"")</f>
        <v/>
      </c>
      <c r="H1987" s="31"/>
      <c r="I1987" s="32">
        <f t="shared" si="124"/>
        <v>0</v>
      </c>
      <c r="J1987" s="33" t="str">
        <f t="shared" si="125"/>
        <v/>
      </c>
      <c r="K1987" s="2"/>
      <c r="L1987" s="15"/>
      <c r="M1987" s="34">
        <f t="shared" si="126"/>
        <v>0</v>
      </c>
    </row>
    <row r="1988" spans="1:13" x14ac:dyDescent="0.25">
      <c r="A1988" s="31"/>
      <c r="B1988" s="16" t="str">
        <f>IFERROR(VLOOKUP(A1988,Consolidado!$B$1:$L$1500,2,FALSE),"")</f>
        <v/>
      </c>
      <c r="C1988" s="16">
        <f>IFERROR(SUMIF(Consolidado!$B$1:$B$1500,VLOOKUP(RegistroPago!A1988,Consolidado!$B$1:$L$1500,1,FALSE),Consolidado!$G$1:$G$1500),"")</f>
        <v>0</v>
      </c>
      <c r="D1988" s="3"/>
      <c r="E1988" s="3"/>
      <c r="F1988" s="5" t="str">
        <f t="shared" si="127"/>
        <v/>
      </c>
      <c r="G1988" s="16" t="str">
        <f>IF(D1988&lt;&gt;"",D1988-VLOOKUP(A1988,Consolidado!$B$1:$L$1500,8,FALSE),"")</f>
        <v/>
      </c>
      <c r="H1988" s="31"/>
      <c r="I1988" s="32">
        <f t="shared" si="124"/>
        <v>0</v>
      </c>
      <c r="J1988" s="33" t="str">
        <f t="shared" si="125"/>
        <v/>
      </c>
      <c r="K1988" s="2"/>
      <c r="L1988" s="15"/>
      <c r="M1988" s="34">
        <f t="shared" si="126"/>
        <v>0</v>
      </c>
    </row>
    <row r="1989" spans="1:13" x14ac:dyDescent="0.25">
      <c r="A1989" s="31"/>
      <c r="B1989" s="16" t="str">
        <f>IFERROR(VLOOKUP(A1989,Consolidado!$B$1:$L$1500,2,FALSE),"")</f>
        <v/>
      </c>
      <c r="C1989" s="16">
        <f>IFERROR(SUMIF(Consolidado!$B$1:$B$1500,VLOOKUP(RegistroPago!A1989,Consolidado!$B$1:$L$1500,1,FALSE),Consolidado!$G$1:$G$1500),"")</f>
        <v>0</v>
      </c>
      <c r="D1989" s="3"/>
      <c r="E1989" s="3"/>
      <c r="F1989" s="5" t="str">
        <f t="shared" si="127"/>
        <v/>
      </c>
      <c r="G1989" s="16" t="str">
        <f>IF(D1989&lt;&gt;"",D1989-VLOOKUP(A1989,Consolidado!$B$1:$L$1500,8,FALSE),"")</f>
        <v/>
      </c>
      <c r="H1989" s="31"/>
      <c r="I1989" s="32">
        <f t="shared" si="124"/>
        <v>0</v>
      </c>
      <c r="J1989" s="33" t="str">
        <f t="shared" si="125"/>
        <v/>
      </c>
      <c r="K1989" s="2"/>
      <c r="L1989" s="15"/>
      <c r="M1989" s="34">
        <f t="shared" si="126"/>
        <v>0</v>
      </c>
    </row>
    <row r="1990" spans="1:13" x14ac:dyDescent="0.25">
      <c r="A1990" s="31"/>
      <c r="B1990" s="16" t="str">
        <f>IFERROR(VLOOKUP(A1990,Consolidado!$B$1:$L$1500,2,FALSE),"")</f>
        <v/>
      </c>
      <c r="C1990" s="16">
        <f>IFERROR(SUMIF(Consolidado!$B$1:$B$1500,VLOOKUP(RegistroPago!A1990,Consolidado!$B$1:$L$1500,1,FALSE),Consolidado!$G$1:$G$1500),"")</f>
        <v>0</v>
      </c>
      <c r="D1990" s="3"/>
      <c r="E1990" s="3"/>
      <c r="F1990" s="5" t="str">
        <f t="shared" si="127"/>
        <v/>
      </c>
      <c r="G1990" s="16" t="str">
        <f>IF(D1990&lt;&gt;"",D1990-VLOOKUP(A1990,Consolidado!$B$1:$L$1500,8,FALSE),"")</f>
        <v/>
      </c>
      <c r="H1990" s="31"/>
      <c r="I1990" s="32">
        <f t="shared" si="124"/>
        <v>0</v>
      </c>
      <c r="J1990" s="33" t="str">
        <f t="shared" si="125"/>
        <v/>
      </c>
      <c r="K1990" s="2"/>
      <c r="L1990" s="15"/>
      <c r="M1990" s="34">
        <f t="shared" si="126"/>
        <v>0</v>
      </c>
    </row>
    <row r="1991" spans="1:13" x14ac:dyDescent="0.25">
      <c r="A1991" s="31"/>
      <c r="B1991" s="16" t="str">
        <f>IFERROR(VLOOKUP(A1991,Consolidado!$B$1:$L$1500,2,FALSE),"")</f>
        <v/>
      </c>
      <c r="C1991" s="16">
        <f>IFERROR(SUMIF(Consolidado!$B$1:$B$1500,VLOOKUP(RegistroPago!A1991,Consolidado!$B$1:$L$1500,1,FALSE),Consolidado!$G$1:$G$1500),"")</f>
        <v>0</v>
      </c>
      <c r="D1991" s="3"/>
      <c r="E1991" s="3"/>
      <c r="F1991" s="5" t="str">
        <f t="shared" si="127"/>
        <v/>
      </c>
      <c r="G1991" s="16" t="str">
        <f>IF(D1991&lt;&gt;"",D1991-VLOOKUP(A1991,Consolidado!$B$1:$L$1500,8,FALSE),"")</f>
        <v/>
      </c>
      <c r="H1991" s="31"/>
      <c r="I1991" s="32">
        <f t="shared" si="124"/>
        <v>0</v>
      </c>
      <c r="J1991" s="33" t="str">
        <f t="shared" si="125"/>
        <v/>
      </c>
      <c r="K1991" s="2"/>
      <c r="L1991" s="15"/>
      <c r="M1991" s="34">
        <f t="shared" si="126"/>
        <v>0</v>
      </c>
    </row>
    <row r="1992" spans="1:13" x14ac:dyDescent="0.25">
      <c r="A1992" s="31"/>
      <c r="B1992" s="16" t="str">
        <f>IFERROR(VLOOKUP(A1992,Consolidado!$B$1:$L$1500,2,FALSE),"")</f>
        <v/>
      </c>
      <c r="C1992" s="16">
        <f>IFERROR(SUMIF(Consolidado!$B$1:$B$1500,VLOOKUP(RegistroPago!A1992,Consolidado!$B$1:$L$1500,1,FALSE),Consolidado!$G$1:$G$1500),"")</f>
        <v>0</v>
      </c>
      <c r="D1992" s="3"/>
      <c r="E1992" s="3"/>
      <c r="F1992" s="5" t="str">
        <f t="shared" si="127"/>
        <v/>
      </c>
      <c r="G1992" s="16" t="str">
        <f>IF(D1992&lt;&gt;"",D1992-VLOOKUP(A1992,Consolidado!$B$1:$L$1500,8,FALSE),"")</f>
        <v/>
      </c>
      <c r="H1992" s="31"/>
      <c r="I1992" s="32">
        <f t="shared" si="124"/>
        <v>0</v>
      </c>
      <c r="J1992" s="33" t="str">
        <f t="shared" si="125"/>
        <v/>
      </c>
      <c r="K1992" s="2"/>
      <c r="L1992" s="15"/>
      <c r="M1992" s="34">
        <f t="shared" si="126"/>
        <v>0</v>
      </c>
    </row>
    <row r="1993" spans="1:13" x14ac:dyDescent="0.25">
      <c r="A1993" s="31"/>
      <c r="B1993" s="16" t="str">
        <f>IFERROR(VLOOKUP(A1993,Consolidado!$B$1:$L$1500,2,FALSE),"")</f>
        <v/>
      </c>
      <c r="C1993" s="16">
        <f>IFERROR(SUMIF(Consolidado!$B$1:$B$1500,VLOOKUP(RegistroPago!A1993,Consolidado!$B$1:$L$1500,1,FALSE),Consolidado!$G$1:$G$1500),"")</f>
        <v>0</v>
      </c>
      <c r="D1993" s="3"/>
      <c r="E1993" s="3"/>
      <c r="F1993" s="5" t="str">
        <f t="shared" si="127"/>
        <v/>
      </c>
      <c r="G1993" s="16" t="str">
        <f>IF(D1993&lt;&gt;"",D1993-VLOOKUP(A1993,Consolidado!$B$1:$L$1500,8,FALSE),"")</f>
        <v/>
      </c>
      <c r="H1993" s="31"/>
      <c r="I1993" s="32">
        <f t="shared" si="124"/>
        <v>0</v>
      </c>
      <c r="J1993" s="33" t="str">
        <f t="shared" si="125"/>
        <v/>
      </c>
      <c r="K1993" s="2"/>
      <c r="L1993" s="15"/>
      <c r="M1993" s="34">
        <f t="shared" si="126"/>
        <v>0</v>
      </c>
    </row>
    <row r="1994" spans="1:13" x14ac:dyDescent="0.25">
      <c r="A1994" s="31"/>
      <c r="B1994" s="16" t="str">
        <f>IFERROR(VLOOKUP(A1994,Consolidado!$B$1:$L$1500,2,FALSE),"")</f>
        <v/>
      </c>
      <c r="C1994" s="16">
        <f>IFERROR(SUMIF(Consolidado!$B$1:$B$1500,VLOOKUP(RegistroPago!A1994,Consolidado!$B$1:$L$1500,1,FALSE),Consolidado!$G$1:$G$1500),"")</f>
        <v>0</v>
      </c>
      <c r="D1994" s="3"/>
      <c r="E1994" s="3"/>
      <c r="F1994" s="5" t="str">
        <f t="shared" si="127"/>
        <v/>
      </c>
      <c r="G1994" s="16" t="str">
        <f>IF(D1994&lt;&gt;"",D1994-VLOOKUP(A1994,Consolidado!$B$1:$L$1500,8,FALSE),"")</f>
        <v/>
      </c>
      <c r="H1994" s="31"/>
      <c r="I1994" s="32">
        <f t="shared" si="124"/>
        <v>0</v>
      </c>
      <c r="J1994" s="33" t="str">
        <f t="shared" si="125"/>
        <v/>
      </c>
      <c r="K1994" s="2"/>
      <c r="L1994" s="15"/>
      <c r="M1994" s="34">
        <f t="shared" si="126"/>
        <v>0</v>
      </c>
    </row>
    <row r="1995" spans="1:13" x14ac:dyDescent="0.25">
      <c r="A1995" s="31"/>
      <c r="B1995" s="16" t="str">
        <f>IFERROR(VLOOKUP(A1995,Consolidado!$B$1:$L$1500,2,FALSE),"")</f>
        <v/>
      </c>
      <c r="C1995" s="16">
        <f>IFERROR(SUMIF(Consolidado!$B$1:$B$1500,VLOOKUP(RegistroPago!A1995,Consolidado!$B$1:$L$1500,1,FALSE),Consolidado!$G$1:$G$1500),"")</f>
        <v>0</v>
      </c>
      <c r="D1995" s="3"/>
      <c r="E1995" s="3"/>
      <c r="F1995" s="5" t="str">
        <f t="shared" si="127"/>
        <v/>
      </c>
      <c r="G1995" s="16" t="str">
        <f>IF(D1995&lt;&gt;"",D1995-VLOOKUP(A1995,Consolidado!$B$1:$L$1500,8,FALSE),"")</f>
        <v/>
      </c>
      <c r="H1995" s="31"/>
      <c r="I1995" s="32">
        <f t="shared" si="124"/>
        <v>0</v>
      </c>
      <c r="J1995" s="33" t="str">
        <f t="shared" si="125"/>
        <v/>
      </c>
      <c r="K1995" s="2"/>
      <c r="L1995" s="15"/>
      <c r="M1995" s="34">
        <f t="shared" si="126"/>
        <v>0</v>
      </c>
    </row>
    <row r="1996" spans="1:13" x14ac:dyDescent="0.25">
      <c r="A1996" s="31"/>
      <c r="B1996" s="16" t="str">
        <f>IFERROR(VLOOKUP(A1996,Consolidado!$B$1:$L$1500,2,FALSE),"")</f>
        <v/>
      </c>
      <c r="C1996" s="16">
        <f>IFERROR(SUMIF(Consolidado!$B$1:$B$1500,VLOOKUP(RegistroPago!A1996,Consolidado!$B$1:$L$1500,1,FALSE),Consolidado!$G$1:$G$1500),"")</f>
        <v>0</v>
      </c>
      <c r="D1996" s="3"/>
      <c r="E1996" s="3"/>
      <c r="F1996" s="5" t="str">
        <f t="shared" si="127"/>
        <v/>
      </c>
      <c r="G1996" s="16" t="str">
        <f>IF(D1996&lt;&gt;"",D1996-VLOOKUP(A1996,Consolidado!$B$1:$L$1500,8,FALSE),"")</f>
        <v/>
      </c>
      <c r="H1996" s="31"/>
      <c r="I1996" s="32">
        <f t="shared" si="124"/>
        <v>0</v>
      </c>
      <c r="J1996" s="33" t="str">
        <f t="shared" si="125"/>
        <v/>
      </c>
      <c r="K1996" s="2"/>
      <c r="L1996" s="15"/>
      <c r="M1996" s="34">
        <f t="shared" si="126"/>
        <v>0</v>
      </c>
    </row>
    <row r="1997" spans="1:13" x14ac:dyDescent="0.25">
      <c r="A1997" s="31"/>
      <c r="B1997" s="16" t="str">
        <f>IFERROR(VLOOKUP(A1997,Consolidado!$B$1:$L$1500,2,FALSE),"")</f>
        <v/>
      </c>
      <c r="C1997" s="16">
        <f>IFERROR(SUMIF(Consolidado!$B$1:$B$1500,VLOOKUP(RegistroPago!A1997,Consolidado!$B$1:$L$1500,1,FALSE),Consolidado!$G$1:$G$1500),"")</f>
        <v>0</v>
      </c>
      <c r="D1997" s="3"/>
      <c r="E1997" s="3"/>
      <c r="F1997" s="5" t="str">
        <f t="shared" si="127"/>
        <v/>
      </c>
      <c r="G1997" s="16" t="str">
        <f>IF(D1997&lt;&gt;"",D1997-VLOOKUP(A1997,Consolidado!$B$1:$L$1500,8,FALSE),"")</f>
        <v/>
      </c>
      <c r="H1997" s="31"/>
      <c r="I1997" s="32">
        <f t="shared" si="124"/>
        <v>0</v>
      </c>
      <c r="J1997" s="33" t="str">
        <f t="shared" si="125"/>
        <v/>
      </c>
      <c r="K1997" s="2"/>
      <c r="L1997" s="15"/>
      <c r="M1997" s="34">
        <f t="shared" si="126"/>
        <v>0</v>
      </c>
    </row>
    <row r="1998" spans="1:13" x14ac:dyDescent="0.25">
      <c r="A1998" s="31"/>
      <c r="B1998" s="16" t="str">
        <f>IFERROR(VLOOKUP(A1998,Consolidado!$B$1:$L$1500,2,FALSE),"")</f>
        <v/>
      </c>
      <c r="C1998" s="16">
        <f>IFERROR(SUMIF(Consolidado!$B$1:$B$1500,VLOOKUP(RegistroPago!A1998,Consolidado!$B$1:$L$1500,1,FALSE),Consolidado!$G$1:$G$1500),"")</f>
        <v>0</v>
      </c>
      <c r="D1998" s="3"/>
      <c r="E1998" s="3"/>
      <c r="F1998" s="5" t="str">
        <f t="shared" si="127"/>
        <v/>
      </c>
      <c r="G1998" s="16" t="str">
        <f>IF(D1998&lt;&gt;"",D1998-VLOOKUP(A1998,Consolidado!$B$1:$L$1500,8,FALSE),"")</f>
        <v/>
      </c>
      <c r="H1998" s="31"/>
      <c r="I1998" s="32">
        <f t="shared" si="124"/>
        <v>0</v>
      </c>
      <c r="J1998" s="33" t="str">
        <f t="shared" si="125"/>
        <v/>
      </c>
      <c r="K1998" s="2"/>
      <c r="L1998" s="15"/>
      <c r="M1998" s="34">
        <f t="shared" si="126"/>
        <v>0</v>
      </c>
    </row>
    <row r="1999" spans="1:13" x14ac:dyDescent="0.25">
      <c r="A1999" s="31"/>
      <c r="B1999" s="16" t="str">
        <f>IFERROR(VLOOKUP(A1999,Consolidado!$B$1:$L$1500,2,FALSE),"")</f>
        <v/>
      </c>
      <c r="C1999" s="16">
        <f>IFERROR(SUMIF(Consolidado!$B$1:$B$1500,VLOOKUP(RegistroPago!A1999,Consolidado!$B$1:$L$1500,1,FALSE),Consolidado!$G$1:$G$1500),"")</f>
        <v>0</v>
      </c>
      <c r="D1999" s="3"/>
      <c r="E1999" s="3"/>
      <c r="F1999" s="5" t="str">
        <f t="shared" si="127"/>
        <v/>
      </c>
      <c r="G1999" s="16" t="str">
        <f>IF(D1999&lt;&gt;"",D1999-VLOOKUP(A1999,Consolidado!$B$1:$L$1500,8,FALSE),"")</f>
        <v/>
      </c>
      <c r="H1999" s="31"/>
      <c r="I1999" s="32">
        <f t="shared" si="124"/>
        <v>0</v>
      </c>
      <c r="J1999" s="33" t="str">
        <f t="shared" si="125"/>
        <v/>
      </c>
      <c r="K1999" s="2"/>
      <c r="L1999" s="15"/>
      <c r="M1999" s="34">
        <f t="shared" si="126"/>
        <v>0</v>
      </c>
    </row>
    <row r="2000" spans="1:13" x14ac:dyDescent="0.25">
      <c r="A2000" s="31"/>
      <c r="B2000" s="16" t="str">
        <f>IFERROR(VLOOKUP(A2000,Consolidado!$B$1:$L$1500,2,FALSE),"")</f>
        <v/>
      </c>
      <c r="C2000" s="16">
        <f>IFERROR(SUMIF(Consolidado!$B$1:$B$1500,VLOOKUP(RegistroPago!A2000,Consolidado!$B$1:$L$1500,1,FALSE),Consolidado!$G$1:$G$1500),"")</f>
        <v>0</v>
      </c>
      <c r="D2000" s="3"/>
      <c r="E2000" s="3"/>
      <c r="F2000" s="5" t="str">
        <f t="shared" si="127"/>
        <v/>
      </c>
      <c r="G2000" s="16" t="str">
        <f>IF(D2000&lt;&gt;"",D2000-VLOOKUP(A2000,Consolidado!$B$1:$L$1500,8,FALSE),"")</f>
        <v/>
      </c>
      <c r="H2000" s="31"/>
      <c r="I2000" s="32">
        <f t="shared" si="124"/>
        <v>0</v>
      </c>
      <c r="J2000" s="33" t="str">
        <f t="shared" si="125"/>
        <v/>
      </c>
      <c r="K2000" s="2"/>
      <c r="L2000" s="15"/>
      <c r="M2000" s="34">
        <f t="shared" si="12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F71E-BAEA-43B5-83DE-98123D67C88B}">
  <dimension ref="A1:W90"/>
  <sheetViews>
    <sheetView showGridLines="0" topLeftCell="F1" workbookViewId="0">
      <selection activeCell="D67" sqref="D67"/>
    </sheetView>
  </sheetViews>
  <sheetFormatPr baseColWidth="10" defaultRowHeight="15" outlineLevelCol="1" x14ac:dyDescent="0.25"/>
  <cols>
    <col min="1" max="1" width="17.85546875" hidden="1" customWidth="1" outlineLevel="1"/>
    <col min="2" max="2" width="17" hidden="1" customWidth="1" outlineLevel="1"/>
    <col min="3" max="3" width="28.5703125" hidden="1" customWidth="1" outlineLevel="1"/>
    <col min="4" max="5" width="12.5703125" hidden="1" customWidth="1" outlineLevel="1"/>
    <col min="6" max="6" width="9.28515625" bestFit="1" customWidth="1" collapsed="1"/>
    <col min="7" max="7" width="8.7109375" bestFit="1" customWidth="1"/>
    <col min="8" max="8" width="10.7109375" bestFit="1" customWidth="1"/>
    <col min="9" max="9" width="11.140625" bestFit="1" customWidth="1"/>
    <col min="10" max="10" width="12.5703125" bestFit="1" customWidth="1"/>
  </cols>
  <sheetData>
    <row r="1" spans="1:23" x14ac:dyDescent="0.25">
      <c r="A1" s="19" t="s">
        <v>28</v>
      </c>
      <c r="B1" t="s">
        <v>30</v>
      </c>
      <c r="C1" t="s">
        <v>31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x14ac:dyDescent="0.25">
      <c r="A2" s="20" t="s">
        <v>12</v>
      </c>
      <c r="B2" s="24">
        <v>99206.676666666652</v>
      </c>
      <c r="C2" s="24">
        <v>90716.47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x14ac:dyDescent="0.25">
      <c r="A3" s="20" t="s">
        <v>13</v>
      </c>
      <c r="B3" s="24">
        <v>153587.76285714289</v>
      </c>
      <c r="C3" s="24">
        <v>84987.520000000004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 x14ac:dyDescent="0.25">
      <c r="A4" s="20" t="s">
        <v>14</v>
      </c>
      <c r="B4" s="24">
        <v>134876.99190476193</v>
      </c>
      <c r="C4" s="24"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20" t="s">
        <v>15</v>
      </c>
      <c r="B5" s="24">
        <v>42841.642142857141</v>
      </c>
      <c r="C5" s="24">
        <v>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 x14ac:dyDescent="0.25">
      <c r="A6" s="20"/>
      <c r="B6" s="24">
        <v>0</v>
      </c>
      <c r="C6" s="24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0" t="s">
        <v>29</v>
      </c>
      <c r="B7" s="24">
        <v>430513.0735714286</v>
      </c>
      <c r="C7" s="24">
        <v>175703.99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1:23" x14ac:dyDescent="0.25"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 x14ac:dyDescent="0.25"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x14ac:dyDescent="0.25"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 x14ac:dyDescent="0.25"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x14ac:dyDescent="0.25"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x14ac:dyDescent="0.25"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 x14ac:dyDescent="0.25"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x14ac:dyDescent="0.25"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x14ac:dyDescent="0.25"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5"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5">
      <c r="A18" s="19" t="s">
        <v>28</v>
      </c>
      <c r="B18" t="s">
        <v>33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5">
      <c r="A19" s="20" t="s">
        <v>12</v>
      </c>
      <c r="B19" s="22">
        <v>20.785714285714285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5">
      <c r="A20" s="20" t="s">
        <v>13</v>
      </c>
      <c r="B20" s="22">
        <v>11.625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5">
      <c r="A21" s="20" t="s">
        <v>14</v>
      </c>
      <c r="B21" s="22" t="e">
        <v>#DIV/0!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 x14ac:dyDescent="0.25">
      <c r="A22" s="20" t="s">
        <v>15</v>
      </c>
      <c r="B22" s="22" t="e">
        <v>#DIV/0!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x14ac:dyDescent="0.25">
      <c r="A23" s="20"/>
      <c r="B23" s="22" t="e">
        <v>#DIV/0!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spans="1:23" x14ac:dyDescent="0.25">
      <c r="A24" s="20" t="s">
        <v>29</v>
      </c>
      <c r="B24" s="22">
        <v>15.9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:23" x14ac:dyDescent="0.25"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 x14ac:dyDescent="0.25"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 x14ac:dyDescent="0.25"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x14ac:dyDescent="0.25"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 x14ac:dyDescent="0.25"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1:23" x14ac:dyDescent="0.25"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1:23" x14ac:dyDescent="0.25"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1:23" x14ac:dyDescent="0.25"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1:23" x14ac:dyDescent="0.25"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1:23" x14ac:dyDescent="0.25"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 x14ac:dyDescent="0.25">
      <c r="A35" s="19" t="s">
        <v>28</v>
      </c>
      <c r="B35" t="s">
        <v>34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1:23" x14ac:dyDescent="0.25">
      <c r="A36" s="20" t="s">
        <v>35</v>
      </c>
      <c r="B36" s="23">
        <v>288558384.09600002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 x14ac:dyDescent="0.25">
      <c r="A37" s="20" t="s">
        <v>29</v>
      </c>
      <c r="B37" s="23">
        <v>288558384.09600002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 x14ac:dyDescent="0.25"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spans="1:23" x14ac:dyDescent="0.25"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spans="1:23" x14ac:dyDescent="0.25"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1:23" x14ac:dyDescent="0.25"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1:23" x14ac:dyDescent="0.25"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spans="1:23" x14ac:dyDescent="0.25"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23" x14ac:dyDescent="0.25"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1:23" x14ac:dyDescent="0.25"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spans="1:23" x14ac:dyDescent="0.25"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spans="1:23" x14ac:dyDescent="0.25"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spans="1:23" x14ac:dyDescent="0.25"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spans="1:23" x14ac:dyDescent="0.25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 x14ac:dyDescent="0.25">
      <c r="A50" s="19" t="s">
        <v>28</v>
      </c>
      <c r="B50" t="s">
        <v>36</v>
      </c>
      <c r="C50" t="s">
        <v>37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spans="1:23" x14ac:dyDescent="0.25">
      <c r="A51" s="20" t="s">
        <v>12</v>
      </c>
      <c r="B51" s="23">
        <v>364188702.11009991</v>
      </c>
      <c r="C51" s="23">
        <v>318665114.3463375</v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1:23" x14ac:dyDescent="0.25">
      <c r="A52" s="20" t="s">
        <v>13</v>
      </c>
      <c r="B52" s="23">
        <v>470776936.20047128</v>
      </c>
      <c r="C52" s="23">
        <v>411929819.17541254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spans="1:23" x14ac:dyDescent="0.25">
      <c r="A53" s="20" t="s">
        <v>14</v>
      </c>
      <c r="B53" s="23">
        <v>0</v>
      </c>
      <c r="C53" s="23">
        <v>0</v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23" x14ac:dyDescent="0.25">
      <c r="A54" s="20" t="s">
        <v>15</v>
      </c>
      <c r="B54" s="23">
        <v>0</v>
      </c>
      <c r="C54" s="23">
        <v>0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 x14ac:dyDescent="0.25">
      <c r="A55" s="20" t="s">
        <v>29</v>
      </c>
      <c r="B55" s="23">
        <v>834965638.31057119</v>
      </c>
      <c r="C55" s="23">
        <v>730594933.52174997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spans="1:23" x14ac:dyDescent="0.25"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23" x14ac:dyDescent="0.25"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23" x14ac:dyDescent="0.25"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1:23" x14ac:dyDescent="0.25"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spans="1:23" x14ac:dyDescent="0.25"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1:23" x14ac:dyDescent="0.25"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3" x14ac:dyDescent="0.25"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1:23" x14ac:dyDescent="0.25"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1:23" x14ac:dyDescent="0.25"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spans="1:23" x14ac:dyDescent="0.25"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1:23" x14ac:dyDescent="0.25">
      <c r="A66" s="19" t="s">
        <v>28</v>
      </c>
      <c r="B66" t="s">
        <v>38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1:23" x14ac:dyDescent="0.25">
      <c r="A67" s="20" t="s">
        <v>17</v>
      </c>
      <c r="B67" s="27">
        <v>1.7543859649122806E-2</v>
      </c>
      <c r="E67" s="26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1:23" x14ac:dyDescent="0.25">
      <c r="A68" s="20" t="s">
        <v>39</v>
      </c>
      <c r="B68" s="27">
        <v>0.10526315789473684</v>
      </c>
      <c r="E68" s="26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spans="1:23" x14ac:dyDescent="0.25">
      <c r="A69" s="20" t="s">
        <v>40</v>
      </c>
      <c r="B69" s="27">
        <v>0.45614035087719296</v>
      </c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spans="1:23" x14ac:dyDescent="0.25">
      <c r="A70" s="20" t="s">
        <v>42</v>
      </c>
      <c r="B70" s="27">
        <v>2.6315789473684209E-2</v>
      </c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1:23" x14ac:dyDescent="0.25">
      <c r="A71" s="20" t="s">
        <v>41</v>
      </c>
      <c r="B71" s="27">
        <v>0.39473684210526316</v>
      </c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1:23" x14ac:dyDescent="0.25">
      <c r="A72" s="20" t="s">
        <v>29</v>
      </c>
      <c r="B72" s="27">
        <v>1</v>
      </c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1:23" x14ac:dyDescent="0.25"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1:23" x14ac:dyDescent="0.25"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1:23" x14ac:dyDescent="0.25"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1:23" x14ac:dyDescent="0.25"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spans="1:23" x14ac:dyDescent="0.25"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3" x14ac:dyDescent="0.25">
      <c r="A78" s="19" t="s">
        <v>28</v>
      </c>
      <c r="B78" t="s">
        <v>30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1:23" x14ac:dyDescent="0.25">
      <c r="A79" s="20" t="s">
        <v>16</v>
      </c>
      <c r="B79" s="23">
        <v>430513.07357142901</v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3" x14ac:dyDescent="0.25">
      <c r="A80" s="20" t="s">
        <v>29</v>
      </c>
      <c r="B80" s="23">
        <v>430513.07357142901</v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6:23" x14ac:dyDescent="0.25"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6:23" x14ac:dyDescent="0.25"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spans="6:23" x14ac:dyDescent="0.25"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6:23" x14ac:dyDescent="0.25"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6:23" x14ac:dyDescent="0.25"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6:23" x14ac:dyDescent="0.25"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6:23" x14ac:dyDescent="0.25"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6:23" x14ac:dyDescent="0.25"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6:23" x14ac:dyDescent="0.25"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6:23" x14ac:dyDescent="0.25"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Consolidado</vt:lpstr>
      <vt:lpstr>RegistroPago</vt:lpstr>
      <vt:lpstr>KPI´s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 Granada Ramírez</dc:creator>
  <cp:lastModifiedBy>Luisa Fernanda  Granada Ramírez</cp:lastModifiedBy>
  <dcterms:created xsi:type="dcterms:W3CDTF">2026-04-17T14:04:51Z</dcterms:created>
  <dcterms:modified xsi:type="dcterms:W3CDTF">2026-06-16T22:49:35Z</dcterms:modified>
</cp:coreProperties>
</file>