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Bee\ProcesoFacturacion\Archivos de Prueba\"/>
    </mc:Choice>
  </mc:AlternateContent>
  <xr:revisionPtr revIDLastSave="0" documentId="13_ncr:1_{E5165314-BF01-4F08-B3D5-B419DEF5373C}" xr6:coauthVersionLast="47" xr6:coauthVersionMax="47" xr10:uidLastSave="{00000000-0000-0000-0000-000000000000}"/>
  <bookViews>
    <workbookView xWindow="-120" yWindow="-120" windowWidth="20730" windowHeight="11040" xr2:uid="{AA7CAE5C-30C6-44F1-B847-C2BA0A1C5EC5}"/>
  </bookViews>
  <sheets>
    <sheet name="Detalle" sheetId="1" r:id="rId1"/>
  </sheets>
  <definedNames>
    <definedName name="query__91" localSheetId="0" hidden="1">Detalle!$A$1:$Y$19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3C6BA0-B4DC-4761-A1A6-85A6BC43EBFA}" odcFile="C:\Users\gflores\Downloads\query (91).iqy" keepAlive="1" name="query (91)" type="5" refreshedVersion="8" minRefreshableVersion="3" saveData="1">
    <dbPr connection="Provider=Microsoft.Office.List.OLEDB.2.0;Data Source=&quot;&quot;;ApplicationName=Excel;Version=12.0.0.0" command="&lt;LIST&gt;&lt;VIEWGUID&gt;D9956583-FA8B-419A-AF7F-CCA651887790&lt;/VIEWGUID&gt;&lt;LISTNAME&gt;e3fcd00b-b6f7-4a83-a6ac-1b6a8db0bf51&lt;/LISTNAME&gt;&lt;LISTWEB&gt;https://bancolombia.sharepoint.com/teams/AIETI-TEA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<sst xmlns="http://schemas.openxmlformats.org/spreadsheetml/2006/main" count="283" uniqueCount="126">
  <si>
    <t>Nombre del colaborador</t>
  </si>
  <si>
    <t>Rol Mop</t>
  </si>
  <si>
    <t>Mes de facturación</t>
  </si>
  <si>
    <t>Tarifa</t>
  </si>
  <si>
    <t>Desglose de Novedad</t>
  </si>
  <si>
    <t>Comentarios proveedor</t>
  </si>
  <si>
    <t>ID Proyecto</t>
  </si>
  <si>
    <t>Nombre Proyecto</t>
  </si>
  <si>
    <t>Quien lo Paga</t>
  </si>
  <si>
    <t>Radicar factura a</t>
  </si>
  <si>
    <t>Indicar % trabajo compartido</t>
  </si>
  <si>
    <t>Aprobado</t>
  </si>
  <si>
    <t>Comentarios Líder</t>
  </si>
  <si>
    <t>LiderAprobador</t>
  </si>
  <si>
    <t>Monto A Facturar</t>
  </si>
  <si>
    <t>Hora Novedad</t>
  </si>
  <si>
    <t>Tarifa Hora</t>
  </si>
  <si>
    <t>Monto de la Novedad</t>
  </si>
  <si>
    <t>Etiqueta Aliado Estrategico</t>
  </si>
  <si>
    <t>ComentariosCapacidad</t>
  </si>
  <si>
    <t>Año</t>
  </si>
  <si>
    <t>Tipo de Compra</t>
  </si>
  <si>
    <t>Número de Contrato</t>
  </si>
  <si>
    <t>Entrega de Valor</t>
  </si>
  <si>
    <t>FEBRERO</t>
  </si>
  <si>
    <t>PMO</t>
  </si>
  <si>
    <t>Johnatan Alexander Mena Salcedo</t>
  </si>
  <si>
    <t>Desarrollador JavaScript (Front - Back)</t>
  </si>
  <si>
    <t>AjusteTarifa</t>
  </si>
  <si>
    <t>Servicios del 1 - 28 Febrero 2026</t>
  </si>
  <si>
    <t>Recurrente Conexiones Empresariales</t>
  </si>
  <si>
    <t>TI</t>
  </si>
  <si>
    <t>Yenilka Yineth Cianca Miranda</t>
  </si>
  <si>
    <t>Aprobado automáticamente: Aprobado</t>
  </si>
  <si>
    <t>Omar Ivan Vicencio Reyes</t>
  </si>
  <si>
    <t>BEE CONSULTORIA Y NEGOCIOS SAS</t>
  </si>
  <si>
    <t>Descuento de $220.82 acordado con el proveedor.</t>
  </si>
  <si>
    <t>BI-VSC-15479-2022-001</t>
  </si>
  <si>
    <t>EVC-706478</t>
  </si>
  <si>
    <t>EVC Medios de Pagos Adquirencia &amp; Wompi</t>
  </si>
  <si>
    <t>Sandra Milena Valencia Tafur</t>
  </si>
  <si>
    <t xml:space="preserve">Aprobado automáticamente: </t>
  </si>
  <si>
    <t>Desarrollador Java (Front - Back)</t>
  </si>
  <si>
    <t>Nuevo Ingreso</t>
  </si>
  <si>
    <t>Capex</t>
  </si>
  <si>
    <t>Proyecto Omega</t>
  </si>
  <si>
    <t>Jose Luis Torres Rodriguez</t>
  </si>
  <si>
    <t>Kenny Horacio Lira Sanchez</t>
  </si>
  <si>
    <t>EVC-731157</t>
  </si>
  <si>
    <t>ED Nube</t>
  </si>
  <si>
    <t>Jorge Ernesto Rodriguez Rodriguez</t>
  </si>
  <si>
    <t>EVC-709186</t>
  </si>
  <si>
    <t>EVC Medios de Pagos Tarjetas de Crédito</t>
  </si>
  <si>
    <t>Victor Daniel Perez Diaz</t>
  </si>
  <si>
    <t>Aprobado automáticamente: Aprobado por Jorge Rodriguez / Recurso : Victor Perez / Monto: 4100 / CAPEX Febrero. Entrega de Valor: Implementación de repositorios en región alterna en la nube (Región 2).</t>
  </si>
  <si>
    <t>Descuento de $537.27 acordado con el proveedor.</t>
  </si>
  <si>
    <t>Elkin Andres Aristizabal Rodriguez</t>
  </si>
  <si>
    <t>Tester Automatizador</t>
  </si>
  <si>
    <t xml:space="preserve">Servicios del 1 - 19 Febrero 2026 
</t>
  </si>
  <si>
    <t>ED-798628</t>
  </si>
  <si>
    <t>ED Automatización Procesos Contables</t>
  </si>
  <si>
    <t>Erika Lavinia Lasso Carrasquilla</t>
  </si>
  <si>
    <t>Ingresó el 23 de febrero de 2026.</t>
  </si>
  <si>
    <t>Desarrollador SOA</t>
  </si>
  <si>
    <t>Ingresó el 19 de febrero de 2026.</t>
  </si>
  <si>
    <t>Maritza Nataly Rosero Velasco</t>
  </si>
  <si>
    <t>Servicios del 19 - 28 Febrero 2026</t>
  </si>
  <si>
    <t>Aprobado automáticamente: aprobada</t>
  </si>
  <si>
    <t>Rina Del Rocio Moran Ayora</t>
  </si>
  <si>
    <t>Nicole Yadira Chavez Garcia</t>
  </si>
  <si>
    <t>Ingeniero de Software (COBIS)</t>
  </si>
  <si>
    <t>Servicios del 23 - 28 Febrero 2026</t>
  </si>
  <si>
    <t>Daniel Jose Figueredo</t>
  </si>
  <si>
    <t>Pratt Christian Garcia Regalado</t>
  </si>
  <si>
    <t>Servicios del 26 - 28 Febrero 2026</t>
  </si>
  <si>
    <t>Roy Cecil Gumbs Harvey</t>
  </si>
  <si>
    <t>Ingresó el 26 de febrero de 2026.</t>
  </si>
  <si>
    <t>Luis Afranio Arauz Acosta</t>
  </si>
  <si>
    <t>Jose Alberto Arauz De Leon</t>
  </si>
  <si>
    <t>EVC003</t>
  </si>
  <si>
    <t>EVC Canales Digitales BLP &amp; APP Personas</t>
  </si>
  <si>
    <t>EVC-717008</t>
  </si>
  <si>
    <t>Douglas Emir Barrera Bouche</t>
  </si>
  <si>
    <t>Jhon Sebastian Briceno Pinilla</t>
  </si>
  <si>
    <t>Nixon Douglas Quezada Sanmartin</t>
  </si>
  <si>
    <t>Jefferson David Espinoza Carua</t>
  </si>
  <si>
    <t>Stiven Oswaldo Lopez Cardenas</t>
  </si>
  <si>
    <t>Anyela Julieth Castillo Amezquita</t>
  </si>
  <si>
    <t>Descuento por $26.64.</t>
  </si>
  <si>
    <t>Darwin Alexander Rodriguez Merchan</t>
  </si>
  <si>
    <t>Descuento por $220.82 acordado con el proveedor.</t>
  </si>
  <si>
    <t>Joana Estefania Nicolalde Perugachi</t>
  </si>
  <si>
    <t>Aaron Wladimir Loor Moran</t>
  </si>
  <si>
    <t>ED Pagos y Flujos (Normativo Swift)</t>
  </si>
  <si>
    <t xml:space="preserve">Aprobado automáticamente: Aprobado Opex </t>
  </si>
  <si>
    <t>Weimar Pena Hernandez</t>
  </si>
  <si>
    <t xml:space="preserve">Servicios del 1 - 28 Febrero 2026
</t>
  </si>
  <si>
    <t>Aprobado automáticamente: Aprobado por Jorge Rodriguez / Recurso : Weimar Pena Hernandez / Monto: 5000 / CAPEX Febrero. Entrega de Valor: Implementación de repositorios en región alterna en la nube (Región 2).</t>
  </si>
  <si>
    <t>Descuento por $497.53.</t>
  </si>
  <si>
    <t>Jennifer Pacheco Meza</t>
  </si>
  <si>
    <t>Otros</t>
  </si>
  <si>
    <t>EVC003-EV-3-2025-Billetera digital Apple Pay - Tokenización</t>
  </si>
  <si>
    <t>Kevin Caicedo Alvarez</t>
  </si>
  <si>
    <t>Servicios del 1 al 16 Febrero 2026</t>
  </si>
  <si>
    <t>Aprobado automáticamente: tiene mi vo.bo para el opex</t>
  </si>
  <si>
    <t>-2-feb-26: se acuerda con proveedor la facturación del 50% de la tarifa para el mes de febrero 2026.</t>
  </si>
  <si>
    <t>Ana Isabel Rodriguez</t>
  </si>
  <si>
    <t>ID del colaborador</t>
  </si>
  <si>
    <t>1038808967</t>
  </si>
  <si>
    <t>1006717183</t>
  </si>
  <si>
    <t>1072749966</t>
  </si>
  <si>
    <t>1067962747</t>
  </si>
  <si>
    <t>0401582176</t>
  </si>
  <si>
    <t>604188086</t>
  </si>
  <si>
    <t>0923767669</t>
  </si>
  <si>
    <t>1019040286</t>
  </si>
  <si>
    <t>070643238-2</t>
  </si>
  <si>
    <t>1720621919</t>
  </si>
  <si>
    <t>1726886011</t>
  </si>
  <si>
    <t>1049649408</t>
  </si>
  <si>
    <t>942979360</t>
  </si>
  <si>
    <t>1751328657</t>
  </si>
  <si>
    <t>1316870698</t>
  </si>
  <si>
    <t>1136882824</t>
  </si>
  <si>
    <t>1103114918</t>
  </si>
  <si>
    <t>1152700942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</si>
</sst>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B/.-180A]* #,##0.00_-;\-[$B/.-180A]* #,##0.00_-;_-[$B/.-180A]* &quot;-&quot;??_-;_-@_-"/>
    <numFmt numFmtId="165" formatCode="_-[$B/.-180A]* #,##0.0000_-;\-[$B/.-180A]* #,##0.0000_-;_-[$B/.-180A]* &quot;-&quot;????_-;_-@_-"/>
    <numFmt numFmtId="166" formatCode="0.000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8" fillId="0" borderId="0" xfId="0" applyFont="1" applyAlignment="1">
      <alignment wrapText="1"/>
    </xf>
    <xf numFmtId="164" fontId="18" fillId="0" borderId="0" xfId="0" applyNumberFormat="1" applyFont="1"/>
    <xf numFmtId="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43" fontId="19" fillId="33" borderId="0" xfId="42" applyFont="1" applyFill="1"/>
    <xf numFmtId="3" fontId="18" fillId="0" borderId="0" xfId="0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7"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6" formatCode="0.0000%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[$B/.-180A]* #,##0.00_-;\-[$B/.-180A]* #,##0.00_-;_-[$B/.-180A]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[$B/.-180A]* #,##0.00_-;\-[$B/.-180A]* #,##0.00_-;_-[$B/.-180A]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_-[$B/.-180A]* #,##0.0000_-;\-[$B/.-180A]* #,##0.0000_-;_-[$B/.-180A]* &quot;-&quot;??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-[$B/.-180A]* #,##0.00_-;\-[$B/.-180A]* #,##0.00_-;_-[$B/.-180A]* &quot;-&quot;??_-;_-@_-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91)" backgroundRefresh="0" connectionId="1" xr16:uid="{BC7EB774-475F-4283-8138-2200E1108B7F}" autoFormatId="16" applyNumberFormats="0" applyBorderFormats="0" applyFontFormats="0" applyPatternFormats="0" applyAlignmentFormats="0" applyWidthHeightFormats="0">
  <queryTableRefresh nextId="28">
    <queryTableFields count="25">
      <queryTableField id="23" name="Número de Contrato" tableColumnId="1"/>
      <queryTableField id="19" name="Etiqueta Aliado Estrategico" tableColumnId="2"/>
      <queryTableField id="21" name="Año" tableColumnId="3"/>
      <queryTableField id="3" name="Mes de facturación" tableColumnId="4"/>
      <queryTableField id="1" name="Nombre del colaborador" tableColumnId="5"/>
      <queryTableField id="27" dataBound="0" tableColumnId="25"/>
      <queryTableField id="2" name="Rol Mop" tableColumnId="6"/>
      <queryTableField id="22" name="Tipo de Compra" tableColumnId="7"/>
      <queryTableField id="24" name="Entrega de Valor" tableColumnId="8"/>
      <queryTableField id="4" name="Tarifa" tableColumnId="9"/>
      <queryTableField id="5" name="Desglose de Novedad" tableColumnId="10"/>
      <queryTableField id="16" name="Hora Novedad" tableColumnId="11"/>
      <queryTableField id="17" name="Tarifa Hora" tableColumnId="12"/>
      <queryTableField id="18" name="Monto de la Novedad" tableColumnId="13"/>
      <queryTableField id="15" name="Monto A Facturar" tableColumnId="14"/>
      <queryTableField id="6" name="Comentarios proveedor" tableColumnId="15"/>
      <queryTableField id="20" name="ComentariosCapacidad" tableColumnId="16"/>
      <queryTableField id="7" name="ID Proyecto" tableColumnId="17"/>
      <queryTableField id="8" name="Nombre Proyecto" tableColumnId="18"/>
      <queryTableField id="9" name="Quien lo Paga" tableColumnId="19"/>
      <queryTableField id="10" name="Radicar factura a" tableColumnId="20"/>
      <queryTableField id="14" name="LiderAprobador" tableColumnId="21"/>
      <queryTableField id="11" name="Indicar % trabajo compartido" tableColumnId="22"/>
      <queryTableField id="12" name="Aprobado" tableColumnId="23"/>
      <queryTableField id="13" name="Comentarios Líder" tableColumnId="24"/>
    </queryTableFields>
    <queryTableDeletedFields count="2">
      <deletedField name="Tipo de elemento"/>
      <deletedField name="Ruta de acces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972F5E-19A2-41FE-9472-C9FFDA7298FD}" name="Tabla_query__91" displayName="Tabla_query__91" ref="A1:Y19" tableType="queryTable" totalsRowShown="0" headerRowDxfId="26" dataDxfId="25">
  <autoFilter ref="A1:Y19" xr:uid="{34972F5E-19A2-41FE-9472-C9FFDA7298FD}"/>
  <tableColumns count="25">
    <tableColumn id="1" xr3:uid="{AEFD7E36-852E-4E6E-8056-5FAD4FB5BD3A}" uniqueName="Aliado_x005f_x0020_Estrategico_x005f_x003a_N0" name="Número de Contrato" queryTableFieldId="23" dataDxfId="24"/>
    <tableColumn id="2" xr3:uid="{83F83CA4-FAB6-4BBB-BA39-402936F07C2D}" uniqueName="EtiquetaAliadoEstrategico" name="Etiqueta Aliado Estrategico" queryTableFieldId="19" dataDxfId="23"/>
    <tableColumn id="3" xr3:uid="{01F4BF28-C7F8-4D65-BE52-34951E6F6693}" uniqueName="Anyo" name="Año" queryTableFieldId="21" dataDxfId="22"/>
    <tableColumn id="4" xr3:uid="{522D04D0-D389-45A4-9BEF-A2888CBE1BF3}" uniqueName="Mes_x005f_x0020_de_x005f_x0020_facturaci_x00" name="Mes de facturación" queryTableFieldId="3" dataDxfId="21"/>
    <tableColumn id="5" xr3:uid="{C208F077-0EBC-4B7C-9393-795866214B1C}" uniqueName="Nombre_x005f_x0020_del_x005f_x0020_colaborad" name="Nombre del colaborador" queryTableFieldId="1" dataDxfId="20"/>
    <tableColumn id="25" xr3:uid="{58E8997F-46D0-44E0-A40E-0626ED5EDB77}" uniqueName="25" name="ID del colaborador" queryTableFieldId="27" dataDxfId="19"/>
    <tableColumn id="6" xr3:uid="{FACBAC39-56EF-4CEA-A44E-2DB2A5C2DC3A}" uniqueName="Rol_x005f_x0020_Mop" name="Rol Mop" queryTableFieldId="2" dataDxfId="18"/>
    <tableColumn id="7" xr3:uid="{74B7A0C3-3100-4C96-819C-5841F2D3E538}" uniqueName="TipodeCompra" name="Tipo de Compra" queryTableFieldId="22" dataDxfId="17"/>
    <tableColumn id="8" xr3:uid="{AA9D3603-C1B0-4B61-9C72-B3E15F301110}" uniqueName="EntregadeValor" name="Entrega de Valor" queryTableFieldId="24" dataDxfId="16"/>
    <tableColumn id="9" xr3:uid="{6289EE6A-8457-4748-B518-E5AC0293005B}" uniqueName="Tarifa_x005f_x0020_" name="Tarifa" queryTableFieldId="4" dataDxfId="15"/>
    <tableColumn id="10" xr3:uid="{928E5FF6-450E-4803-962E-9C9E79AA42E1}" uniqueName="Desglose_x005f_x0020_de_x005f_x0020_Novedad" name="Desglose de Novedad" queryTableFieldId="5" dataDxfId="14"/>
    <tableColumn id="11" xr3:uid="{BEACC534-248B-437B-9A4F-3B76D88363F9}" uniqueName="HoraNovedad" name="Hora Novedad" queryTableFieldId="16" dataDxfId="13"/>
    <tableColumn id="12" xr3:uid="{36A19508-2BF8-4BEC-A3AD-242EF3D16BD0}" uniqueName="TarifaHora" name="Tarifa Hora" queryTableFieldId="17" dataDxfId="12"/>
    <tableColumn id="13" xr3:uid="{BDD569B3-ED49-46DD-A170-209B8EBF1D5E}" uniqueName="MontoTarifaHora" name="Monto de la Novedad" queryTableFieldId="18" dataDxfId="11"/>
    <tableColumn id="14" xr3:uid="{8703408A-46D0-4A5A-B46C-D4E6F97817F7}" uniqueName="MontoAFacturar" name="Monto A Facturar" queryTableFieldId="15" dataDxfId="10"/>
    <tableColumn id="15" xr3:uid="{7858CBC8-5041-4FFD-88B1-AC88574A90DE}" uniqueName="Comentarios_x005f_x0020_proveedor" name="Comentarios proveedor" queryTableFieldId="6" dataDxfId="9"/>
    <tableColumn id="16" xr3:uid="{112AACF3-4E26-4FF7-9E43-D91A17C5763E}" uniqueName="ComentariosCapacidad" name="ComentariosCapacidad" queryTableFieldId="20" dataDxfId="8"/>
    <tableColumn id="17" xr3:uid="{2A2D3C5B-3038-46D9-8CF7-4D144A9A65C5}" uniqueName="ID_x005f_x0020_Proyecto" name="ID Proyecto" queryTableFieldId="7" dataDxfId="7"/>
    <tableColumn id="18" xr3:uid="{841D5B07-9D64-4346-81F0-7EE5AF59ED56}" uniqueName="Nombre_x005f_x0020_Proyecto" name="Nombre Proyecto" queryTableFieldId="8" dataDxfId="6"/>
    <tableColumn id="19" xr3:uid="{EA68CD11-59D9-4F62-9E9C-73914CAEA70A}" uniqueName="Quien_x005f_x0020_lo_x005f_x0020_Paga" name="Quien lo Paga" queryTableFieldId="9" dataDxfId="5"/>
    <tableColumn id="20" xr3:uid="{F7AC5A4E-FE94-4EC2-A0E1-97014A8F1FB1}" uniqueName="Radicar_x005f_x0020_factura_x005f_x0020_a_x0" name="Radicar factura a" queryTableFieldId="10" dataDxfId="4"/>
    <tableColumn id="21" xr3:uid="{BCF021A3-DB54-4798-9A96-FEF796330BE0}" uniqueName="LiderAprobador" name="LiderAprobador" queryTableFieldId="14" dataDxfId="3"/>
    <tableColumn id="22" xr3:uid="{A3826F26-8E88-4E1C-B19F-6414FD06D23D}" uniqueName="Indicar_x005f_x0020__x005f_x0025__x005f_x0020_trab" name="Indicar % trabajo compartido" queryTableFieldId="11" dataDxfId="2"/>
    <tableColumn id="23" xr3:uid="{E8299F4C-0900-44F2-A53E-C108CAD4C581}" uniqueName="Aprobado" name="Aprobado" queryTableFieldId="12" dataDxfId="1"/>
    <tableColumn id="24" xr3:uid="{7FC20841-E6EC-4A57-9AD1-8540C4AAE2FB}" uniqueName="Comentarios_x005f_x0020_L_x005f_x00ed_der_x0" name="Comentarios Líder" queryTableFieldId="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DA3F-1D56-4B06-A1F9-16D7370510DF}">
  <dimension ref="A1:Y21"/>
  <sheetViews>
    <sheetView showGridLines="0" tabSelected="1" topLeftCell="O1" workbookViewId="0">
      <selection activeCell="Q8" sqref="Q8"/>
    </sheetView>
  </sheetViews>
  <sheetFormatPr baseColWidth="10" defaultColWidth="11.42578125" defaultRowHeight="14.1" customHeight="1" x14ac:dyDescent="0.25"/>
  <cols>
    <col min="1" max="1" width="21" style="1" bestFit="1" customWidth="1"/>
    <col min="2" max="2" width="60.42578125" style="1" bestFit="1" customWidth="1"/>
    <col min="3" max="3" width="6.5703125" style="1" bestFit="1" customWidth="1"/>
    <col min="4" max="4" width="19.5703125" style="1" bestFit="1" customWidth="1"/>
    <col min="5" max="5" width="36.42578125" style="1" bestFit="1" customWidth="1"/>
    <col min="6" max="6" width="36.42578125" style="1" customWidth="1"/>
    <col min="7" max="7" width="35.28515625" style="1" bestFit="1" customWidth="1"/>
    <col min="8" max="8" width="16.7109375" style="1" bestFit="1" customWidth="1"/>
    <col min="9" max="9" width="80.7109375" style="1" bestFit="1" customWidth="1"/>
    <col min="10" max="10" width="12.42578125" style="1" bestFit="1" customWidth="1"/>
    <col min="11" max="11" width="22.140625" style="1" bestFit="1" customWidth="1"/>
    <col min="12" max="12" width="15.42578125" style="1" bestFit="1" customWidth="1"/>
    <col min="13" max="13" width="13.42578125" style="1" bestFit="1" customWidth="1"/>
    <col min="14" max="14" width="21.42578125" style="1" bestFit="1" customWidth="1"/>
    <col min="15" max="15" width="17.7109375" style="1" bestFit="1" customWidth="1"/>
    <col min="16" max="16" width="80.7109375" style="1" bestFit="1" customWidth="1"/>
    <col min="17" max="17" width="80.42578125" style="1" bestFit="1" customWidth="1"/>
    <col min="18" max="18" width="13.140625" style="1" bestFit="1" customWidth="1"/>
    <col min="19" max="19" width="56.28515625" style="1" bestFit="1" customWidth="1"/>
    <col min="20" max="20" width="14.85546875" style="1" bestFit="1" customWidth="1"/>
    <col min="21" max="22" width="33" style="1" bestFit="1" customWidth="1"/>
    <col min="23" max="23" width="28.140625" style="1" bestFit="1" customWidth="1"/>
    <col min="24" max="24" width="11.42578125" style="1" bestFit="1" customWidth="1"/>
    <col min="25" max="25" width="28.42578125" style="1" customWidth="1"/>
    <col min="26" max="16384" width="11.42578125" style="1"/>
  </cols>
  <sheetData>
    <row r="1" spans="1:25" ht="14.1" customHeight="1" x14ac:dyDescent="0.25">
      <c r="A1" s="1" t="s">
        <v>22</v>
      </c>
      <c r="B1" s="1" t="s">
        <v>18</v>
      </c>
      <c r="C1" s="1" t="s">
        <v>20</v>
      </c>
      <c r="D1" s="1" t="s">
        <v>2</v>
      </c>
      <c r="E1" s="1" t="s">
        <v>0</v>
      </c>
      <c r="F1" s="1" t="s">
        <v>107</v>
      </c>
      <c r="G1" s="1" t="s">
        <v>1</v>
      </c>
      <c r="H1" s="1" t="s">
        <v>21</v>
      </c>
      <c r="I1" s="1" t="s">
        <v>23</v>
      </c>
      <c r="J1" s="1" t="s">
        <v>3</v>
      </c>
      <c r="K1" s="1" t="s">
        <v>4</v>
      </c>
      <c r="L1" s="1" t="s">
        <v>15</v>
      </c>
      <c r="M1" s="1" t="s">
        <v>16</v>
      </c>
      <c r="N1" s="1" t="s">
        <v>17</v>
      </c>
      <c r="O1" s="1" t="s">
        <v>14</v>
      </c>
      <c r="P1" s="1" t="s">
        <v>5</v>
      </c>
      <c r="Q1" s="1" t="s">
        <v>19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13</v>
      </c>
      <c r="W1" s="1" t="s">
        <v>10</v>
      </c>
      <c r="X1" s="1" t="s">
        <v>11</v>
      </c>
      <c r="Y1" s="1" t="s">
        <v>12</v>
      </c>
    </row>
    <row r="2" spans="1:25" ht="14.1" customHeight="1" x14ac:dyDescent="0.25">
      <c r="A2" s="2" t="s">
        <v>37</v>
      </c>
      <c r="B2" s="2" t="s">
        <v>35</v>
      </c>
      <c r="C2" s="9">
        <v>2026</v>
      </c>
      <c r="D2" s="2" t="s">
        <v>24</v>
      </c>
      <c r="E2" s="2" t="s">
        <v>26</v>
      </c>
      <c r="F2" s="2" t="s">
        <v>108</v>
      </c>
      <c r="G2" s="2" t="s">
        <v>27</v>
      </c>
      <c r="H2" s="2"/>
      <c r="I2" s="3"/>
      <c r="J2" s="4">
        <v>4637.2700000000004</v>
      </c>
      <c r="K2" s="2" t="s">
        <v>28</v>
      </c>
      <c r="L2" s="5">
        <v>-1</v>
      </c>
      <c r="M2" s="6">
        <v>220.82</v>
      </c>
      <c r="N2" s="4">
        <v>-220.82</v>
      </c>
      <c r="O2" s="4">
        <v>4416.45</v>
      </c>
      <c r="P2" s="3" t="s">
        <v>29</v>
      </c>
      <c r="Q2" s="3" t="s">
        <v>36</v>
      </c>
      <c r="R2" s="2"/>
      <c r="S2" s="2" t="s">
        <v>30</v>
      </c>
      <c r="T2" s="2" t="s">
        <v>31</v>
      </c>
      <c r="U2" s="2" t="s">
        <v>32</v>
      </c>
      <c r="V2" s="2" t="s">
        <v>34</v>
      </c>
      <c r="W2" s="7">
        <v>1</v>
      </c>
      <c r="X2" s="2" t="s">
        <v>11</v>
      </c>
      <c r="Y2" s="3" t="s">
        <v>33</v>
      </c>
    </row>
    <row r="3" spans="1:25" ht="14.1" customHeight="1" x14ac:dyDescent="0.25">
      <c r="A3" s="2" t="s">
        <v>37</v>
      </c>
      <c r="B3" s="2" t="s">
        <v>35</v>
      </c>
      <c r="C3" s="9">
        <v>2026</v>
      </c>
      <c r="D3" s="2" t="s">
        <v>24</v>
      </c>
      <c r="E3" s="2" t="s">
        <v>46</v>
      </c>
      <c r="F3" s="2" t="s">
        <v>109</v>
      </c>
      <c r="G3" s="2" t="s">
        <v>27</v>
      </c>
      <c r="H3" s="2"/>
      <c r="I3" s="3"/>
      <c r="J3" s="4">
        <v>4637.2700000000004</v>
      </c>
      <c r="K3" s="2"/>
      <c r="L3" s="5"/>
      <c r="M3" s="6"/>
      <c r="N3" s="4">
        <v>0</v>
      </c>
      <c r="O3" s="4">
        <v>4637.2700000000004</v>
      </c>
      <c r="P3" s="3" t="s">
        <v>29</v>
      </c>
      <c r="Q3" s="3"/>
      <c r="R3" s="2"/>
      <c r="S3" s="2" t="s">
        <v>45</v>
      </c>
      <c r="T3" s="2" t="s">
        <v>31</v>
      </c>
      <c r="U3" s="2" t="s">
        <v>106</v>
      </c>
      <c r="V3" s="2" t="s">
        <v>47</v>
      </c>
      <c r="W3" s="7">
        <v>1</v>
      </c>
      <c r="X3" s="2" t="s">
        <v>11</v>
      </c>
      <c r="Y3" s="3" t="s">
        <v>41</v>
      </c>
    </row>
    <row r="4" spans="1:25" ht="14.1" customHeight="1" x14ac:dyDescent="0.25">
      <c r="A4" s="2" t="s">
        <v>37</v>
      </c>
      <c r="B4" s="2" t="s">
        <v>35</v>
      </c>
      <c r="C4" s="9">
        <v>2026</v>
      </c>
      <c r="D4" s="2" t="s">
        <v>24</v>
      </c>
      <c r="E4" s="2" t="s">
        <v>53</v>
      </c>
      <c r="F4" s="2" t="s">
        <v>110</v>
      </c>
      <c r="G4" s="2" t="s">
        <v>27</v>
      </c>
      <c r="H4" s="2"/>
      <c r="I4" s="3"/>
      <c r="J4" s="4">
        <v>4637.2700000000004</v>
      </c>
      <c r="K4" s="2" t="s">
        <v>28</v>
      </c>
      <c r="L4" s="5">
        <v>-1</v>
      </c>
      <c r="M4" s="6">
        <v>537.27</v>
      </c>
      <c r="N4" s="4">
        <v>-537.27</v>
      </c>
      <c r="O4" s="4">
        <v>4100</v>
      </c>
      <c r="P4" s="3" t="s">
        <v>29</v>
      </c>
      <c r="Q4" s="3" t="s">
        <v>55</v>
      </c>
      <c r="R4" s="2" t="s">
        <v>48</v>
      </c>
      <c r="S4" s="2" t="s">
        <v>49</v>
      </c>
      <c r="T4" s="2" t="s">
        <v>25</v>
      </c>
      <c r="U4" s="2" t="s">
        <v>50</v>
      </c>
      <c r="V4" s="2" t="s">
        <v>50</v>
      </c>
      <c r="W4" s="7">
        <v>1</v>
      </c>
      <c r="X4" s="2" t="s">
        <v>11</v>
      </c>
      <c r="Y4" s="3" t="s">
        <v>54</v>
      </c>
    </row>
    <row r="5" spans="1:25" ht="14.1" customHeight="1" x14ac:dyDescent="0.25">
      <c r="A5" s="2" t="s">
        <v>37</v>
      </c>
      <c r="B5" s="2" t="s">
        <v>35</v>
      </c>
      <c r="C5" s="9">
        <v>2026</v>
      </c>
      <c r="D5" s="2" t="s">
        <v>24</v>
      </c>
      <c r="E5" s="2" t="s">
        <v>56</v>
      </c>
      <c r="F5" s="2" t="s">
        <v>111</v>
      </c>
      <c r="G5" s="2" t="s">
        <v>57</v>
      </c>
      <c r="H5" s="2"/>
      <c r="I5" s="3"/>
      <c r="J5" s="4">
        <v>3876.64</v>
      </c>
      <c r="K5" s="2"/>
      <c r="L5" s="5"/>
      <c r="M5" s="6"/>
      <c r="N5" s="4">
        <v>0</v>
      </c>
      <c r="O5" s="4">
        <v>2636.1152000000002</v>
      </c>
      <c r="P5" s="3" t="s">
        <v>58</v>
      </c>
      <c r="Q5" s="3"/>
      <c r="R5" s="2" t="s">
        <v>59</v>
      </c>
      <c r="S5" s="2" t="s">
        <v>60</v>
      </c>
      <c r="T5" s="2" t="s">
        <v>25</v>
      </c>
      <c r="U5" s="2" t="s">
        <v>61</v>
      </c>
      <c r="V5" s="2" t="s">
        <v>61</v>
      </c>
      <c r="W5" s="7">
        <v>0.68</v>
      </c>
      <c r="X5" s="2" t="s">
        <v>11</v>
      </c>
      <c r="Y5" s="3" t="s">
        <v>41</v>
      </c>
    </row>
    <row r="6" spans="1:25" ht="14.1" customHeight="1" x14ac:dyDescent="0.25">
      <c r="A6" s="2" t="s">
        <v>37</v>
      </c>
      <c r="B6" s="2" t="s">
        <v>35</v>
      </c>
      <c r="C6" s="9">
        <v>2026</v>
      </c>
      <c r="D6" s="2" t="s">
        <v>24</v>
      </c>
      <c r="E6" s="2" t="s">
        <v>65</v>
      </c>
      <c r="F6" s="2" t="s">
        <v>112</v>
      </c>
      <c r="G6" s="2" t="s">
        <v>42</v>
      </c>
      <c r="H6" s="2"/>
      <c r="I6" s="3"/>
      <c r="J6" s="4">
        <v>4637.2700000000004</v>
      </c>
      <c r="K6" s="2" t="s">
        <v>43</v>
      </c>
      <c r="L6" s="5">
        <v>-112</v>
      </c>
      <c r="M6" s="6">
        <v>27.6</v>
      </c>
      <c r="N6" s="4">
        <v>-3091.2</v>
      </c>
      <c r="O6" s="4">
        <v>1546.07</v>
      </c>
      <c r="P6" s="3" t="s">
        <v>66</v>
      </c>
      <c r="Q6" s="3" t="s">
        <v>64</v>
      </c>
      <c r="R6" s="2"/>
      <c r="S6" s="2" t="s">
        <v>45</v>
      </c>
      <c r="T6" s="2" t="s">
        <v>31</v>
      </c>
      <c r="U6" s="2" t="s">
        <v>106</v>
      </c>
      <c r="V6" s="2" t="s">
        <v>68</v>
      </c>
      <c r="W6" s="7">
        <v>1</v>
      </c>
      <c r="X6" s="2" t="s">
        <v>11</v>
      </c>
      <c r="Y6" s="3" t="s">
        <v>67</v>
      </c>
    </row>
    <row r="7" spans="1:25" ht="14.1" customHeight="1" x14ac:dyDescent="0.25">
      <c r="A7" s="2" t="s">
        <v>37</v>
      </c>
      <c r="B7" s="2" t="s">
        <v>35</v>
      </c>
      <c r="C7" s="9">
        <v>2026</v>
      </c>
      <c r="D7" s="2" t="s">
        <v>24</v>
      </c>
      <c r="E7" s="2" t="s">
        <v>69</v>
      </c>
      <c r="F7" s="2" t="s">
        <v>113</v>
      </c>
      <c r="G7" s="2" t="s">
        <v>70</v>
      </c>
      <c r="H7" s="2"/>
      <c r="I7" s="3"/>
      <c r="J7" s="4">
        <v>4416.45</v>
      </c>
      <c r="K7" s="2" t="s">
        <v>43</v>
      </c>
      <c r="L7" s="5">
        <v>-128</v>
      </c>
      <c r="M7" s="6">
        <v>26.29</v>
      </c>
      <c r="N7" s="4">
        <v>-3365.12</v>
      </c>
      <c r="O7" s="4">
        <v>1051.33</v>
      </c>
      <c r="P7" s="3" t="s">
        <v>71</v>
      </c>
      <c r="Q7" s="3" t="s">
        <v>62</v>
      </c>
      <c r="R7" s="2"/>
      <c r="S7" s="2" t="s">
        <v>45</v>
      </c>
      <c r="T7" s="2" t="s">
        <v>31</v>
      </c>
      <c r="U7" s="2" t="s">
        <v>106</v>
      </c>
      <c r="V7" s="2" t="s">
        <v>72</v>
      </c>
      <c r="W7" s="7">
        <v>1</v>
      </c>
      <c r="X7" s="2" t="s">
        <v>11</v>
      </c>
      <c r="Y7" s="3" t="s">
        <v>41</v>
      </c>
    </row>
    <row r="8" spans="1:25" ht="14.1" customHeight="1" x14ac:dyDescent="0.25">
      <c r="A8" s="2" t="s">
        <v>37</v>
      </c>
      <c r="B8" s="2" t="s">
        <v>35</v>
      </c>
      <c r="C8" s="9">
        <v>2026</v>
      </c>
      <c r="D8" s="2" t="s">
        <v>24</v>
      </c>
      <c r="E8" s="2" t="s">
        <v>73</v>
      </c>
      <c r="F8" s="2" t="s">
        <v>114</v>
      </c>
      <c r="G8" s="2" t="s">
        <v>42</v>
      </c>
      <c r="H8" s="2"/>
      <c r="I8" s="3"/>
      <c r="J8" s="4">
        <v>4637.2700000000004</v>
      </c>
      <c r="K8" s="2" t="s">
        <v>43</v>
      </c>
      <c r="L8" s="5">
        <v>-152</v>
      </c>
      <c r="M8" s="6">
        <v>27.6</v>
      </c>
      <c r="N8" s="4">
        <v>-4195.2</v>
      </c>
      <c r="O8" s="4">
        <v>442.07000000000102</v>
      </c>
      <c r="P8" s="3" t="s">
        <v>74</v>
      </c>
      <c r="Q8" s="3" t="s">
        <v>76</v>
      </c>
      <c r="R8" s="2"/>
      <c r="S8" s="2" t="s">
        <v>45</v>
      </c>
      <c r="T8" s="2" t="s">
        <v>31</v>
      </c>
      <c r="U8" s="2" t="s">
        <v>106</v>
      </c>
      <c r="V8" s="2" t="s">
        <v>75</v>
      </c>
      <c r="W8" s="7">
        <v>1</v>
      </c>
      <c r="X8" s="2" t="s">
        <v>11</v>
      </c>
      <c r="Y8" s="3" t="s">
        <v>33</v>
      </c>
    </row>
    <row r="9" spans="1:25" ht="14.1" customHeight="1" x14ac:dyDescent="0.25">
      <c r="A9" s="2" t="s">
        <v>37</v>
      </c>
      <c r="B9" s="2" t="s">
        <v>35</v>
      </c>
      <c r="C9" s="9">
        <v>2026</v>
      </c>
      <c r="D9" s="2" t="s">
        <v>24</v>
      </c>
      <c r="E9" s="2" t="s">
        <v>83</v>
      </c>
      <c r="F9" s="2" t="s">
        <v>115</v>
      </c>
      <c r="G9" s="2" t="s">
        <v>27</v>
      </c>
      <c r="H9" s="2"/>
      <c r="I9" s="3"/>
      <c r="J9" s="4">
        <v>4637.2700000000004</v>
      </c>
      <c r="K9" s="2"/>
      <c r="L9" s="5"/>
      <c r="M9" s="6"/>
      <c r="N9" s="4">
        <v>0</v>
      </c>
      <c r="O9" s="4">
        <v>4637.2700000000004</v>
      </c>
      <c r="P9" s="3" t="s">
        <v>29</v>
      </c>
      <c r="Q9" s="3"/>
      <c r="R9" s="2" t="s">
        <v>38</v>
      </c>
      <c r="S9" s="2" t="s">
        <v>39</v>
      </c>
      <c r="T9" s="2" t="s">
        <v>25</v>
      </c>
      <c r="U9" s="2" t="s">
        <v>40</v>
      </c>
      <c r="V9" s="2" t="s">
        <v>40</v>
      </c>
      <c r="W9" s="7">
        <v>1</v>
      </c>
      <c r="X9" s="2" t="s">
        <v>11</v>
      </c>
      <c r="Y9" s="3" t="s">
        <v>41</v>
      </c>
    </row>
    <row r="10" spans="1:25" ht="14.1" customHeight="1" x14ac:dyDescent="0.25">
      <c r="A10" s="2" t="s">
        <v>37</v>
      </c>
      <c r="B10" s="2" t="s">
        <v>35</v>
      </c>
      <c r="C10" s="9">
        <v>2026</v>
      </c>
      <c r="D10" s="2" t="s">
        <v>24</v>
      </c>
      <c r="E10" s="2" t="s">
        <v>84</v>
      </c>
      <c r="F10" s="2" t="s">
        <v>116</v>
      </c>
      <c r="G10" s="2" t="s">
        <v>70</v>
      </c>
      <c r="H10" s="2"/>
      <c r="I10" s="3"/>
      <c r="J10" s="4">
        <v>4416.45</v>
      </c>
      <c r="K10" s="2"/>
      <c r="L10" s="5"/>
      <c r="M10" s="6"/>
      <c r="N10" s="4">
        <v>0</v>
      </c>
      <c r="O10" s="4">
        <v>4416.45</v>
      </c>
      <c r="P10" s="3" t="s">
        <v>29</v>
      </c>
      <c r="Q10" s="3"/>
      <c r="R10" s="2"/>
      <c r="S10" s="2"/>
      <c r="T10" s="2" t="s">
        <v>31</v>
      </c>
      <c r="U10" s="2" t="s">
        <v>32</v>
      </c>
      <c r="V10" s="2" t="s">
        <v>72</v>
      </c>
      <c r="W10" s="7">
        <v>1</v>
      </c>
      <c r="X10" s="2" t="s">
        <v>11</v>
      </c>
      <c r="Y10" s="3" t="s">
        <v>41</v>
      </c>
    </row>
    <row r="11" spans="1:25" ht="14.1" customHeight="1" x14ac:dyDescent="0.25">
      <c r="A11" s="2" t="s">
        <v>37</v>
      </c>
      <c r="B11" s="2" t="s">
        <v>35</v>
      </c>
      <c r="C11" s="9">
        <v>2026</v>
      </c>
      <c r="D11" s="2" t="s">
        <v>24</v>
      </c>
      <c r="E11" s="2" t="s">
        <v>85</v>
      </c>
      <c r="F11" s="2" t="s">
        <v>117</v>
      </c>
      <c r="G11" s="2" t="s">
        <v>70</v>
      </c>
      <c r="H11" s="2"/>
      <c r="I11" s="3"/>
      <c r="J11" s="4">
        <v>4416.45</v>
      </c>
      <c r="K11" s="2"/>
      <c r="L11" s="5"/>
      <c r="M11" s="6"/>
      <c r="N11" s="4">
        <v>0</v>
      </c>
      <c r="O11" s="4">
        <v>4416.45</v>
      </c>
      <c r="P11" s="3" t="s">
        <v>29</v>
      </c>
      <c r="Q11" s="3"/>
      <c r="R11" s="2"/>
      <c r="S11" s="2"/>
      <c r="T11" s="2" t="s">
        <v>31</v>
      </c>
      <c r="U11" s="2" t="s">
        <v>32</v>
      </c>
      <c r="V11" s="2" t="s">
        <v>78</v>
      </c>
      <c r="W11" s="7">
        <v>1</v>
      </c>
      <c r="X11" s="2" t="s">
        <v>11</v>
      </c>
      <c r="Y11" s="3" t="s">
        <v>41</v>
      </c>
    </row>
    <row r="12" spans="1:25" ht="14.1" customHeight="1" x14ac:dyDescent="0.25">
      <c r="A12" s="2" t="s">
        <v>37</v>
      </c>
      <c r="B12" s="2" t="s">
        <v>35</v>
      </c>
      <c r="C12" s="9">
        <v>2026</v>
      </c>
      <c r="D12" s="2" t="s">
        <v>24</v>
      </c>
      <c r="E12" s="2" t="s">
        <v>86</v>
      </c>
      <c r="F12" s="2" t="s">
        <v>118</v>
      </c>
      <c r="G12" s="2" t="s">
        <v>70</v>
      </c>
      <c r="H12" s="2"/>
      <c r="I12" s="3"/>
      <c r="J12" s="4">
        <v>4416.45</v>
      </c>
      <c r="K12" s="2"/>
      <c r="L12" s="5"/>
      <c r="M12" s="6"/>
      <c r="N12" s="4">
        <v>0</v>
      </c>
      <c r="O12" s="4">
        <v>4416.45</v>
      </c>
      <c r="P12" s="3" t="s">
        <v>29</v>
      </c>
      <c r="Q12" s="3"/>
      <c r="R12" s="2"/>
      <c r="S12" s="2"/>
      <c r="T12" s="2" t="s">
        <v>31</v>
      </c>
      <c r="U12" s="2" t="s">
        <v>32</v>
      </c>
      <c r="V12" s="2" t="s">
        <v>78</v>
      </c>
      <c r="W12" s="7">
        <v>1</v>
      </c>
      <c r="X12" s="2" t="s">
        <v>11</v>
      </c>
      <c r="Y12" s="3" t="s">
        <v>41</v>
      </c>
    </row>
    <row r="13" spans="1:25" ht="14.1" customHeight="1" x14ac:dyDescent="0.25">
      <c r="A13" s="2" t="s">
        <v>37</v>
      </c>
      <c r="B13" s="2" t="s">
        <v>35</v>
      </c>
      <c r="C13" s="9">
        <v>2026</v>
      </c>
      <c r="D13" s="2" t="s">
        <v>24</v>
      </c>
      <c r="E13" s="2" t="s">
        <v>87</v>
      </c>
      <c r="F13" s="2" t="s">
        <v>119</v>
      </c>
      <c r="G13" s="2" t="s">
        <v>57</v>
      </c>
      <c r="H13" s="2"/>
      <c r="I13" s="3"/>
      <c r="J13" s="4">
        <v>3876.64</v>
      </c>
      <c r="K13" s="2" t="s">
        <v>28</v>
      </c>
      <c r="L13" s="5">
        <v>-1</v>
      </c>
      <c r="M13" s="6">
        <v>26.64</v>
      </c>
      <c r="N13" s="4">
        <v>-26.64</v>
      </c>
      <c r="O13" s="4">
        <v>3850</v>
      </c>
      <c r="P13" s="3" t="s">
        <v>29</v>
      </c>
      <c r="Q13" s="3" t="s">
        <v>88</v>
      </c>
      <c r="R13" s="2"/>
      <c r="S13" s="2" t="s">
        <v>30</v>
      </c>
      <c r="T13" s="2" t="s">
        <v>31</v>
      </c>
      <c r="U13" s="2" t="s">
        <v>32</v>
      </c>
      <c r="V13" s="2" t="s">
        <v>34</v>
      </c>
      <c r="W13" s="7">
        <v>1</v>
      </c>
      <c r="X13" s="2" t="s">
        <v>11</v>
      </c>
      <c r="Y13" s="3" t="s">
        <v>33</v>
      </c>
    </row>
    <row r="14" spans="1:25" ht="14.1" customHeight="1" x14ac:dyDescent="0.25">
      <c r="A14" s="2" t="s">
        <v>37</v>
      </c>
      <c r="B14" s="2" t="s">
        <v>35</v>
      </c>
      <c r="C14" s="9">
        <v>2026</v>
      </c>
      <c r="D14" s="2" t="s">
        <v>24</v>
      </c>
      <c r="E14" s="2" t="s">
        <v>89</v>
      </c>
      <c r="F14" s="2" t="s">
        <v>120</v>
      </c>
      <c r="G14" s="2" t="s">
        <v>42</v>
      </c>
      <c r="H14" s="2"/>
      <c r="I14" s="3"/>
      <c r="J14" s="4">
        <v>4637.2700000000004</v>
      </c>
      <c r="K14" s="2" t="s">
        <v>28</v>
      </c>
      <c r="L14" s="5">
        <v>-1</v>
      </c>
      <c r="M14" s="6">
        <v>220.82</v>
      </c>
      <c r="N14" s="4">
        <v>-220.82</v>
      </c>
      <c r="O14" s="4">
        <v>4416.45</v>
      </c>
      <c r="P14" s="3" t="s">
        <v>29</v>
      </c>
      <c r="Q14" s="3" t="s">
        <v>90</v>
      </c>
      <c r="R14" s="2"/>
      <c r="S14" s="2"/>
      <c r="T14" s="2" t="s">
        <v>31</v>
      </c>
      <c r="U14" s="2" t="s">
        <v>32</v>
      </c>
      <c r="V14" s="2" t="s">
        <v>72</v>
      </c>
      <c r="W14" s="7">
        <v>1</v>
      </c>
      <c r="X14" s="2" t="s">
        <v>11</v>
      </c>
      <c r="Y14" s="3" t="s">
        <v>41</v>
      </c>
    </row>
    <row r="15" spans="1:25" ht="14.1" customHeight="1" x14ac:dyDescent="0.25">
      <c r="A15" s="2" t="s">
        <v>37</v>
      </c>
      <c r="B15" s="2" t="s">
        <v>35</v>
      </c>
      <c r="C15" s="9">
        <v>2026</v>
      </c>
      <c r="D15" s="2" t="s">
        <v>24</v>
      </c>
      <c r="E15" s="2" t="s">
        <v>91</v>
      </c>
      <c r="F15" s="2" t="s">
        <v>121</v>
      </c>
      <c r="G15" s="2" t="s">
        <v>42</v>
      </c>
      <c r="H15" s="2"/>
      <c r="I15" s="3"/>
      <c r="J15" s="4">
        <v>4637.2700000000004</v>
      </c>
      <c r="K15" s="2" t="s">
        <v>28</v>
      </c>
      <c r="L15" s="5">
        <v>-1</v>
      </c>
      <c r="M15" s="6">
        <v>220.82</v>
      </c>
      <c r="N15" s="4">
        <v>-220.82</v>
      </c>
      <c r="O15" s="4">
        <v>4416.45</v>
      </c>
      <c r="P15" s="3" t="s">
        <v>29</v>
      </c>
      <c r="Q15" s="3" t="s">
        <v>36</v>
      </c>
      <c r="R15" s="2"/>
      <c r="S15" s="2"/>
      <c r="T15" s="2" t="s">
        <v>31</v>
      </c>
      <c r="U15" s="2" t="s">
        <v>32</v>
      </c>
      <c r="V15" s="2" t="s">
        <v>72</v>
      </c>
      <c r="W15" s="7">
        <v>1</v>
      </c>
      <c r="X15" s="2" t="s">
        <v>11</v>
      </c>
      <c r="Y15" s="3" t="s">
        <v>41</v>
      </c>
    </row>
    <row r="16" spans="1:25" ht="14.1" customHeight="1" x14ac:dyDescent="0.25">
      <c r="A16" s="2" t="s">
        <v>37</v>
      </c>
      <c r="B16" s="2" t="s">
        <v>35</v>
      </c>
      <c r="C16" s="9">
        <v>2026</v>
      </c>
      <c r="D16" s="2" t="s">
        <v>24</v>
      </c>
      <c r="E16" s="2" t="s">
        <v>92</v>
      </c>
      <c r="F16" s="2" t="s">
        <v>122</v>
      </c>
      <c r="G16" s="2" t="s">
        <v>57</v>
      </c>
      <c r="H16" s="2"/>
      <c r="I16" s="3"/>
      <c r="J16" s="4">
        <v>3876.64</v>
      </c>
      <c r="K16" s="2"/>
      <c r="L16" s="5"/>
      <c r="M16" s="6"/>
      <c r="N16" s="4">
        <v>0</v>
      </c>
      <c r="O16" s="4">
        <v>3876.64</v>
      </c>
      <c r="P16" s="3" t="s">
        <v>29</v>
      </c>
      <c r="Q16" s="3"/>
      <c r="R16" s="2" t="s">
        <v>81</v>
      </c>
      <c r="S16" s="2" t="s">
        <v>93</v>
      </c>
      <c r="T16" s="2" t="s">
        <v>25</v>
      </c>
      <c r="U16" s="2" t="s">
        <v>82</v>
      </c>
      <c r="V16" s="2" t="s">
        <v>82</v>
      </c>
      <c r="W16" s="7">
        <v>1</v>
      </c>
      <c r="X16" s="2" t="s">
        <v>11</v>
      </c>
      <c r="Y16" s="3" t="s">
        <v>94</v>
      </c>
    </row>
    <row r="17" spans="1:25" ht="14.1" customHeight="1" x14ac:dyDescent="0.25">
      <c r="A17" s="2" t="s">
        <v>37</v>
      </c>
      <c r="B17" s="2" t="s">
        <v>35</v>
      </c>
      <c r="C17" s="9">
        <v>2026</v>
      </c>
      <c r="D17" s="2" t="s">
        <v>24</v>
      </c>
      <c r="E17" s="2" t="s">
        <v>95</v>
      </c>
      <c r="F17" s="2" t="s">
        <v>123</v>
      </c>
      <c r="G17" s="2" t="s">
        <v>63</v>
      </c>
      <c r="H17" s="2"/>
      <c r="I17" s="3"/>
      <c r="J17" s="4">
        <v>5497.53</v>
      </c>
      <c r="K17" s="2" t="s">
        <v>28</v>
      </c>
      <c r="L17" s="5">
        <v>-1</v>
      </c>
      <c r="M17" s="6">
        <v>497.53</v>
      </c>
      <c r="N17" s="4">
        <v>-497.53</v>
      </c>
      <c r="O17" s="4">
        <v>5000</v>
      </c>
      <c r="P17" s="3" t="s">
        <v>96</v>
      </c>
      <c r="Q17" s="3" t="s">
        <v>98</v>
      </c>
      <c r="R17" s="2" t="s">
        <v>48</v>
      </c>
      <c r="S17" s="2" t="s">
        <v>49</v>
      </c>
      <c r="T17" s="2" t="s">
        <v>25</v>
      </c>
      <c r="U17" s="2" t="s">
        <v>50</v>
      </c>
      <c r="V17" s="2" t="s">
        <v>50</v>
      </c>
      <c r="W17" s="7">
        <v>1</v>
      </c>
      <c r="X17" s="2" t="s">
        <v>11</v>
      </c>
      <c r="Y17" s="3" t="s">
        <v>97</v>
      </c>
    </row>
    <row r="18" spans="1:25" ht="14.1" customHeight="1" x14ac:dyDescent="0.25">
      <c r="A18" s="2" t="s">
        <v>37</v>
      </c>
      <c r="B18" s="2" t="s">
        <v>35</v>
      </c>
      <c r="C18" s="9">
        <v>2026</v>
      </c>
      <c r="D18" s="2" t="s">
        <v>24</v>
      </c>
      <c r="E18" s="2" t="s">
        <v>99</v>
      </c>
      <c r="F18" s="2" t="s">
        <v>124</v>
      </c>
      <c r="G18" s="2" t="s">
        <v>57</v>
      </c>
      <c r="H18" s="2"/>
      <c r="I18" s="3"/>
      <c r="J18" s="4">
        <v>3876.64</v>
      </c>
      <c r="K18" s="2"/>
      <c r="L18" s="5"/>
      <c r="M18" s="6"/>
      <c r="N18" s="4">
        <v>0</v>
      </c>
      <c r="O18" s="4">
        <v>3876.64</v>
      </c>
      <c r="P18" s="3" t="s">
        <v>96</v>
      </c>
      <c r="Q18" s="3"/>
      <c r="R18" s="2" t="s">
        <v>51</v>
      </c>
      <c r="S18" s="2" t="s">
        <v>52</v>
      </c>
      <c r="T18" s="2" t="s">
        <v>25</v>
      </c>
      <c r="U18" s="2" t="s">
        <v>40</v>
      </c>
      <c r="V18" s="2" t="s">
        <v>40</v>
      </c>
      <c r="W18" s="7">
        <v>1</v>
      </c>
      <c r="X18" s="2" t="s">
        <v>11</v>
      </c>
      <c r="Y18" s="3" t="s">
        <v>41</v>
      </c>
    </row>
    <row r="19" spans="1:25" ht="14.1" customHeight="1" x14ac:dyDescent="0.25">
      <c r="A19" s="2" t="s">
        <v>37</v>
      </c>
      <c r="B19" s="2" t="s">
        <v>35</v>
      </c>
      <c r="C19" s="9">
        <v>2026</v>
      </c>
      <c r="D19" s="2" t="s">
        <v>24</v>
      </c>
      <c r="E19" s="2" t="s">
        <v>102</v>
      </c>
      <c r="F19" s="2" t="s">
        <v>125</v>
      </c>
      <c r="G19" s="2" t="s">
        <v>57</v>
      </c>
      <c r="H19" s="2" t="s">
        <v>44</v>
      </c>
      <c r="I19" s="3" t="s">
        <v>101</v>
      </c>
      <c r="J19" s="4">
        <v>3876.64</v>
      </c>
      <c r="K19" s="2" t="s">
        <v>100</v>
      </c>
      <c r="L19" s="5">
        <v>-81.326999999999998</v>
      </c>
      <c r="M19" s="6">
        <v>23.075237999999999</v>
      </c>
      <c r="N19" s="4">
        <v>-1876.6398808260001</v>
      </c>
      <c r="O19" s="4">
        <v>2000.000119174</v>
      </c>
      <c r="P19" s="3" t="s">
        <v>103</v>
      </c>
      <c r="Q19" s="3" t="s">
        <v>105</v>
      </c>
      <c r="R19" s="2" t="s">
        <v>79</v>
      </c>
      <c r="S19" s="2" t="s">
        <v>80</v>
      </c>
      <c r="T19" s="2" t="s">
        <v>25</v>
      </c>
      <c r="U19" s="2" t="s">
        <v>77</v>
      </c>
      <c r="V19" s="2" t="s">
        <v>77</v>
      </c>
      <c r="W19" s="7">
        <v>1</v>
      </c>
      <c r="X19" s="2" t="s">
        <v>11</v>
      </c>
      <c r="Y19" s="3" t="s">
        <v>104</v>
      </c>
    </row>
    <row r="21" spans="1:25" ht="14.1" customHeight="1" x14ac:dyDescent="0.25">
      <c r="O21" s="8">
        <f>SUBTOTAL(9,Tabla_query__91[Monto A Facturar])</f>
        <v>64152.105319173999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Antonio Flores De Gracia</dc:creator>
  <cp:lastModifiedBy>Luisa Fernanda  Granada Ramírez</cp:lastModifiedBy>
  <dcterms:created xsi:type="dcterms:W3CDTF">2026-03-09T23:23:24Z</dcterms:created>
  <dcterms:modified xsi:type="dcterms:W3CDTF">2026-06-24T16:43:05Z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8a6d1c-b618-49e6-9840-c0959a7c2503_Enabled">
    <vt:lpwstr>true</vt:lpwstr>
  </property>
  <property fmtid="{D5CDD505-2E9C-101B-9397-08002B2CF9AE}" pid="3" name="MSIP_Label_7b8a6d1c-b618-49e6-9840-c0959a7c2503_SetDate">
    <vt:lpwstr>2026-03-09T23:23:24Z</vt:lpwstr>
  </property>
  <property fmtid="{D5CDD505-2E9C-101B-9397-08002B2CF9AE}" pid="4" name="MSIP_Label_7b8a6d1c-b618-49e6-9840-c0959a7c2503_Method">
    <vt:lpwstr>Privileged</vt:lpwstr>
  </property>
  <property fmtid="{D5CDD505-2E9C-101B-9397-08002B2CF9AE}" pid="5" name="MSIP_Label_7b8a6d1c-b618-49e6-9840-c0959a7c2503_Name">
    <vt:lpwstr>Banistmo Clasificación - Interna</vt:lpwstr>
  </property>
  <property fmtid="{D5CDD505-2E9C-101B-9397-08002B2CF9AE}" pid="6" name="MSIP_Label_7b8a6d1c-b618-49e6-9840-c0959a7c2503_SiteId">
    <vt:lpwstr>b5e244bd-c492-495b-8b10-61bfd453e423</vt:lpwstr>
  </property>
  <property fmtid="{D5CDD505-2E9C-101B-9397-08002B2CF9AE}" pid="7" name="MSIP_Label_7b8a6d1c-b618-49e6-9840-c0959a7c2503_ActionId">
    <vt:lpwstr>b74bd2fe-7f44-41a7-bfc4-3918ea87e355</vt:lpwstr>
  </property>
  <property fmtid="{D5CDD505-2E9C-101B-9397-08002B2CF9AE}" pid="8" name="MSIP_Label_7b8a6d1c-b618-49e6-9840-c0959a7c2503_ContentBits">
    <vt:lpwstr>0</vt:lpwstr>
  </property>
  <property fmtid="{D5CDD505-2E9C-101B-9397-08002B2CF9AE}" pid="9" name="MSIP_Label_7b8a6d1c-b618-49e6-9840-c0959a7c2503_Tag">
    <vt:lpwstr>10, 0, 1, 1</vt:lpwstr>
  </property>
</Properties>
</file>