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ee\ProcesoFacturacion\Archivos de Prueba\"/>
    </mc:Choice>
  </mc:AlternateContent>
  <xr:revisionPtr revIDLastSave="0" documentId="13_ncr:1_{416ED71E-304A-49CC-A7BD-C58DFA54E3C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TALENTOS BEE" sheetId="4" state="hidden" r:id="rId1"/>
    <sheet name="REPORTE NOVEDADES" sheetId="5" r:id="rId2"/>
  </sheets>
  <definedNames>
    <definedName name="_xlnm._FilterDatabase" localSheetId="1" hidden="1">'REPORTE NOVEDADES'!$A$3:$H$32</definedName>
    <definedName name="_xlnm._FilterDatabase" localSheetId="0" hidden="1">'TALENTOS BEE'!$A$6:$L$6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5" l="1"/>
  <c r="G13" i="5"/>
  <c r="G12" i="5"/>
  <c r="G11" i="5"/>
  <c r="G10" i="5"/>
  <c r="G9" i="5"/>
  <c r="G8" i="5"/>
  <c r="G7" i="5"/>
  <c r="G6" i="5"/>
  <c r="G5" i="5"/>
  <c r="G4" i="5"/>
  <c r="E14" i="5"/>
  <c r="E13" i="5"/>
  <c r="E12" i="5"/>
  <c r="E11" i="5"/>
  <c r="E10" i="5"/>
  <c r="E9" i="5"/>
  <c r="E8" i="5"/>
  <c r="E7" i="5"/>
  <c r="E6" i="5"/>
  <c r="E5" i="5"/>
  <c r="E4" i="5"/>
  <c r="C3" i="5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7" i="4"/>
  <c r="C4" i="4" l="1"/>
  <c r="C3" i="4"/>
  <c r="E8" i="4" l="1"/>
  <c r="E23" i="4"/>
  <c r="E38" i="4"/>
  <c r="E10" i="4"/>
  <c r="E25" i="4"/>
  <c r="E40" i="4"/>
  <c r="E26" i="4"/>
  <c r="E41" i="4"/>
  <c r="E12" i="4"/>
  <c r="E42" i="4"/>
  <c r="E13" i="4"/>
  <c r="E28" i="4"/>
  <c r="E43" i="4"/>
  <c r="E14" i="4"/>
  <c r="E7" i="4"/>
  <c r="E15" i="4"/>
  <c r="E16" i="4"/>
  <c r="E9" i="4"/>
  <c r="E24" i="4"/>
  <c r="E39" i="4"/>
  <c r="E11" i="4"/>
  <c r="E27" i="4"/>
  <c r="E30" i="4"/>
  <c r="E34" i="4"/>
  <c r="E29" i="4"/>
  <c r="E31" i="4"/>
  <c r="E17" i="4"/>
  <c r="E32" i="4"/>
  <c r="E18" i="4"/>
  <c r="E33" i="4"/>
  <c r="E19" i="4"/>
  <c r="E20" i="4"/>
  <c r="E35" i="4"/>
  <c r="E21" i="4"/>
  <c r="E36" i="4"/>
  <c r="E22" i="4"/>
  <c r="E37" i="4"/>
</calcChain>
</file>

<file path=xl/sharedStrings.xml><?xml version="1.0" encoding="utf-8"?>
<sst xmlns="http://schemas.openxmlformats.org/spreadsheetml/2006/main" count="342" uniqueCount="135">
  <si>
    <t>SEC</t>
  </si>
  <si>
    <t>INDEFINIDO</t>
  </si>
  <si>
    <t>COP</t>
  </si>
  <si>
    <t>USD</t>
  </si>
  <si>
    <t>Dias CALENDARIO Mes</t>
  </si>
  <si>
    <t>BONO CUMPLEAÑOS</t>
  </si>
  <si>
    <t>Bancolombia</t>
  </si>
  <si>
    <t>Libro: Nuevo reporte de Maestro de empleados Novedades</t>
  </si>
  <si>
    <t>Fecha Generación: 20/05/2026 a las 09:19AM</t>
  </si>
  <si>
    <t>Empresa</t>
  </si>
  <si>
    <t xml:space="preserve"> TIPO CONTRATO</t>
  </si>
  <si>
    <t>Colaborador - Nombre Completo</t>
  </si>
  <si>
    <t>Fecha de Nacimiento</t>
  </si>
  <si>
    <t>Fecha Ingreso Compañía</t>
  </si>
  <si>
    <t>Pais Ubicación</t>
  </si>
  <si>
    <t>Moneda de Pago</t>
  </si>
  <si>
    <t>Colaborador - Salario</t>
  </si>
  <si>
    <t>Banco de cuenta a pagar</t>
  </si>
  <si>
    <t># Cuenta a pagar</t>
  </si>
  <si>
    <t>BEE Consultoria y Negocios</t>
  </si>
  <si>
    <t>Álvarez Velásquez Sergio Andrés</t>
  </si>
  <si>
    <t>Colombia</t>
  </si>
  <si>
    <t>BANCOLOMBIA - AHO</t>
  </si>
  <si>
    <t>52017092154</t>
  </si>
  <si>
    <t>Ballesteros  Jonathan Hans</t>
  </si>
  <si>
    <t>66146626379</t>
  </si>
  <si>
    <t>Bohorquez Rodríguez Esteban</t>
  </si>
  <si>
    <t>59644896409</t>
  </si>
  <si>
    <t>PRESTACION DE SERVICIOS</t>
  </si>
  <si>
    <t>Briceño Pinilla John Sebastian</t>
  </si>
  <si>
    <t>NU BANK- AHO</t>
  </si>
  <si>
    <t>35981518</t>
  </si>
  <si>
    <t>Caicedo Álvarez Kevin</t>
  </si>
  <si>
    <t>37783106397</t>
  </si>
  <si>
    <t>Castro Portilla Alexander Fabricio</t>
  </si>
  <si>
    <t>ECUADOR</t>
  </si>
  <si>
    <t>BANCO DEL PICHINCHA - AHO</t>
  </si>
  <si>
    <t>Chávez García Nicole Yadira</t>
  </si>
  <si>
    <t>2200097976</t>
  </si>
  <si>
    <t>Díaz Rosero Carlos Joel</t>
  </si>
  <si>
    <t>Díaz Vargas Aneyda Raquel</t>
  </si>
  <si>
    <t>Duque Cortes Estiward Alexander</t>
  </si>
  <si>
    <t>BANCO DE BOGOTA - AHO</t>
  </si>
  <si>
    <t>309189298</t>
  </si>
  <si>
    <t>Espinoza Carua Jefferson David</t>
  </si>
  <si>
    <t>2208390652</t>
  </si>
  <si>
    <t>García Regalado Pratt Christian</t>
  </si>
  <si>
    <t>2208798444</t>
  </si>
  <si>
    <t>Granada Ramírez Luisa Fernanda</t>
  </si>
  <si>
    <t>62300005603</t>
  </si>
  <si>
    <t>Hoyos Florez Octavio</t>
  </si>
  <si>
    <t>DAVIBANK - AHO</t>
  </si>
  <si>
    <t>5582075028</t>
  </si>
  <si>
    <t>Idrovo Campaña Byron Andrés</t>
  </si>
  <si>
    <t>Bee Consultoría &amp; Negocios</t>
  </si>
  <si>
    <t>Leal Marín Edyson Fabian</t>
  </si>
  <si>
    <t>Banco de Bogotá</t>
  </si>
  <si>
    <t>601605355</t>
  </si>
  <si>
    <t>Loor Moran Aaron Wladimir</t>
  </si>
  <si>
    <t>PRODUBANCO - AHO</t>
  </si>
  <si>
    <t>López Cárdenas Stiven Oswaldo</t>
  </si>
  <si>
    <t>2206943004</t>
  </si>
  <si>
    <t>Mafla Jarrín Martín Alejandro</t>
  </si>
  <si>
    <t>2209823719</t>
  </si>
  <si>
    <t>Mafla Montoya Vicente Amilcar</t>
  </si>
  <si>
    <t>2208459330</t>
  </si>
  <si>
    <t>Medina Choque Víctor Fernando</t>
  </si>
  <si>
    <t>ARGENTINA</t>
  </si>
  <si>
    <t>GLOBAL66</t>
  </si>
  <si>
    <t>VICMED628</t>
  </si>
  <si>
    <t>Mena Salcedo Johnatan Alexander</t>
  </si>
  <si>
    <t>BANCOLOMBIA AHO</t>
  </si>
  <si>
    <t>00912571289</t>
  </si>
  <si>
    <t>Monteros González Kevin Joel</t>
  </si>
  <si>
    <t>BANCO DEL PICHINCHA - A</t>
  </si>
  <si>
    <t>2207974233</t>
  </si>
  <si>
    <t>Nicolalde Perugachi Joana Estefanía</t>
  </si>
  <si>
    <t>2203559686</t>
  </si>
  <si>
    <t>Olivo Revelo Kevin Eduardo</t>
  </si>
  <si>
    <t>2202913708</t>
  </si>
  <si>
    <t>Ordóñez Alarcón Wilson Gabriel</t>
  </si>
  <si>
    <t>2205792931</t>
  </si>
  <si>
    <t>Pacheco Meza Jennifer</t>
  </si>
  <si>
    <t>51666250714</t>
  </si>
  <si>
    <t>Peña Hernández Weimar</t>
  </si>
  <si>
    <t>LULO BANK - AHO</t>
  </si>
  <si>
    <t>507721738059</t>
  </si>
  <si>
    <t>Quezada Sanmartín Nixon Douglas</t>
  </si>
  <si>
    <t>2207506148</t>
  </si>
  <si>
    <t>Ramírez Albarracín Andrés David</t>
  </si>
  <si>
    <t>Rodríguez Merchan Darwin Alexander</t>
  </si>
  <si>
    <t>Rosero Velasco Maritza Nataly</t>
  </si>
  <si>
    <t>2200974152</t>
  </si>
  <si>
    <t>Salazar Ruíz Xavier Ulises</t>
  </si>
  <si>
    <t>BANCO DE GUAYAQUIL - AHO</t>
  </si>
  <si>
    <t>9699665</t>
  </si>
  <si>
    <t>Simbaña Cusicagua Kevin Dario</t>
  </si>
  <si>
    <t>2207253794</t>
  </si>
  <si>
    <t>Velásquez González David José</t>
  </si>
  <si>
    <t>Viana Castro Nicolás Yair</t>
  </si>
  <si>
    <t>19871807101</t>
  </si>
  <si>
    <t>Villamizar Suaza Jessica</t>
  </si>
  <si>
    <t>31000006717</t>
  </si>
  <si>
    <t>FECHA DESDE</t>
  </si>
  <si>
    <t>FECHA HASTA</t>
  </si>
  <si>
    <t>INCREMENTO SALARIAL</t>
  </si>
  <si>
    <t>HORAS EXTRAS</t>
  </si>
  <si>
    <t>DESCRIPCION NOVEDAD</t>
  </si>
  <si>
    <t>Weimar Peña Hernández</t>
  </si>
  <si>
    <t>Víctor Daniel Perez Díaz</t>
  </si>
  <si>
    <t>Anyela Julieth Castillo Amezquita</t>
  </si>
  <si>
    <t>Darwin Alexander Rodríguez Merchan</t>
  </si>
  <si>
    <t>Johana Estefanía Nicolalde Perugachi</t>
  </si>
  <si>
    <t>Kevin Caicedo Álvarez</t>
  </si>
  <si>
    <t>Daniela Castro González</t>
  </si>
  <si>
    <t>Johnatan Alexander Mena Salcedo</t>
  </si>
  <si>
    <t>Maritza Nataly Rosero Velasco</t>
  </si>
  <si>
    <t>Nicole Yadira Chavez Garcia</t>
  </si>
  <si>
    <t>Pratt Christian Garcia Regalado</t>
  </si>
  <si>
    <t>Descuento por $497.53.</t>
  </si>
  <si>
    <t>NO</t>
  </si>
  <si>
    <t>NOMBRE DEL COLABORADOR</t>
  </si>
  <si>
    <t>PAÍS UBICACIÓN</t>
  </si>
  <si>
    <t>FECHA DE NACIMIENTO</t>
  </si>
  <si>
    <t>FECHA INGRESO A LA COMPAÑÍA</t>
  </si>
  <si>
    <t>Descuento de $537.27 acordado con el proveedor</t>
  </si>
  <si>
    <t>Descuento por $26.64</t>
  </si>
  <si>
    <t>Descuento por $220.82 acordado con el proveedor</t>
  </si>
  <si>
    <t>Descuento de $220.82 acordado con el proveedor</t>
  </si>
  <si>
    <t>-2-feb-26: se acuerda con proveedor la facturación del 50% de la tarifa para el mes de febrero 2026.</t>
  </si>
  <si>
    <t>Ingresó el 19 de febrero de 2026</t>
  </si>
  <si>
    <t>Ingresó el 23 de febrero de 2026</t>
  </si>
  <si>
    <t>Ingresó el 26 de febrero de 2026</t>
  </si>
  <si>
    <t>Ecuador</t>
  </si>
  <si>
    <t>PRESTACIÓN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</si>
</sst>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164" formatCode="_-* #,##0.00_-;\-* #,##0.0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/>
    <xf numFmtId="17" fontId="0" fillId="0" borderId="0" xfId="0" applyNumberFormat="1"/>
    <xf numFmtId="0" fontId="0" fillId="3" borderId="1" xfId="0" applyFill="1" applyBorder="1"/>
    <xf numFmtId="41" fontId="0" fillId="0" borderId="1" xfId="1" applyNumberFormat="1" applyFont="1" applyFill="1" applyBorder="1" applyAlignment="1">
      <alignment horizontal="center" vertical="top" wrapText="1"/>
    </xf>
    <xf numFmtId="41" fontId="0" fillId="0" borderId="1" xfId="1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0" fillId="0" borderId="1" xfId="1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42" fontId="0" fillId="0" borderId="0" xfId="2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42" fontId="2" fillId="2" borderId="0" xfId="2" applyFont="1" applyFill="1"/>
    <xf numFmtId="0" fontId="2" fillId="2" borderId="0" xfId="0" applyFont="1" applyFill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 vertical="justify"/>
    </xf>
    <xf numFmtId="41" fontId="0" fillId="0" borderId="1" xfId="1" applyNumberFormat="1" applyFont="1" applyFill="1" applyBorder="1" applyAlignment="1">
      <alignment horizontal="center" vertical="center" wrapText="1"/>
    </xf>
    <xf numFmtId="41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1" fontId="0" fillId="0" borderId="1" xfId="1" quotePrefix="1" applyNumberFormat="1" applyFont="1" applyFill="1" applyBorder="1" applyAlignment="1">
      <alignment horizontal="center" vertical="top" wrapText="1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opLeftCell="A29" zoomScale="110" zoomScaleNormal="110" workbookViewId="0">
      <selection activeCell="C34" sqref="C34"/>
    </sheetView>
  </sheetViews>
  <sheetFormatPr baseColWidth="10" defaultRowHeight="15" x14ac:dyDescent="0.25"/>
  <cols>
    <col min="1" max="1" width="30.42578125" customWidth="1"/>
    <col min="2" max="2" width="26.42578125" bestFit="1" customWidth="1"/>
    <col min="3" max="3" width="32.140625" bestFit="1" customWidth="1"/>
    <col min="4" max="4" width="18.140625" style="9" bestFit="1" customWidth="1"/>
    <col min="5" max="5" width="18.140625" style="9" customWidth="1"/>
    <col min="6" max="6" width="21" style="9" bestFit="1" customWidth="1"/>
    <col min="7" max="7" width="21" style="9" customWidth="1"/>
    <col min="8" max="8" width="12.42578125" bestFit="1" customWidth="1"/>
    <col min="9" max="9" width="14.5703125" bestFit="1" customWidth="1"/>
    <col min="10" max="10" width="18.140625" style="10" bestFit="1" customWidth="1"/>
    <col min="11" max="11" width="25.140625" bestFit="1" customWidth="1"/>
    <col min="12" max="12" width="14.42578125" style="11" bestFit="1" customWidth="1"/>
  </cols>
  <sheetData>
    <row r="1" spans="1:12" x14ac:dyDescent="0.25">
      <c r="A1" t="s">
        <v>7</v>
      </c>
    </row>
    <row r="2" spans="1:12" x14ac:dyDescent="0.25">
      <c r="A2" t="s">
        <v>8</v>
      </c>
    </row>
    <row r="3" spans="1:12" x14ac:dyDescent="0.25">
      <c r="A3" s="16" t="s">
        <v>103</v>
      </c>
      <c r="B3" s="16">
        <v>46143</v>
      </c>
      <c r="C3">
        <f>MONTH(B3)</f>
        <v>5</v>
      </c>
    </row>
    <row r="4" spans="1:12" x14ac:dyDescent="0.25">
      <c r="A4" t="s">
        <v>104</v>
      </c>
      <c r="B4" s="16">
        <v>46173</v>
      </c>
      <c r="C4">
        <f>MONTH(B4)</f>
        <v>5</v>
      </c>
    </row>
    <row r="6" spans="1:12" x14ac:dyDescent="0.25">
      <c r="A6" s="12" t="s">
        <v>9</v>
      </c>
      <c r="B6" s="12" t="s">
        <v>10</v>
      </c>
      <c r="C6" s="12" t="s">
        <v>11</v>
      </c>
      <c r="D6" s="13" t="s">
        <v>12</v>
      </c>
      <c r="E6" s="13" t="s">
        <v>5</v>
      </c>
      <c r="F6" s="13" t="s">
        <v>13</v>
      </c>
      <c r="G6" s="13" t="s">
        <v>105</v>
      </c>
      <c r="H6" s="12" t="s">
        <v>14</v>
      </c>
      <c r="I6" s="12" t="s">
        <v>15</v>
      </c>
      <c r="J6" s="14" t="s">
        <v>16</v>
      </c>
      <c r="K6" s="12" t="s">
        <v>17</v>
      </c>
      <c r="L6" s="15" t="s">
        <v>18</v>
      </c>
    </row>
    <row r="7" spans="1:12" x14ac:dyDescent="0.25">
      <c r="A7" t="s">
        <v>19</v>
      </c>
      <c r="B7" t="s">
        <v>1</v>
      </c>
      <c r="C7" t="s">
        <v>20</v>
      </c>
      <c r="D7" s="17">
        <v>31207</v>
      </c>
      <c r="E7" s="18" t="str">
        <f>IF(MONTH(D7)=$C$3,"SI","NO")</f>
        <v>NO</v>
      </c>
      <c r="F7" s="17">
        <v>44599</v>
      </c>
      <c r="G7" s="18" t="str">
        <f>IF(AND(YEAR($B$3)-YEAR(F7)&gt;0,MONTH(F7)=$C$3),"SI","NO")</f>
        <v>NO</v>
      </c>
      <c r="H7" t="s">
        <v>21</v>
      </c>
      <c r="I7" t="s">
        <v>2</v>
      </c>
      <c r="J7" s="10">
        <v>5500000</v>
      </c>
      <c r="K7" t="s">
        <v>22</v>
      </c>
      <c r="L7" s="11" t="s">
        <v>23</v>
      </c>
    </row>
    <row r="8" spans="1:12" x14ac:dyDescent="0.25">
      <c r="A8" t="s">
        <v>19</v>
      </c>
      <c r="B8" t="s">
        <v>1</v>
      </c>
      <c r="C8" t="s">
        <v>24</v>
      </c>
      <c r="D8" s="17">
        <v>32408</v>
      </c>
      <c r="E8" s="18" t="str">
        <f t="shared" ref="E8:E43" si="0">IF(MONTH(D8)=$C$3,"SI","NO")</f>
        <v>NO</v>
      </c>
      <c r="F8" s="17">
        <v>46083</v>
      </c>
      <c r="G8" s="18" t="str">
        <f t="shared" ref="G8:G43" si="1">IF(AND(YEAR($B$3)-YEAR(F8)&gt;0,MONTH(F8)=$C$3),"SI","NO")</f>
        <v>NO</v>
      </c>
      <c r="H8" t="s">
        <v>21</v>
      </c>
      <c r="I8" t="s">
        <v>2</v>
      </c>
      <c r="J8" s="10">
        <v>6000000</v>
      </c>
      <c r="K8" t="s">
        <v>22</v>
      </c>
      <c r="L8" s="11" t="s">
        <v>25</v>
      </c>
    </row>
    <row r="9" spans="1:12" x14ac:dyDescent="0.25">
      <c r="A9" t="s">
        <v>19</v>
      </c>
      <c r="B9" t="s">
        <v>1</v>
      </c>
      <c r="C9" t="s">
        <v>26</v>
      </c>
      <c r="D9" s="17">
        <v>38113</v>
      </c>
      <c r="E9" s="18" t="str">
        <f t="shared" si="0"/>
        <v>SI</v>
      </c>
      <c r="F9" s="17">
        <v>46097</v>
      </c>
      <c r="G9" s="18" t="str">
        <f t="shared" si="1"/>
        <v>NO</v>
      </c>
      <c r="H9" t="s">
        <v>21</v>
      </c>
      <c r="I9" t="s">
        <v>2</v>
      </c>
      <c r="J9" s="10">
        <v>7000000</v>
      </c>
      <c r="K9" t="s">
        <v>22</v>
      </c>
      <c r="L9" s="11" t="s">
        <v>27</v>
      </c>
    </row>
    <row r="10" spans="1:12" x14ac:dyDescent="0.25">
      <c r="A10" t="s">
        <v>19</v>
      </c>
      <c r="B10" t="s">
        <v>28</v>
      </c>
      <c r="C10" t="s">
        <v>29</v>
      </c>
      <c r="D10" s="17">
        <v>32845</v>
      </c>
      <c r="E10" s="18" t="str">
        <f t="shared" si="0"/>
        <v>NO</v>
      </c>
      <c r="F10" s="17">
        <v>44995</v>
      </c>
      <c r="G10" s="18" t="str">
        <f t="shared" si="1"/>
        <v>NO</v>
      </c>
      <c r="H10" t="s">
        <v>21</v>
      </c>
      <c r="I10" t="s">
        <v>2</v>
      </c>
      <c r="J10" s="10">
        <v>15000000</v>
      </c>
      <c r="K10" t="s">
        <v>30</v>
      </c>
      <c r="L10" s="11" t="s">
        <v>31</v>
      </c>
    </row>
    <row r="11" spans="1:12" x14ac:dyDescent="0.25">
      <c r="A11" t="s">
        <v>19</v>
      </c>
      <c r="B11" t="s">
        <v>1</v>
      </c>
      <c r="C11" t="s">
        <v>32</v>
      </c>
      <c r="D11" s="17">
        <v>34964</v>
      </c>
      <c r="E11" s="18" t="str">
        <f t="shared" si="0"/>
        <v>NO</v>
      </c>
      <c r="F11" s="17">
        <v>45537</v>
      </c>
      <c r="G11" s="18" t="str">
        <f t="shared" si="1"/>
        <v>NO</v>
      </c>
      <c r="H11" t="s">
        <v>21</v>
      </c>
      <c r="I11" t="s">
        <v>2</v>
      </c>
      <c r="J11" s="10">
        <v>6032000</v>
      </c>
      <c r="K11" t="s">
        <v>22</v>
      </c>
      <c r="L11" s="11" t="s">
        <v>33</v>
      </c>
    </row>
    <row r="12" spans="1:12" x14ac:dyDescent="0.25">
      <c r="A12" t="s">
        <v>19</v>
      </c>
      <c r="B12" t="s">
        <v>28</v>
      </c>
      <c r="C12" t="s">
        <v>34</v>
      </c>
      <c r="D12" s="17">
        <v>35246</v>
      </c>
      <c r="E12" s="18" t="str">
        <f t="shared" si="0"/>
        <v>NO</v>
      </c>
      <c r="F12" s="17">
        <v>46125</v>
      </c>
      <c r="G12" s="18" t="str">
        <f t="shared" si="1"/>
        <v>NO</v>
      </c>
      <c r="H12" t="s">
        <v>35</v>
      </c>
      <c r="I12" t="s">
        <v>3</v>
      </c>
      <c r="J12" s="10">
        <v>1900</v>
      </c>
      <c r="K12" t="s">
        <v>36</v>
      </c>
      <c r="L12" s="11">
        <v>2208340614</v>
      </c>
    </row>
    <row r="13" spans="1:12" x14ac:dyDescent="0.25">
      <c r="A13" t="s">
        <v>19</v>
      </c>
      <c r="B13" t="s">
        <v>28</v>
      </c>
      <c r="C13" t="s">
        <v>37</v>
      </c>
      <c r="D13" s="17">
        <v>35671</v>
      </c>
      <c r="E13" s="18" t="str">
        <f t="shared" si="0"/>
        <v>NO</v>
      </c>
      <c r="F13" s="17">
        <v>46076</v>
      </c>
      <c r="G13" s="18" t="str">
        <f t="shared" si="1"/>
        <v>NO</v>
      </c>
      <c r="H13" t="s">
        <v>35</v>
      </c>
      <c r="I13" t="s">
        <v>3</v>
      </c>
      <c r="J13" s="10">
        <v>2100</v>
      </c>
      <c r="K13" t="s">
        <v>36</v>
      </c>
      <c r="L13" s="11" t="s">
        <v>38</v>
      </c>
    </row>
    <row r="14" spans="1:12" x14ac:dyDescent="0.25">
      <c r="A14" t="s">
        <v>19</v>
      </c>
      <c r="B14" t="s">
        <v>28</v>
      </c>
      <c r="C14" t="s">
        <v>39</v>
      </c>
      <c r="D14" s="17">
        <v>34229</v>
      </c>
      <c r="E14" s="18" t="str">
        <f t="shared" si="0"/>
        <v>NO</v>
      </c>
      <c r="F14" s="17">
        <v>45597</v>
      </c>
      <c r="G14" s="18" t="str">
        <f t="shared" si="1"/>
        <v>NO</v>
      </c>
      <c r="H14" t="s">
        <v>35</v>
      </c>
      <c r="I14" t="s">
        <v>3</v>
      </c>
      <c r="J14" s="10">
        <v>2080</v>
      </c>
      <c r="K14" t="s">
        <v>36</v>
      </c>
      <c r="L14" s="11">
        <v>2201988417</v>
      </c>
    </row>
    <row r="15" spans="1:12" x14ac:dyDescent="0.25">
      <c r="A15" t="s">
        <v>19</v>
      </c>
      <c r="B15" t="s">
        <v>1</v>
      </c>
      <c r="C15" t="s">
        <v>40</v>
      </c>
      <c r="D15" s="17">
        <v>27133</v>
      </c>
      <c r="E15" s="18" t="str">
        <f t="shared" si="0"/>
        <v>NO</v>
      </c>
      <c r="F15" s="17">
        <v>45614</v>
      </c>
      <c r="G15" s="18" t="str">
        <f t="shared" si="1"/>
        <v>NO</v>
      </c>
      <c r="H15" t="s">
        <v>21</v>
      </c>
      <c r="I15" t="s">
        <v>2</v>
      </c>
      <c r="J15" s="10">
        <v>9360000</v>
      </c>
      <c r="K15" t="s">
        <v>22</v>
      </c>
      <c r="L15" s="11">
        <v>1348571121</v>
      </c>
    </row>
    <row r="16" spans="1:12" x14ac:dyDescent="0.25">
      <c r="A16" t="s">
        <v>19</v>
      </c>
      <c r="B16" t="s">
        <v>1</v>
      </c>
      <c r="C16" t="s">
        <v>41</v>
      </c>
      <c r="D16" s="17">
        <v>34827</v>
      </c>
      <c r="E16" s="18" t="str">
        <f t="shared" si="0"/>
        <v>SI</v>
      </c>
      <c r="F16" s="17">
        <v>46121</v>
      </c>
      <c r="G16" s="18" t="str">
        <f t="shared" si="1"/>
        <v>NO</v>
      </c>
      <c r="H16" t="s">
        <v>21</v>
      </c>
      <c r="I16" t="s">
        <v>2</v>
      </c>
      <c r="J16" s="10">
        <v>6500000</v>
      </c>
      <c r="K16" t="s">
        <v>42</v>
      </c>
      <c r="L16" s="11" t="s">
        <v>43</v>
      </c>
    </row>
    <row r="17" spans="1:12" x14ac:dyDescent="0.25">
      <c r="A17" t="s">
        <v>19</v>
      </c>
      <c r="B17" t="s">
        <v>28</v>
      </c>
      <c r="C17" t="s">
        <v>44</v>
      </c>
      <c r="D17" s="17">
        <v>34352</v>
      </c>
      <c r="E17" s="18" t="str">
        <f t="shared" si="0"/>
        <v>NO</v>
      </c>
      <c r="F17" s="17">
        <v>45855</v>
      </c>
      <c r="G17" s="18" t="str">
        <f t="shared" si="1"/>
        <v>NO</v>
      </c>
      <c r="H17" t="s">
        <v>35</v>
      </c>
      <c r="I17" t="s">
        <v>3</v>
      </c>
      <c r="J17" s="10">
        <v>2000</v>
      </c>
      <c r="K17" t="s">
        <v>36</v>
      </c>
      <c r="L17" s="11" t="s">
        <v>45</v>
      </c>
    </row>
    <row r="18" spans="1:12" x14ac:dyDescent="0.25">
      <c r="A18" t="s">
        <v>19</v>
      </c>
      <c r="B18" t="s">
        <v>28</v>
      </c>
      <c r="C18" t="s">
        <v>46</v>
      </c>
      <c r="D18" s="17">
        <v>36753</v>
      </c>
      <c r="E18" s="18" t="str">
        <f t="shared" si="0"/>
        <v>NO</v>
      </c>
      <c r="F18" s="17">
        <v>46079</v>
      </c>
      <c r="G18" s="18" t="str">
        <f t="shared" si="1"/>
        <v>NO</v>
      </c>
      <c r="H18" t="s">
        <v>35</v>
      </c>
      <c r="I18" t="s">
        <v>3</v>
      </c>
      <c r="J18" s="10">
        <v>1900</v>
      </c>
      <c r="K18" t="s">
        <v>36</v>
      </c>
      <c r="L18" s="11" t="s">
        <v>47</v>
      </c>
    </row>
    <row r="19" spans="1:12" x14ac:dyDescent="0.25">
      <c r="A19" t="s">
        <v>19</v>
      </c>
      <c r="B19" t="s">
        <v>1</v>
      </c>
      <c r="C19" t="s">
        <v>48</v>
      </c>
      <c r="D19" s="17">
        <v>33927</v>
      </c>
      <c r="E19" s="18" t="str">
        <f t="shared" si="0"/>
        <v>NO</v>
      </c>
      <c r="F19" s="17">
        <v>45880</v>
      </c>
      <c r="G19" s="18" t="str">
        <f t="shared" si="1"/>
        <v>NO</v>
      </c>
      <c r="H19" t="s">
        <v>21</v>
      </c>
      <c r="I19" t="s">
        <v>2</v>
      </c>
      <c r="J19" s="10">
        <v>5000000</v>
      </c>
      <c r="K19" t="s">
        <v>22</v>
      </c>
      <c r="L19" s="11" t="s">
        <v>49</v>
      </c>
    </row>
    <row r="20" spans="1:12" x14ac:dyDescent="0.25">
      <c r="A20" t="s">
        <v>19</v>
      </c>
      <c r="B20" t="s">
        <v>1</v>
      </c>
      <c r="C20" t="s">
        <v>50</v>
      </c>
      <c r="D20" s="17">
        <v>26847</v>
      </c>
      <c r="E20" s="18" t="str">
        <f t="shared" si="0"/>
        <v>NO</v>
      </c>
      <c r="F20" s="17">
        <v>45839</v>
      </c>
      <c r="G20" s="18" t="str">
        <f t="shared" si="1"/>
        <v>NO</v>
      </c>
      <c r="H20" t="s">
        <v>21</v>
      </c>
      <c r="I20" t="s">
        <v>2</v>
      </c>
      <c r="J20" s="10">
        <v>30500000</v>
      </c>
      <c r="K20" t="s">
        <v>51</v>
      </c>
      <c r="L20" s="11" t="s">
        <v>52</v>
      </c>
    </row>
    <row r="21" spans="1:12" x14ac:dyDescent="0.25">
      <c r="A21" t="s">
        <v>19</v>
      </c>
      <c r="B21" t="s">
        <v>28</v>
      </c>
      <c r="C21" t="s">
        <v>53</v>
      </c>
      <c r="D21" s="17">
        <v>33778</v>
      </c>
      <c r="E21" s="18" t="str">
        <f t="shared" si="0"/>
        <v>NO</v>
      </c>
      <c r="F21" s="17">
        <v>46121</v>
      </c>
      <c r="G21" s="18" t="str">
        <f t="shared" si="1"/>
        <v>NO</v>
      </c>
      <c r="H21" t="s">
        <v>35</v>
      </c>
      <c r="I21" t="s">
        <v>3</v>
      </c>
      <c r="J21" s="10">
        <v>1900</v>
      </c>
      <c r="K21" t="s">
        <v>36</v>
      </c>
      <c r="L21" s="11">
        <v>2202909156</v>
      </c>
    </row>
    <row r="22" spans="1:12" x14ac:dyDescent="0.25">
      <c r="A22" t="s">
        <v>54</v>
      </c>
      <c r="B22" t="s">
        <v>1</v>
      </c>
      <c r="C22" t="s">
        <v>55</v>
      </c>
      <c r="D22" s="17">
        <v>34421</v>
      </c>
      <c r="E22" s="18" t="str">
        <f t="shared" si="0"/>
        <v>NO</v>
      </c>
      <c r="F22" s="17">
        <v>46149</v>
      </c>
      <c r="G22" s="18" t="str">
        <f t="shared" si="1"/>
        <v>NO</v>
      </c>
      <c r="H22" t="s">
        <v>21</v>
      </c>
      <c r="I22" t="s">
        <v>2</v>
      </c>
      <c r="J22" s="10">
        <v>6500000</v>
      </c>
      <c r="K22" t="s">
        <v>56</v>
      </c>
      <c r="L22" t="s">
        <v>57</v>
      </c>
    </row>
    <row r="23" spans="1:12" x14ac:dyDescent="0.25">
      <c r="A23" t="s">
        <v>19</v>
      </c>
      <c r="B23" t="s">
        <v>28</v>
      </c>
      <c r="C23" t="s">
        <v>58</v>
      </c>
      <c r="D23" s="17">
        <v>35964</v>
      </c>
      <c r="E23" s="18" t="str">
        <f t="shared" si="0"/>
        <v>NO</v>
      </c>
      <c r="F23" s="17">
        <v>45835</v>
      </c>
      <c r="G23" s="18" t="str">
        <f t="shared" si="1"/>
        <v>NO</v>
      </c>
      <c r="H23" t="s">
        <v>35</v>
      </c>
      <c r="I23" t="s">
        <v>3</v>
      </c>
      <c r="J23" s="10">
        <v>2400</v>
      </c>
      <c r="K23" t="s">
        <v>59</v>
      </c>
      <c r="L23" s="11">
        <v>20300969714</v>
      </c>
    </row>
    <row r="24" spans="1:12" x14ac:dyDescent="0.25">
      <c r="A24" t="s">
        <v>19</v>
      </c>
      <c r="B24" t="s">
        <v>28</v>
      </c>
      <c r="C24" t="s">
        <v>60</v>
      </c>
      <c r="D24" s="17">
        <v>36577</v>
      </c>
      <c r="E24" s="18" t="str">
        <f t="shared" si="0"/>
        <v>NO</v>
      </c>
      <c r="F24" s="17">
        <v>45854</v>
      </c>
      <c r="G24" s="18" t="str">
        <f t="shared" si="1"/>
        <v>NO</v>
      </c>
      <c r="H24" t="s">
        <v>35</v>
      </c>
      <c r="I24" t="s">
        <v>3</v>
      </c>
      <c r="J24" s="10">
        <v>2000</v>
      </c>
      <c r="K24" t="s">
        <v>36</v>
      </c>
      <c r="L24" s="11" t="s">
        <v>61</v>
      </c>
    </row>
    <row r="25" spans="1:12" x14ac:dyDescent="0.25">
      <c r="A25" t="s">
        <v>19</v>
      </c>
      <c r="B25" t="s">
        <v>28</v>
      </c>
      <c r="C25" t="s">
        <v>62</v>
      </c>
      <c r="D25" s="17">
        <v>37724</v>
      </c>
      <c r="E25" s="18" t="str">
        <f t="shared" si="0"/>
        <v>NO</v>
      </c>
      <c r="F25" s="17">
        <v>46097</v>
      </c>
      <c r="G25" s="18" t="str">
        <f t="shared" si="1"/>
        <v>NO</v>
      </c>
      <c r="H25" t="s">
        <v>35</v>
      </c>
      <c r="I25" t="s">
        <v>3</v>
      </c>
      <c r="J25" s="10">
        <v>1900</v>
      </c>
      <c r="K25" t="s">
        <v>36</v>
      </c>
      <c r="L25" s="11" t="s">
        <v>63</v>
      </c>
    </row>
    <row r="26" spans="1:12" x14ac:dyDescent="0.25">
      <c r="A26" t="s">
        <v>19</v>
      </c>
      <c r="B26" t="s">
        <v>28</v>
      </c>
      <c r="C26" t="s">
        <v>64</v>
      </c>
      <c r="D26" s="17">
        <v>25329</v>
      </c>
      <c r="E26" s="18" t="str">
        <f t="shared" si="0"/>
        <v>SI</v>
      </c>
      <c r="F26" s="17">
        <v>45341</v>
      </c>
      <c r="G26" s="18" t="str">
        <f t="shared" si="1"/>
        <v>NO</v>
      </c>
      <c r="H26" t="s">
        <v>35</v>
      </c>
      <c r="I26" t="s">
        <v>3</v>
      </c>
      <c r="J26" s="10">
        <v>4000</v>
      </c>
      <c r="K26" t="s">
        <v>36</v>
      </c>
      <c r="L26" s="11" t="s">
        <v>65</v>
      </c>
    </row>
    <row r="27" spans="1:12" x14ac:dyDescent="0.25">
      <c r="A27" t="s">
        <v>19</v>
      </c>
      <c r="B27" t="s">
        <v>28</v>
      </c>
      <c r="C27" t="s">
        <v>66</v>
      </c>
      <c r="D27" s="17">
        <v>28440</v>
      </c>
      <c r="E27" s="18" t="str">
        <f t="shared" si="0"/>
        <v>NO</v>
      </c>
      <c r="F27" s="17">
        <v>46085</v>
      </c>
      <c r="G27" s="18" t="str">
        <f t="shared" si="1"/>
        <v>NO</v>
      </c>
      <c r="H27" t="s">
        <v>67</v>
      </c>
      <c r="I27" t="s">
        <v>3</v>
      </c>
      <c r="J27" s="10">
        <v>3200</v>
      </c>
      <c r="K27" t="s">
        <v>68</v>
      </c>
      <c r="L27" s="11" t="s">
        <v>69</v>
      </c>
    </row>
    <row r="28" spans="1:12" x14ac:dyDescent="0.25">
      <c r="A28" t="s">
        <v>19</v>
      </c>
      <c r="B28" t="s">
        <v>1</v>
      </c>
      <c r="C28" t="s">
        <v>70</v>
      </c>
      <c r="D28" s="17">
        <v>33554</v>
      </c>
      <c r="E28" s="18" t="str">
        <f t="shared" si="0"/>
        <v>NO</v>
      </c>
      <c r="F28" s="17">
        <v>45475</v>
      </c>
      <c r="G28" s="18" t="str">
        <f t="shared" si="1"/>
        <v>NO</v>
      </c>
      <c r="H28" t="s">
        <v>21</v>
      </c>
      <c r="I28" t="s">
        <v>2</v>
      </c>
      <c r="J28" s="10">
        <v>6760000</v>
      </c>
      <c r="K28" t="s">
        <v>71</v>
      </c>
      <c r="L28" s="11" t="s">
        <v>72</v>
      </c>
    </row>
    <row r="29" spans="1:12" x14ac:dyDescent="0.25">
      <c r="A29" t="s">
        <v>19</v>
      </c>
      <c r="B29" t="s">
        <v>28</v>
      </c>
      <c r="C29" t="s">
        <v>73</v>
      </c>
      <c r="D29" s="17">
        <v>36425</v>
      </c>
      <c r="E29" s="18" t="str">
        <f t="shared" si="0"/>
        <v>NO</v>
      </c>
      <c r="F29" s="17">
        <v>45855</v>
      </c>
      <c r="G29" s="18" t="str">
        <f t="shared" si="1"/>
        <v>NO</v>
      </c>
      <c r="H29" t="s">
        <v>35</v>
      </c>
      <c r="I29" t="s">
        <v>3</v>
      </c>
      <c r="J29" s="10">
        <v>2000</v>
      </c>
      <c r="K29" t="s">
        <v>74</v>
      </c>
      <c r="L29" s="11" t="s">
        <v>75</v>
      </c>
    </row>
    <row r="30" spans="1:12" x14ac:dyDescent="0.25">
      <c r="A30" t="s">
        <v>19</v>
      </c>
      <c r="B30" t="s">
        <v>28</v>
      </c>
      <c r="C30" t="s">
        <v>76</v>
      </c>
      <c r="D30" s="17">
        <v>36092</v>
      </c>
      <c r="E30" s="18" t="str">
        <f t="shared" si="0"/>
        <v>NO</v>
      </c>
      <c r="F30" s="17">
        <v>45597</v>
      </c>
      <c r="G30" s="18" t="str">
        <f t="shared" si="1"/>
        <v>NO</v>
      </c>
      <c r="H30" t="s">
        <v>35</v>
      </c>
      <c r="I30" t="s">
        <v>3</v>
      </c>
      <c r="J30" s="10">
        <v>2080</v>
      </c>
      <c r="K30" t="s">
        <v>36</v>
      </c>
      <c r="L30" s="11" t="s">
        <v>77</v>
      </c>
    </row>
    <row r="31" spans="1:12" x14ac:dyDescent="0.25">
      <c r="A31" t="s">
        <v>19</v>
      </c>
      <c r="B31" t="s">
        <v>28</v>
      </c>
      <c r="C31" t="s">
        <v>78</v>
      </c>
      <c r="D31" s="17">
        <v>35962</v>
      </c>
      <c r="E31" s="18" t="str">
        <f t="shared" si="0"/>
        <v>NO</v>
      </c>
      <c r="F31" s="17">
        <v>45910</v>
      </c>
      <c r="G31" s="18" t="str">
        <f t="shared" si="1"/>
        <v>NO</v>
      </c>
      <c r="H31" t="s">
        <v>35</v>
      </c>
      <c r="I31" t="s">
        <v>3</v>
      </c>
      <c r="J31" s="10">
        <v>2000</v>
      </c>
      <c r="K31" t="s">
        <v>36</v>
      </c>
      <c r="L31" s="11" t="s">
        <v>79</v>
      </c>
    </row>
    <row r="32" spans="1:12" x14ac:dyDescent="0.25">
      <c r="A32" t="s">
        <v>19</v>
      </c>
      <c r="B32" t="s">
        <v>28</v>
      </c>
      <c r="C32" t="s">
        <v>80</v>
      </c>
      <c r="D32" s="17">
        <v>35009</v>
      </c>
      <c r="E32" s="18" t="str">
        <f t="shared" si="0"/>
        <v>NO</v>
      </c>
      <c r="F32" s="17">
        <v>45855</v>
      </c>
      <c r="G32" s="18" t="str">
        <f t="shared" si="1"/>
        <v>NO</v>
      </c>
      <c r="H32" t="s">
        <v>35</v>
      </c>
      <c r="I32" t="s">
        <v>3</v>
      </c>
      <c r="J32" s="10">
        <v>2000</v>
      </c>
      <c r="K32" t="s">
        <v>36</v>
      </c>
      <c r="L32" s="11" t="s">
        <v>81</v>
      </c>
    </row>
    <row r="33" spans="1:12" x14ac:dyDescent="0.25">
      <c r="A33" t="s">
        <v>19</v>
      </c>
      <c r="B33" t="s">
        <v>1</v>
      </c>
      <c r="C33" t="s">
        <v>82</v>
      </c>
      <c r="D33" s="17">
        <v>34656</v>
      </c>
      <c r="E33" s="18" t="str">
        <f t="shared" si="0"/>
        <v>NO</v>
      </c>
      <c r="F33" s="17">
        <v>45537</v>
      </c>
      <c r="G33" s="18" t="str">
        <f t="shared" si="1"/>
        <v>NO</v>
      </c>
      <c r="H33" t="s">
        <v>21</v>
      </c>
      <c r="I33" t="s">
        <v>2</v>
      </c>
      <c r="J33" s="10">
        <v>6552000</v>
      </c>
      <c r="K33" t="s">
        <v>22</v>
      </c>
      <c r="L33" s="11" t="s">
        <v>83</v>
      </c>
    </row>
    <row r="34" spans="1:12" x14ac:dyDescent="0.25">
      <c r="A34" t="s">
        <v>19</v>
      </c>
      <c r="B34" t="s">
        <v>28</v>
      </c>
      <c r="C34" t="s">
        <v>84</v>
      </c>
      <c r="D34" s="17">
        <v>33240</v>
      </c>
      <c r="E34" s="18" t="str">
        <f t="shared" si="0"/>
        <v>NO</v>
      </c>
      <c r="F34" s="17">
        <v>45120</v>
      </c>
      <c r="G34" s="18" t="str">
        <f t="shared" si="1"/>
        <v>NO</v>
      </c>
      <c r="H34" t="s">
        <v>21</v>
      </c>
      <c r="I34" t="s">
        <v>2</v>
      </c>
      <c r="J34" s="10">
        <v>15000000</v>
      </c>
      <c r="K34" t="s">
        <v>85</v>
      </c>
      <c r="L34" s="11" t="s">
        <v>86</v>
      </c>
    </row>
    <row r="35" spans="1:12" x14ac:dyDescent="0.25">
      <c r="A35" t="s">
        <v>19</v>
      </c>
      <c r="B35" t="s">
        <v>28</v>
      </c>
      <c r="C35" t="s">
        <v>87</v>
      </c>
      <c r="D35" s="17">
        <v>35332</v>
      </c>
      <c r="E35" s="18" t="str">
        <f t="shared" si="0"/>
        <v>NO</v>
      </c>
      <c r="F35" s="17">
        <v>45854</v>
      </c>
      <c r="G35" s="18" t="str">
        <f t="shared" si="1"/>
        <v>NO</v>
      </c>
      <c r="H35" t="s">
        <v>35</v>
      </c>
      <c r="I35" t="s">
        <v>3</v>
      </c>
      <c r="J35" s="10">
        <v>2000</v>
      </c>
      <c r="K35" t="s">
        <v>36</v>
      </c>
      <c r="L35" s="11" t="s">
        <v>88</v>
      </c>
    </row>
    <row r="36" spans="1:12" x14ac:dyDescent="0.25">
      <c r="A36" t="s">
        <v>19</v>
      </c>
      <c r="B36" t="s">
        <v>28</v>
      </c>
      <c r="C36" t="s">
        <v>89</v>
      </c>
      <c r="D36" s="17">
        <v>36998</v>
      </c>
      <c r="E36" s="18" t="str">
        <f t="shared" si="0"/>
        <v>NO</v>
      </c>
      <c r="F36" s="17">
        <v>46121</v>
      </c>
      <c r="G36" s="18" t="str">
        <f t="shared" si="1"/>
        <v>NO</v>
      </c>
      <c r="H36" t="s">
        <v>21</v>
      </c>
      <c r="I36" t="s">
        <v>2</v>
      </c>
      <c r="J36" s="10">
        <v>9600000</v>
      </c>
      <c r="K36" t="s">
        <v>22</v>
      </c>
      <c r="L36" s="11">
        <v>25868648590</v>
      </c>
    </row>
    <row r="37" spans="1:12" x14ac:dyDescent="0.25">
      <c r="A37" t="s">
        <v>19</v>
      </c>
      <c r="B37" t="s">
        <v>1</v>
      </c>
      <c r="C37" t="s">
        <v>90</v>
      </c>
      <c r="D37" s="17">
        <v>36135</v>
      </c>
      <c r="E37" s="18" t="str">
        <f t="shared" si="0"/>
        <v>NO</v>
      </c>
      <c r="F37" s="17">
        <v>45597</v>
      </c>
      <c r="G37" s="18" t="str">
        <f t="shared" si="1"/>
        <v>NO</v>
      </c>
      <c r="H37" t="s">
        <v>35</v>
      </c>
      <c r="I37" t="s">
        <v>3</v>
      </c>
      <c r="J37" s="10">
        <v>2080</v>
      </c>
      <c r="K37" t="s">
        <v>36</v>
      </c>
      <c r="L37" s="11">
        <v>2208420372</v>
      </c>
    </row>
    <row r="38" spans="1:12" x14ac:dyDescent="0.25">
      <c r="A38" t="s">
        <v>19</v>
      </c>
      <c r="B38" t="s">
        <v>28</v>
      </c>
      <c r="C38" t="s">
        <v>91</v>
      </c>
      <c r="D38" s="17">
        <v>33486</v>
      </c>
      <c r="E38" s="18" t="str">
        <f t="shared" si="0"/>
        <v>NO</v>
      </c>
      <c r="F38" s="17">
        <v>46072</v>
      </c>
      <c r="G38" s="18" t="str">
        <f t="shared" si="1"/>
        <v>NO</v>
      </c>
      <c r="H38" t="s">
        <v>35</v>
      </c>
      <c r="I38" t="s">
        <v>3</v>
      </c>
      <c r="J38" s="10">
        <v>1900</v>
      </c>
      <c r="K38" t="s">
        <v>36</v>
      </c>
      <c r="L38" s="11" t="s">
        <v>92</v>
      </c>
    </row>
    <row r="39" spans="1:12" x14ac:dyDescent="0.25">
      <c r="A39" t="s">
        <v>19</v>
      </c>
      <c r="B39" t="s">
        <v>28</v>
      </c>
      <c r="C39" t="s">
        <v>93</v>
      </c>
      <c r="D39" s="17">
        <v>22862</v>
      </c>
      <c r="E39" s="18" t="str">
        <f t="shared" si="0"/>
        <v>NO</v>
      </c>
      <c r="F39" s="17">
        <v>45875</v>
      </c>
      <c r="G39" s="18" t="str">
        <f t="shared" si="1"/>
        <v>NO</v>
      </c>
      <c r="H39" t="s">
        <v>35</v>
      </c>
      <c r="I39" t="s">
        <v>3</v>
      </c>
      <c r="J39" s="10">
        <v>3900</v>
      </c>
      <c r="K39" t="s">
        <v>94</v>
      </c>
      <c r="L39" s="11" t="s">
        <v>95</v>
      </c>
    </row>
    <row r="40" spans="1:12" x14ac:dyDescent="0.25">
      <c r="A40" t="s">
        <v>19</v>
      </c>
      <c r="B40" t="s">
        <v>28</v>
      </c>
      <c r="C40" t="s">
        <v>96</v>
      </c>
      <c r="D40" s="17">
        <v>34956</v>
      </c>
      <c r="E40" s="18" t="str">
        <f t="shared" si="0"/>
        <v>NO</v>
      </c>
      <c r="F40" s="17">
        <v>45854</v>
      </c>
      <c r="G40" s="18" t="str">
        <f t="shared" si="1"/>
        <v>NO</v>
      </c>
      <c r="H40" t="s">
        <v>35</v>
      </c>
      <c r="I40" t="s">
        <v>3</v>
      </c>
      <c r="J40" s="10">
        <v>2000</v>
      </c>
      <c r="K40" t="s">
        <v>36</v>
      </c>
      <c r="L40" s="11" t="s">
        <v>97</v>
      </c>
    </row>
    <row r="41" spans="1:12" x14ac:dyDescent="0.25">
      <c r="A41" t="s">
        <v>19</v>
      </c>
      <c r="B41" t="s">
        <v>28</v>
      </c>
      <c r="C41" t="s">
        <v>98</v>
      </c>
      <c r="D41" s="17">
        <v>30559</v>
      </c>
      <c r="E41" s="18" t="str">
        <f t="shared" si="0"/>
        <v>NO</v>
      </c>
      <c r="F41" s="17">
        <v>46125</v>
      </c>
      <c r="G41" s="18" t="str">
        <f t="shared" si="1"/>
        <v>NO</v>
      </c>
      <c r="H41" t="s">
        <v>21</v>
      </c>
      <c r="I41" t="s">
        <v>2</v>
      </c>
      <c r="J41" s="10">
        <v>13000000</v>
      </c>
      <c r="K41" t="s">
        <v>22</v>
      </c>
      <c r="L41" s="11">
        <v>48706021125</v>
      </c>
    </row>
    <row r="42" spans="1:12" x14ac:dyDescent="0.25">
      <c r="A42" t="s">
        <v>19</v>
      </c>
      <c r="B42" t="s">
        <v>1</v>
      </c>
      <c r="C42" t="s">
        <v>99</v>
      </c>
      <c r="D42" s="17">
        <v>34294</v>
      </c>
      <c r="E42" s="18" t="str">
        <f t="shared" si="0"/>
        <v>NO</v>
      </c>
      <c r="F42" s="17">
        <v>45544</v>
      </c>
      <c r="G42" s="18" t="str">
        <f t="shared" si="1"/>
        <v>NO</v>
      </c>
      <c r="H42" t="s">
        <v>35</v>
      </c>
      <c r="I42" t="s">
        <v>2</v>
      </c>
      <c r="J42" s="10">
        <v>7800000</v>
      </c>
      <c r="K42" t="s">
        <v>22</v>
      </c>
      <c r="L42" s="11" t="s">
        <v>100</v>
      </c>
    </row>
    <row r="43" spans="1:12" x14ac:dyDescent="0.25">
      <c r="A43" t="s">
        <v>54</v>
      </c>
      <c r="B43" t="s">
        <v>1</v>
      </c>
      <c r="C43" t="s">
        <v>101</v>
      </c>
      <c r="D43" s="17">
        <v>33405</v>
      </c>
      <c r="E43" s="18" t="str">
        <f t="shared" si="0"/>
        <v>NO</v>
      </c>
      <c r="F43" s="17">
        <v>46155</v>
      </c>
      <c r="G43" s="18" t="str">
        <f t="shared" si="1"/>
        <v>NO</v>
      </c>
      <c r="H43" t="s">
        <v>21</v>
      </c>
      <c r="I43" t="s">
        <v>2</v>
      </c>
      <c r="J43" s="10">
        <v>5000000</v>
      </c>
      <c r="K43" t="s">
        <v>6</v>
      </c>
      <c r="L43" t="s">
        <v>102</v>
      </c>
    </row>
  </sheetData>
  <sheetProtection algorithmName="SHA-512" hashValue="9KhYJTuYMYzW7mjAsjeycIWC8lVz9fTDj8v6UZYfvcuA3a/Ag2LzWSN+zTmz1d4hjig/6LL8bdydx1WmIEFD4A==" saltValue="htGqq+cs6hfwWgpY8ytpbw==" spinCount="100000" sheet="1" objects="1" scenarios="1"/>
  <autoFilter ref="A6:L6" xr:uid="{00000000-0001-0000-0000-000000000000}"/>
  <sortState xmlns:xlrd2="http://schemas.microsoft.com/office/spreadsheetml/2017/richdata2" ref="A3:L26">
    <sortCondition ref="F3:F26"/>
    <sortCondition ref="B3:B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zoomScale="70" zoomScaleNormal="70" workbookViewId="0">
      <selection activeCell="F9" sqref="F9"/>
    </sheetView>
  </sheetViews>
  <sheetFormatPr baseColWidth="10" defaultColWidth="11.42578125" defaultRowHeight="15" x14ac:dyDescent="0.25"/>
  <cols>
    <col min="1" max="1" width="6.42578125" bestFit="1" customWidth="1"/>
    <col min="2" max="2" width="30" bestFit="1" customWidth="1"/>
    <col min="3" max="3" width="25" customWidth="1"/>
    <col min="4" max="4" width="14.42578125" bestFit="1" customWidth="1"/>
    <col min="5" max="5" width="19.42578125" style="19" bestFit="1" customWidth="1"/>
    <col min="6" max="6" width="19.42578125" style="9" bestFit="1" customWidth="1"/>
    <col min="7" max="7" width="22" bestFit="1" customWidth="1"/>
    <col min="8" max="8" width="21.140625" bestFit="1" customWidth="1"/>
    <col min="9" max="9" width="14.140625" customWidth="1"/>
    <col min="10" max="10" width="54.5703125" customWidth="1"/>
  </cols>
  <sheetData>
    <row r="1" spans="1:10" x14ac:dyDescent="0.25">
      <c r="B1" s="2">
        <v>46082</v>
      </c>
      <c r="C1" t="s">
        <v>4</v>
      </c>
      <c r="D1">
        <v>31</v>
      </c>
    </row>
    <row r="3" spans="1:10" x14ac:dyDescent="0.25">
      <c r="A3" s="1" t="s">
        <v>0</v>
      </c>
      <c r="B3" s="1" t="s">
        <v>121</v>
      </c>
      <c r="C3" s="1" t="str">
        <f>'TALENTOS BEE'!B6</f>
        <v xml:space="preserve"> TIPO CONTRATO</v>
      </c>
      <c r="D3" s="1" t="s">
        <v>122</v>
      </c>
      <c r="E3" s="1" t="s">
        <v>123</v>
      </c>
      <c r="F3" s="1" t="s">
        <v>5</v>
      </c>
      <c r="G3" s="1" t="s">
        <v>124</v>
      </c>
      <c r="H3" s="1" t="s">
        <v>105</v>
      </c>
      <c r="I3" s="1" t="s">
        <v>106</v>
      </c>
      <c r="J3" s="1" t="s">
        <v>107</v>
      </c>
    </row>
    <row r="4" spans="1:10" x14ac:dyDescent="0.25">
      <c r="A4" s="3">
        <v>1</v>
      </c>
      <c r="B4" s="3" t="s">
        <v>108</v>
      </c>
      <c r="C4" s="23" t="s">
        <v>1</v>
      </c>
      <c r="D4" s="23" t="s">
        <v>133</v>
      </c>
      <c r="E4" s="25">
        <f>'TALENTOS BEE'!D7</f>
        <v>31207</v>
      </c>
      <c r="F4" s="24" t="s">
        <v>120</v>
      </c>
      <c r="G4" s="25">
        <f>'TALENTOS BEE'!F7</f>
        <v>44599</v>
      </c>
      <c r="H4" s="20" t="s">
        <v>120</v>
      </c>
      <c r="I4" s="20"/>
      <c r="J4" s="4" t="s">
        <v>119</v>
      </c>
    </row>
    <row r="5" spans="1:10" x14ac:dyDescent="0.25">
      <c r="A5" s="3">
        <v>4</v>
      </c>
      <c r="B5" s="3" t="s">
        <v>109</v>
      </c>
      <c r="C5" s="23" t="s">
        <v>1</v>
      </c>
      <c r="D5" s="23" t="s">
        <v>133</v>
      </c>
      <c r="E5" s="25">
        <f>'TALENTOS BEE'!D10</f>
        <v>32845</v>
      </c>
      <c r="F5" s="24" t="s">
        <v>120</v>
      </c>
      <c r="G5" s="25">
        <f>'TALENTOS BEE'!F10</f>
        <v>44995</v>
      </c>
      <c r="H5" s="20" t="s">
        <v>120</v>
      </c>
      <c r="I5" s="20"/>
      <c r="J5" s="4" t="s">
        <v>125</v>
      </c>
    </row>
    <row r="6" spans="1:10" x14ac:dyDescent="0.25">
      <c r="A6" s="3">
        <v>6</v>
      </c>
      <c r="B6" s="3" t="s">
        <v>110</v>
      </c>
      <c r="C6" s="23" t="s">
        <v>134</v>
      </c>
      <c r="D6" s="23" t="s">
        <v>21</v>
      </c>
      <c r="E6" s="25">
        <f>'TALENTOS BEE'!D12</f>
        <v>35246</v>
      </c>
      <c r="F6" s="24" t="s">
        <v>120</v>
      </c>
      <c r="G6" s="25">
        <f>'TALENTOS BEE'!F12</f>
        <v>46125</v>
      </c>
      <c r="H6" s="20" t="s">
        <v>120</v>
      </c>
      <c r="I6" s="21"/>
      <c r="J6" s="5" t="s">
        <v>126</v>
      </c>
    </row>
    <row r="7" spans="1:10" x14ac:dyDescent="0.25">
      <c r="A7" s="3">
        <v>7</v>
      </c>
      <c r="B7" s="3" t="s">
        <v>111</v>
      </c>
      <c r="C7" s="23" t="s">
        <v>1</v>
      </c>
      <c r="D7" s="23" t="s">
        <v>21</v>
      </c>
      <c r="E7" s="25">
        <f>'TALENTOS BEE'!D13</f>
        <v>35671</v>
      </c>
      <c r="F7" s="24" t="s">
        <v>120</v>
      </c>
      <c r="G7" s="25">
        <f>'TALENTOS BEE'!F13</f>
        <v>46076</v>
      </c>
      <c r="H7" s="20" t="s">
        <v>120</v>
      </c>
      <c r="I7" s="21"/>
      <c r="J7" s="5" t="s">
        <v>127</v>
      </c>
    </row>
    <row r="8" spans="1:10" x14ac:dyDescent="0.25">
      <c r="A8" s="3">
        <v>8</v>
      </c>
      <c r="B8" s="3" t="s">
        <v>112</v>
      </c>
      <c r="C8" s="23" t="s">
        <v>1</v>
      </c>
      <c r="D8" s="23" t="s">
        <v>21</v>
      </c>
      <c r="E8" s="25">
        <f>'TALENTOS BEE'!D14</f>
        <v>34229</v>
      </c>
      <c r="F8" s="24" t="s">
        <v>120</v>
      </c>
      <c r="G8" s="25">
        <f>'TALENTOS BEE'!F14</f>
        <v>45597</v>
      </c>
      <c r="H8" s="20" t="s">
        <v>120</v>
      </c>
      <c r="I8" s="21"/>
      <c r="J8" s="5" t="s">
        <v>128</v>
      </c>
    </row>
    <row r="9" spans="1:10" ht="30" x14ac:dyDescent="0.25">
      <c r="A9" s="3">
        <v>11</v>
      </c>
      <c r="B9" s="3" t="s">
        <v>113</v>
      </c>
      <c r="C9" s="23" t="s">
        <v>1</v>
      </c>
      <c r="D9" s="23" t="s">
        <v>21</v>
      </c>
      <c r="E9" s="25">
        <f>'TALENTOS BEE'!D17</f>
        <v>34352</v>
      </c>
      <c r="F9" s="24" t="s">
        <v>120</v>
      </c>
      <c r="G9" s="25">
        <f>'TALENTOS BEE'!F17</f>
        <v>45855</v>
      </c>
      <c r="H9" s="20" t="s">
        <v>120</v>
      </c>
      <c r="I9" s="20"/>
      <c r="J9" s="26" t="s">
        <v>129</v>
      </c>
    </row>
    <row r="10" spans="1:10" x14ac:dyDescent="0.25">
      <c r="A10" s="3">
        <v>12</v>
      </c>
      <c r="B10" s="3" t="s">
        <v>114</v>
      </c>
      <c r="C10" s="23" t="s">
        <v>1</v>
      </c>
      <c r="D10" s="23" t="s">
        <v>21</v>
      </c>
      <c r="E10" s="25">
        <f>'TALENTOS BEE'!D18</f>
        <v>36753</v>
      </c>
      <c r="F10" s="24" t="s">
        <v>120</v>
      </c>
      <c r="G10" s="25">
        <f>'TALENTOS BEE'!F18</f>
        <v>46079</v>
      </c>
      <c r="H10" s="20" t="s">
        <v>120</v>
      </c>
      <c r="I10" s="20"/>
      <c r="J10" s="4"/>
    </row>
    <row r="11" spans="1:10" x14ac:dyDescent="0.25">
      <c r="A11" s="3">
        <v>13</v>
      </c>
      <c r="B11" s="3" t="s">
        <v>115</v>
      </c>
      <c r="C11" s="23" t="s">
        <v>134</v>
      </c>
      <c r="D11" s="23" t="s">
        <v>133</v>
      </c>
      <c r="E11" s="25">
        <f>'TALENTOS BEE'!D19</f>
        <v>33927</v>
      </c>
      <c r="F11" s="24" t="s">
        <v>120</v>
      </c>
      <c r="G11" s="25">
        <f>'TALENTOS BEE'!F19</f>
        <v>45880</v>
      </c>
      <c r="H11" s="20" t="s">
        <v>120</v>
      </c>
      <c r="I11" s="20"/>
      <c r="J11" s="4" t="s">
        <v>128</v>
      </c>
    </row>
    <row r="12" spans="1:10" x14ac:dyDescent="0.25">
      <c r="A12" s="3">
        <v>14</v>
      </c>
      <c r="B12" s="3" t="s">
        <v>116</v>
      </c>
      <c r="C12" s="23" t="s">
        <v>134</v>
      </c>
      <c r="D12" s="23" t="s">
        <v>133</v>
      </c>
      <c r="E12" s="25">
        <f>'TALENTOS BEE'!D20</f>
        <v>26847</v>
      </c>
      <c r="F12" s="24" t="s">
        <v>120</v>
      </c>
      <c r="G12" s="25">
        <f>'TALENTOS BEE'!F20</f>
        <v>45839</v>
      </c>
      <c r="H12" s="20" t="s">
        <v>120</v>
      </c>
      <c r="I12" s="20"/>
      <c r="J12" s="4" t="s">
        <v>130</v>
      </c>
    </row>
    <row r="13" spans="1:10" ht="15.75" customHeight="1" x14ac:dyDescent="0.25">
      <c r="A13" s="3">
        <v>15</v>
      </c>
      <c r="B13" s="3" t="s">
        <v>117</v>
      </c>
      <c r="C13" s="23" t="s">
        <v>134</v>
      </c>
      <c r="D13" s="23" t="s">
        <v>133</v>
      </c>
      <c r="E13" s="25">
        <f>'TALENTOS BEE'!D21</f>
        <v>33778</v>
      </c>
      <c r="F13" s="24" t="s">
        <v>120</v>
      </c>
      <c r="G13" s="25">
        <f>'TALENTOS BEE'!F21</f>
        <v>46121</v>
      </c>
      <c r="H13" s="20" t="s">
        <v>120</v>
      </c>
      <c r="I13" s="22"/>
      <c r="J13" s="7" t="s">
        <v>131</v>
      </c>
    </row>
    <row r="14" spans="1:10" x14ac:dyDescent="0.25">
      <c r="A14" s="3">
        <v>17</v>
      </c>
      <c r="B14" s="3" t="s">
        <v>118</v>
      </c>
      <c r="C14" s="23" t="s">
        <v>134</v>
      </c>
      <c r="D14" s="23" t="s">
        <v>133</v>
      </c>
      <c r="E14" s="25">
        <f>'TALENTOS BEE'!D23</f>
        <v>35964</v>
      </c>
      <c r="F14" s="24" t="s">
        <v>120</v>
      </c>
      <c r="G14" s="25">
        <f>'TALENTOS BEE'!F23</f>
        <v>45835</v>
      </c>
      <c r="H14" s="20" t="s">
        <v>120</v>
      </c>
      <c r="I14" s="22"/>
      <c r="J14" s="7" t="s">
        <v>132</v>
      </c>
    </row>
    <row r="15" spans="1:10" x14ac:dyDescent="0.25">
      <c r="A15" s="3">
        <v>18</v>
      </c>
      <c r="B15" s="3"/>
      <c r="C15" s="23"/>
      <c r="D15" s="23"/>
      <c r="E15" s="25"/>
      <c r="F15" s="21"/>
      <c r="G15" s="25"/>
      <c r="H15" s="20"/>
      <c r="I15" s="20"/>
      <c r="J15" s="4"/>
    </row>
    <row r="16" spans="1:10" x14ac:dyDescent="0.25">
      <c r="A16" s="3">
        <v>19</v>
      </c>
      <c r="B16" s="3"/>
      <c r="C16" s="23"/>
      <c r="D16" s="23"/>
      <c r="E16" s="25"/>
      <c r="F16" s="21"/>
      <c r="G16" s="25"/>
      <c r="H16" s="20"/>
      <c r="I16" s="20"/>
      <c r="J16" s="4"/>
    </row>
    <row r="17" spans="1:10" x14ac:dyDescent="0.25">
      <c r="A17" s="3">
        <v>20</v>
      </c>
      <c r="B17" s="3"/>
      <c r="C17" s="23"/>
      <c r="D17" s="23"/>
      <c r="E17" s="25"/>
      <c r="F17" s="21"/>
      <c r="G17" s="25"/>
      <c r="H17" s="21"/>
      <c r="I17" s="21"/>
      <c r="J17" s="5"/>
    </row>
    <row r="18" spans="1:10" x14ac:dyDescent="0.25">
      <c r="A18" s="3">
        <v>21</v>
      </c>
      <c r="B18" s="3"/>
      <c r="C18" s="23"/>
      <c r="D18" s="23"/>
      <c r="E18" s="25"/>
      <c r="F18" s="21"/>
      <c r="G18" s="25"/>
      <c r="H18" s="20"/>
      <c r="I18" s="20"/>
      <c r="J18" s="4"/>
    </row>
    <row r="19" spans="1:10" x14ac:dyDescent="0.25">
      <c r="A19" s="3">
        <v>23</v>
      </c>
      <c r="B19" s="3"/>
      <c r="C19" s="23"/>
      <c r="D19" s="23"/>
      <c r="E19" s="25"/>
      <c r="F19" s="21"/>
      <c r="G19" s="25"/>
      <c r="H19" s="21"/>
      <c r="I19" s="21"/>
      <c r="J19" s="5"/>
    </row>
    <row r="20" spans="1:10" x14ac:dyDescent="0.25">
      <c r="A20" s="3">
        <v>24</v>
      </c>
      <c r="B20" s="3"/>
      <c r="C20" s="23"/>
      <c r="D20" s="23"/>
      <c r="E20" s="25"/>
      <c r="F20" s="21"/>
      <c r="G20" s="25"/>
      <c r="H20" s="20"/>
      <c r="I20" s="20"/>
      <c r="J20" s="4"/>
    </row>
    <row r="21" spans="1:10" x14ac:dyDescent="0.25">
      <c r="A21" s="3">
        <v>25</v>
      </c>
      <c r="B21" s="3"/>
      <c r="C21" s="23"/>
      <c r="D21" s="23"/>
      <c r="E21" s="25"/>
      <c r="F21" s="21"/>
      <c r="G21" s="25"/>
      <c r="H21" s="20"/>
      <c r="I21" s="20"/>
      <c r="J21" s="4"/>
    </row>
    <row r="22" spans="1:10" x14ac:dyDescent="0.25">
      <c r="A22" s="3">
        <v>26</v>
      </c>
      <c r="B22" s="3"/>
      <c r="C22" s="23"/>
      <c r="D22" s="23"/>
      <c r="E22" s="25"/>
      <c r="F22" s="21"/>
      <c r="G22" s="25"/>
      <c r="H22" s="21"/>
      <c r="I22" s="21"/>
      <c r="J22" s="5"/>
    </row>
    <row r="23" spans="1:10" x14ac:dyDescent="0.25">
      <c r="A23" s="3">
        <v>28</v>
      </c>
      <c r="B23" s="3"/>
      <c r="C23" s="23"/>
      <c r="D23" s="23"/>
      <c r="E23" s="25"/>
      <c r="F23" s="23"/>
      <c r="G23" s="25"/>
      <c r="H23" s="23"/>
      <c r="I23" s="23"/>
      <c r="J23" s="6"/>
    </row>
    <row r="24" spans="1:10" x14ac:dyDescent="0.25">
      <c r="A24" s="3">
        <v>29</v>
      </c>
      <c r="B24" s="3"/>
      <c r="C24" s="23"/>
      <c r="D24" s="23"/>
      <c r="E24" s="25"/>
      <c r="F24" s="23"/>
      <c r="G24" s="25"/>
      <c r="H24" s="23"/>
      <c r="I24" s="23"/>
      <c r="J24" s="6"/>
    </row>
    <row r="25" spans="1:10" x14ac:dyDescent="0.25">
      <c r="A25" s="3">
        <v>30</v>
      </c>
      <c r="B25" s="3"/>
      <c r="C25" s="23"/>
      <c r="D25" s="23"/>
      <c r="E25" s="25"/>
      <c r="F25" s="23"/>
      <c r="G25" s="25"/>
      <c r="H25" s="23"/>
      <c r="I25" s="23"/>
      <c r="J25" s="6"/>
    </row>
    <row r="26" spans="1:10" x14ac:dyDescent="0.25">
      <c r="A26" s="3">
        <v>31</v>
      </c>
      <c r="B26" s="3"/>
      <c r="C26" s="23"/>
      <c r="D26" s="23"/>
      <c r="E26" s="25"/>
      <c r="F26" s="23"/>
      <c r="G26" s="25"/>
      <c r="H26" s="23"/>
      <c r="I26" s="23"/>
      <c r="J26" s="6"/>
    </row>
    <row r="27" spans="1:10" x14ac:dyDescent="0.25">
      <c r="A27" s="3">
        <v>32</v>
      </c>
      <c r="B27" s="3"/>
      <c r="C27" s="23"/>
      <c r="D27" s="23"/>
      <c r="E27" s="25"/>
      <c r="F27" s="23"/>
      <c r="G27" s="25"/>
      <c r="H27" s="23"/>
      <c r="I27" s="23"/>
      <c r="J27" s="6"/>
    </row>
    <row r="28" spans="1:10" x14ac:dyDescent="0.25">
      <c r="A28" s="3">
        <v>33</v>
      </c>
      <c r="B28" s="3"/>
      <c r="C28" s="23"/>
      <c r="D28" s="23"/>
      <c r="E28" s="25"/>
      <c r="F28" s="23"/>
      <c r="G28" s="25"/>
      <c r="H28" s="23"/>
      <c r="I28" s="23"/>
      <c r="J28" s="6"/>
    </row>
    <row r="29" spans="1:10" x14ac:dyDescent="0.25">
      <c r="A29" s="3">
        <v>34</v>
      </c>
      <c r="B29" s="3"/>
      <c r="C29" s="23"/>
      <c r="D29" s="23"/>
      <c r="E29" s="25"/>
      <c r="F29" s="23"/>
      <c r="G29" s="25"/>
      <c r="H29" s="23"/>
      <c r="I29" s="23"/>
      <c r="J29" s="6"/>
    </row>
    <row r="30" spans="1:10" x14ac:dyDescent="0.25">
      <c r="A30" s="3">
        <v>36</v>
      </c>
      <c r="B30" s="3"/>
      <c r="C30" s="23"/>
      <c r="D30" s="23"/>
      <c r="E30" s="25"/>
      <c r="F30" s="23"/>
      <c r="G30" s="25"/>
      <c r="H30" s="23"/>
      <c r="I30" s="23"/>
      <c r="J30" s="8"/>
    </row>
    <row r="31" spans="1:10" x14ac:dyDescent="0.25">
      <c r="A31" s="3">
        <v>38</v>
      </c>
      <c r="B31" s="3"/>
      <c r="C31" s="23"/>
      <c r="D31" s="23"/>
      <c r="E31" s="25"/>
      <c r="F31" s="23"/>
      <c r="G31" s="25"/>
      <c r="H31" s="23"/>
      <c r="I31" s="23"/>
      <c r="J31" s="6"/>
    </row>
    <row r="32" spans="1:10" x14ac:dyDescent="0.25">
      <c r="A32" s="3">
        <v>39</v>
      </c>
      <c r="B32" s="3"/>
      <c r="C32" s="23"/>
      <c r="D32" s="23"/>
      <c r="E32" s="25"/>
      <c r="F32" s="23"/>
      <c r="G32" s="25"/>
      <c r="H32" s="23"/>
      <c r="I32" s="23"/>
      <c r="J32" s="6"/>
    </row>
  </sheetData>
  <sheetProtection autoFilter="0"/>
  <autoFilter ref="A3:H32" xr:uid="{00000000-0001-0000-0200-000000000000}"/>
  <phoneticPr fontId="3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TALENTOS BEE</vt:lpstr>
      <vt:lpstr>REPORTE NOVEDADES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Luisa Fernanda  Granada Ramírez</cp:lastModifiedBy>
  <cp:revision/>
  <dcterms:created xsi:type="dcterms:W3CDTF">2023-07-20T01:05:25Z</dcterms:created>
  <dcterms:modified xsi:type="dcterms:W3CDTF">2026-06-24T16:43:00Z</dcterms:modified>
  <cp:category/>
  <cp:contentStatus/>
</cp:coreProperties>
</file>