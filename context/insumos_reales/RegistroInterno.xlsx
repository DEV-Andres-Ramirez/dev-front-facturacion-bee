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ee\ProcesoFacturacion\Archivos de Prueba\"/>
    </mc:Choice>
  </mc:AlternateContent>
  <xr:revisionPtr revIDLastSave="0" documentId="8_{E3015225-0FB2-4B74-8499-DAEF45093A14}" xr6:coauthVersionLast="47" xr6:coauthVersionMax="47" xr10:uidLastSave="{00000000-0000-0000-0000-000000000000}"/>
  <bookViews>
    <workbookView xWindow="-120" yWindow="-120" windowWidth="20730" windowHeight="11040" xr2:uid="{1FABE422-CB63-4945-8445-F40CBA5AC865}"/>
  </bookViews>
  <sheets>
    <sheet name="InfoFactura" sheetId="1" r:id="rId1"/>
  </sheets>
  <externalReferences>
    <externalReference r:id="rId2"/>
  </externalReferences>
  <definedNames>
    <definedName name="_xlnm._FilterDatabase" localSheetId="0" hidden="1">InfoFactura!$A$1:$K$51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1" i="1" l="1"/>
  <c r="K51" i="1"/>
  <c r="J51" i="1"/>
  <c r="I51" i="1"/>
  <c r="H51" i="1"/>
  <c r="G51" i="1"/>
  <c r="F51" i="1"/>
  <c r="E51" i="1"/>
  <c r="M51" i="1" s="1"/>
  <c r="D51" i="1"/>
  <c r="C51" i="1"/>
  <c r="B51" i="1"/>
  <c r="A51" i="1"/>
  <c r="L50" i="1"/>
  <c r="K50" i="1"/>
  <c r="J50" i="1"/>
  <c r="I50" i="1"/>
  <c r="H50" i="1"/>
  <c r="G50" i="1"/>
  <c r="F50" i="1"/>
  <c r="E50" i="1"/>
  <c r="M50" i="1" s="1"/>
  <c r="D50" i="1"/>
  <c r="C50" i="1"/>
  <c r="B50" i="1"/>
  <c r="A50" i="1"/>
  <c r="L49" i="1"/>
  <c r="K49" i="1"/>
  <c r="J49" i="1"/>
  <c r="I49" i="1"/>
  <c r="H49" i="1"/>
  <c r="G49" i="1"/>
  <c r="F49" i="1"/>
  <c r="E49" i="1"/>
  <c r="M49" i="1" s="1"/>
  <c r="D49" i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L47" i="1"/>
  <c r="K47" i="1"/>
  <c r="J47" i="1"/>
  <c r="I47" i="1"/>
  <c r="H47" i="1"/>
  <c r="G47" i="1"/>
  <c r="F47" i="1"/>
  <c r="E47" i="1"/>
  <c r="M47" i="1" s="1"/>
  <c r="D47" i="1"/>
  <c r="C47" i="1"/>
  <c r="B47" i="1"/>
  <c r="A47" i="1"/>
  <c r="L46" i="1"/>
  <c r="K46" i="1"/>
  <c r="J46" i="1"/>
  <c r="I46" i="1"/>
  <c r="H46" i="1"/>
  <c r="G46" i="1"/>
  <c r="F46" i="1"/>
  <c r="E46" i="1"/>
  <c r="M46" i="1" s="1"/>
  <c r="D46" i="1"/>
  <c r="C46" i="1"/>
  <c r="B46" i="1"/>
  <c r="A46" i="1"/>
  <c r="L45" i="1"/>
  <c r="K45" i="1"/>
  <c r="J45" i="1"/>
  <c r="I45" i="1"/>
  <c r="H45" i="1"/>
  <c r="G45" i="1"/>
  <c r="F45" i="1"/>
  <c r="E45" i="1"/>
  <c r="M45" i="1" s="1"/>
  <c r="D45" i="1"/>
  <c r="C45" i="1"/>
  <c r="B45" i="1"/>
  <c r="A45" i="1"/>
  <c r="L44" i="1"/>
  <c r="K44" i="1"/>
  <c r="J44" i="1"/>
  <c r="I44" i="1"/>
  <c r="H44" i="1"/>
  <c r="G44" i="1"/>
  <c r="F44" i="1"/>
  <c r="E44" i="1"/>
  <c r="M44" i="1" s="1"/>
  <c r="D44" i="1"/>
  <c r="C44" i="1"/>
  <c r="B44" i="1"/>
  <c r="A44" i="1"/>
  <c r="L43" i="1"/>
  <c r="K43" i="1"/>
  <c r="J43" i="1"/>
  <c r="I43" i="1"/>
  <c r="H43" i="1"/>
  <c r="G43" i="1"/>
  <c r="F43" i="1"/>
  <c r="E43" i="1"/>
  <c r="M43" i="1" s="1"/>
  <c r="D43" i="1"/>
  <c r="C43" i="1"/>
  <c r="B43" i="1"/>
  <c r="A43" i="1"/>
  <c r="L42" i="1"/>
  <c r="K42" i="1"/>
  <c r="J42" i="1"/>
  <c r="I42" i="1"/>
  <c r="H42" i="1"/>
  <c r="G42" i="1"/>
  <c r="F42" i="1"/>
  <c r="E42" i="1"/>
  <c r="M42" i="1" s="1"/>
  <c r="D42" i="1"/>
  <c r="C42" i="1"/>
  <c r="B42" i="1"/>
  <c r="A42" i="1"/>
  <c r="L41" i="1"/>
  <c r="K41" i="1"/>
  <c r="J41" i="1"/>
  <c r="I41" i="1"/>
  <c r="H41" i="1"/>
  <c r="G41" i="1"/>
  <c r="F41" i="1"/>
  <c r="E41" i="1"/>
  <c r="M41" i="1" s="1"/>
  <c r="D41" i="1"/>
  <c r="C41" i="1"/>
  <c r="B41" i="1"/>
  <c r="A41" i="1"/>
  <c r="L40" i="1"/>
  <c r="K40" i="1"/>
  <c r="J40" i="1"/>
  <c r="I40" i="1"/>
  <c r="H40" i="1"/>
  <c r="G40" i="1"/>
  <c r="F40" i="1"/>
  <c r="E40" i="1"/>
  <c r="M40" i="1" s="1"/>
  <c r="D40" i="1"/>
  <c r="C40" i="1"/>
  <c r="B40" i="1"/>
  <c r="A40" i="1"/>
  <c r="L39" i="1"/>
  <c r="K39" i="1"/>
  <c r="J39" i="1"/>
  <c r="I39" i="1"/>
  <c r="H39" i="1"/>
  <c r="G39" i="1"/>
  <c r="F39" i="1"/>
  <c r="E39" i="1"/>
  <c r="M39" i="1" s="1"/>
  <c r="D39" i="1"/>
  <c r="C39" i="1"/>
  <c r="B39" i="1"/>
  <c r="A39" i="1"/>
  <c r="L38" i="1"/>
  <c r="K38" i="1"/>
  <c r="J38" i="1"/>
  <c r="I38" i="1"/>
  <c r="H38" i="1"/>
  <c r="G38" i="1"/>
  <c r="F38" i="1"/>
  <c r="E38" i="1"/>
  <c r="M38" i="1" s="1"/>
  <c r="D38" i="1"/>
  <c r="C38" i="1"/>
  <c r="B38" i="1"/>
  <c r="A38" i="1"/>
  <c r="L37" i="1"/>
  <c r="K37" i="1"/>
  <c r="J37" i="1"/>
  <c r="I37" i="1"/>
  <c r="H37" i="1"/>
  <c r="G37" i="1"/>
  <c r="F37" i="1"/>
  <c r="E37" i="1"/>
  <c r="M37" i="1" s="1"/>
  <c r="D37" i="1"/>
  <c r="C37" i="1"/>
  <c r="B37" i="1"/>
  <c r="A37" i="1"/>
  <c r="L36" i="1"/>
  <c r="K36" i="1"/>
  <c r="J36" i="1"/>
  <c r="I36" i="1"/>
  <c r="H36" i="1"/>
  <c r="G36" i="1"/>
  <c r="F36" i="1"/>
  <c r="E36" i="1"/>
  <c r="M36" i="1" s="1"/>
  <c r="D36" i="1"/>
  <c r="C36" i="1"/>
  <c r="B36" i="1"/>
  <c r="A36" i="1"/>
  <c r="L35" i="1"/>
  <c r="K35" i="1"/>
  <c r="J35" i="1"/>
  <c r="I35" i="1"/>
  <c r="H35" i="1"/>
  <c r="G35" i="1"/>
  <c r="F35" i="1"/>
  <c r="E35" i="1"/>
  <c r="M35" i="1" s="1"/>
  <c r="D35" i="1"/>
  <c r="C35" i="1"/>
  <c r="B35" i="1"/>
  <c r="A35" i="1"/>
  <c r="L34" i="1"/>
  <c r="K34" i="1"/>
  <c r="J34" i="1"/>
  <c r="I34" i="1"/>
  <c r="H34" i="1"/>
  <c r="G34" i="1"/>
  <c r="F34" i="1"/>
  <c r="E34" i="1"/>
  <c r="M34" i="1" s="1"/>
  <c r="D34" i="1"/>
  <c r="C34" i="1"/>
  <c r="B34" i="1"/>
  <c r="A34" i="1"/>
  <c r="L33" i="1"/>
  <c r="K33" i="1"/>
  <c r="J33" i="1"/>
  <c r="I33" i="1"/>
  <c r="H33" i="1"/>
  <c r="G33" i="1"/>
  <c r="F33" i="1"/>
  <c r="E33" i="1"/>
  <c r="M33" i="1" s="1"/>
  <c r="D33" i="1"/>
  <c r="C33" i="1"/>
  <c r="B33" i="1"/>
  <c r="A33" i="1"/>
  <c r="L32" i="1"/>
  <c r="K32" i="1"/>
  <c r="J32" i="1"/>
  <c r="I32" i="1"/>
  <c r="H32" i="1"/>
  <c r="G32" i="1"/>
  <c r="F32" i="1"/>
  <c r="E32" i="1"/>
  <c r="M32" i="1" s="1"/>
  <c r="D32" i="1"/>
  <c r="C32" i="1"/>
  <c r="B32" i="1"/>
  <c r="A32" i="1"/>
  <c r="L31" i="1"/>
  <c r="K31" i="1"/>
  <c r="J31" i="1"/>
  <c r="I31" i="1"/>
  <c r="H31" i="1"/>
  <c r="G31" i="1"/>
  <c r="F31" i="1"/>
  <c r="E31" i="1"/>
  <c r="M31" i="1" s="1"/>
  <c r="D31" i="1"/>
  <c r="C31" i="1"/>
  <c r="B31" i="1"/>
  <c r="A31" i="1"/>
  <c r="L30" i="1"/>
  <c r="K30" i="1"/>
  <c r="J30" i="1"/>
  <c r="I30" i="1"/>
  <c r="H30" i="1"/>
  <c r="G30" i="1"/>
  <c r="F30" i="1"/>
  <c r="E30" i="1"/>
  <c r="M30" i="1" s="1"/>
  <c r="D30" i="1"/>
  <c r="C30" i="1"/>
  <c r="B30" i="1"/>
  <c r="A30" i="1"/>
  <c r="L29" i="1"/>
  <c r="K29" i="1"/>
  <c r="J29" i="1"/>
  <c r="I29" i="1"/>
  <c r="H29" i="1"/>
  <c r="G29" i="1"/>
  <c r="F29" i="1"/>
  <c r="E29" i="1"/>
  <c r="M29" i="1" s="1"/>
  <c r="D29" i="1"/>
  <c r="C29" i="1"/>
  <c r="B29" i="1"/>
  <c r="A29" i="1"/>
  <c r="L28" i="1"/>
  <c r="K28" i="1"/>
  <c r="J28" i="1"/>
  <c r="I28" i="1"/>
  <c r="H28" i="1"/>
  <c r="G28" i="1"/>
  <c r="F28" i="1"/>
  <c r="E28" i="1"/>
  <c r="M28" i="1" s="1"/>
  <c r="D28" i="1"/>
  <c r="C28" i="1"/>
  <c r="B28" i="1"/>
  <c r="A28" i="1"/>
  <c r="L27" i="1"/>
  <c r="K27" i="1"/>
  <c r="J27" i="1"/>
  <c r="I27" i="1"/>
  <c r="H27" i="1"/>
  <c r="G27" i="1"/>
  <c r="F27" i="1"/>
  <c r="E27" i="1"/>
  <c r="M27" i="1" s="1"/>
  <c r="D27" i="1"/>
  <c r="C27" i="1"/>
  <c r="B27" i="1"/>
  <c r="A27" i="1"/>
  <c r="L26" i="1"/>
  <c r="K26" i="1"/>
  <c r="J26" i="1"/>
  <c r="I26" i="1"/>
  <c r="H26" i="1"/>
  <c r="G26" i="1"/>
  <c r="F26" i="1"/>
  <c r="E26" i="1"/>
  <c r="M26" i="1" s="1"/>
  <c r="D26" i="1"/>
  <c r="C26" i="1"/>
  <c r="B26" i="1"/>
  <c r="A26" i="1"/>
  <c r="L25" i="1"/>
  <c r="K25" i="1"/>
  <c r="J25" i="1"/>
  <c r="I25" i="1"/>
  <c r="H25" i="1"/>
  <c r="G25" i="1"/>
  <c r="F25" i="1"/>
  <c r="E25" i="1"/>
  <c r="M25" i="1" s="1"/>
  <c r="D25" i="1"/>
  <c r="C25" i="1"/>
  <c r="B25" i="1"/>
  <c r="A25" i="1"/>
  <c r="L24" i="1"/>
  <c r="K24" i="1"/>
  <c r="J24" i="1"/>
  <c r="I24" i="1"/>
  <c r="H24" i="1"/>
  <c r="G24" i="1"/>
  <c r="F24" i="1"/>
  <c r="E24" i="1"/>
  <c r="M24" i="1" s="1"/>
  <c r="D24" i="1"/>
  <c r="C24" i="1"/>
  <c r="B24" i="1"/>
  <c r="A24" i="1"/>
  <c r="L23" i="1"/>
  <c r="K23" i="1"/>
  <c r="J23" i="1"/>
  <c r="I23" i="1"/>
  <c r="H23" i="1"/>
  <c r="G23" i="1"/>
  <c r="F23" i="1"/>
  <c r="E23" i="1"/>
  <c r="M23" i="1" s="1"/>
  <c r="D23" i="1"/>
  <c r="C23" i="1"/>
  <c r="B23" i="1"/>
  <c r="A23" i="1"/>
  <c r="L22" i="1"/>
  <c r="K22" i="1"/>
  <c r="J22" i="1"/>
  <c r="I22" i="1"/>
  <c r="H22" i="1"/>
  <c r="G22" i="1"/>
  <c r="F22" i="1"/>
  <c r="E22" i="1"/>
  <c r="M22" i="1" s="1"/>
  <c r="D22" i="1"/>
  <c r="C22" i="1"/>
  <c r="B22" i="1"/>
  <c r="A22" i="1"/>
  <c r="L21" i="1"/>
  <c r="K21" i="1"/>
  <c r="J21" i="1"/>
  <c r="I21" i="1"/>
  <c r="H21" i="1"/>
  <c r="G21" i="1"/>
  <c r="F21" i="1"/>
  <c r="E21" i="1"/>
  <c r="M21" i="1" s="1"/>
  <c r="D21" i="1"/>
  <c r="C21" i="1"/>
  <c r="B21" i="1"/>
  <c r="A21" i="1"/>
  <c r="L20" i="1"/>
  <c r="K20" i="1"/>
  <c r="J20" i="1"/>
  <c r="I20" i="1"/>
  <c r="H20" i="1"/>
  <c r="G20" i="1"/>
  <c r="F20" i="1"/>
  <c r="E20" i="1"/>
  <c r="M20" i="1" s="1"/>
  <c r="D20" i="1"/>
  <c r="C20" i="1"/>
  <c r="B20" i="1"/>
  <c r="A20" i="1"/>
  <c r="L19" i="1"/>
  <c r="K19" i="1"/>
  <c r="J19" i="1"/>
  <c r="I19" i="1"/>
  <c r="H19" i="1"/>
  <c r="G19" i="1"/>
  <c r="F19" i="1"/>
  <c r="E19" i="1"/>
  <c r="M19" i="1" s="1"/>
  <c r="D19" i="1"/>
  <c r="C19" i="1"/>
  <c r="B19" i="1"/>
  <c r="A19" i="1"/>
  <c r="L18" i="1"/>
  <c r="K18" i="1"/>
  <c r="J18" i="1"/>
  <c r="I18" i="1"/>
  <c r="H18" i="1"/>
  <c r="G18" i="1"/>
  <c r="F18" i="1"/>
  <c r="E18" i="1"/>
  <c r="M18" i="1" s="1"/>
  <c r="D18" i="1"/>
  <c r="C18" i="1"/>
  <c r="B18" i="1"/>
  <c r="A18" i="1"/>
  <c r="L17" i="1"/>
  <c r="K17" i="1"/>
  <c r="J17" i="1"/>
  <c r="I17" i="1"/>
  <c r="H17" i="1"/>
  <c r="G17" i="1"/>
  <c r="F17" i="1"/>
  <c r="E17" i="1"/>
  <c r="M17" i="1" s="1"/>
  <c r="D17" i="1"/>
  <c r="C17" i="1"/>
  <c r="B17" i="1"/>
  <c r="A17" i="1"/>
  <c r="L16" i="1"/>
  <c r="K16" i="1"/>
  <c r="J16" i="1"/>
  <c r="I16" i="1"/>
  <c r="H16" i="1"/>
  <c r="G16" i="1"/>
  <c r="F16" i="1"/>
  <c r="E16" i="1"/>
  <c r="M16" i="1" s="1"/>
  <c r="D16" i="1"/>
  <c r="C16" i="1"/>
  <c r="B16" i="1"/>
  <c r="A16" i="1"/>
  <c r="L15" i="1"/>
  <c r="K15" i="1"/>
  <c r="J15" i="1"/>
  <c r="I15" i="1"/>
  <c r="H15" i="1"/>
  <c r="G15" i="1"/>
  <c r="F15" i="1"/>
  <c r="E15" i="1"/>
  <c r="M15" i="1" s="1"/>
  <c r="D15" i="1"/>
  <c r="C15" i="1"/>
  <c r="B15" i="1"/>
  <c r="A15" i="1"/>
  <c r="L14" i="1"/>
  <c r="K14" i="1"/>
  <c r="J14" i="1"/>
  <c r="I14" i="1"/>
  <c r="H14" i="1"/>
  <c r="G14" i="1"/>
  <c r="F14" i="1"/>
  <c r="E14" i="1"/>
  <c r="M14" i="1" s="1"/>
  <c r="D14" i="1"/>
  <c r="C14" i="1"/>
  <c r="B14" i="1"/>
  <c r="A14" i="1"/>
  <c r="L13" i="1"/>
  <c r="K13" i="1"/>
  <c r="J13" i="1"/>
  <c r="I13" i="1"/>
  <c r="H13" i="1"/>
  <c r="G13" i="1"/>
  <c r="F13" i="1"/>
  <c r="E13" i="1"/>
  <c r="M13" i="1" s="1"/>
  <c r="D13" i="1"/>
  <c r="C13" i="1"/>
  <c r="B13" i="1"/>
  <c r="A13" i="1"/>
  <c r="L12" i="1"/>
  <c r="K12" i="1"/>
  <c r="J12" i="1"/>
  <c r="I12" i="1"/>
  <c r="H12" i="1"/>
  <c r="G12" i="1"/>
  <c r="F12" i="1"/>
  <c r="E12" i="1"/>
  <c r="M12" i="1" s="1"/>
  <c r="D12" i="1"/>
  <c r="C12" i="1"/>
  <c r="B12" i="1"/>
  <c r="A12" i="1"/>
  <c r="L11" i="1"/>
  <c r="K11" i="1"/>
  <c r="J11" i="1"/>
  <c r="I11" i="1"/>
  <c r="H11" i="1"/>
  <c r="G11" i="1"/>
  <c r="F11" i="1"/>
  <c r="E11" i="1"/>
  <c r="M11" i="1" s="1"/>
  <c r="D11" i="1"/>
  <c r="C11" i="1"/>
  <c r="B11" i="1"/>
  <c r="A11" i="1"/>
  <c r="L10" i="1"/>
  <c r="K10" i="1"/>
  <c r="J10" i="1"/>
  <c r="I10" i="1"/>
  <c r="H10" i="1"/>
  <c r="G10" i="1"/>
  <c r="F10" i="1"/>
  <c r="E10" i="1"/>
  <c r="M10" i="1" s="1"/>
  <c r="D10" i="1"/>
  <c r="C10" i="1"/>
  <c r="B10" i="1"/>
  <c r="A10" i="1"/>
  <c r="L9" i="1"/>
  <c r="K9" i="1"/>
  <c r="J9" i="1"/>
  <c r="I9" i="1"/>
  <c r="H9" i="1"/>
  <c r="G9" i="1"/>
  <c r="F9" i="1"/>
  <c r="E9" i="1"/>
  <c r="M9" i="1" s="1"/>
  <c r="D9" i="1"/>
  <c r="C9" i="1"/>
  <c r="B9" i="1"/>
  <c r="A9" i="1"/>
  <c r="L8" i="1"/>
  <c r="K8" i="1"/>
  <c r="J8" i="1"/>
  <c r="I8" i="1"/>
  <c r="H8" i="1"/>
  <c r="G8" i="1"/>
  <c r="F8" i="1"/>
  <c r="E8" i="1"/>
  <c r="M8" i="1" s="1"/>
  <c r="D8" i="1"/>
  <c r="C8" i="1"/>
  <c r="B8" i="1"/>
  <c r="A8" i="1"/>
  <c r="L7" i="1"/>
  <c r="K7" i="1"/>
  <c r="J7" i="1"/>
  <c r="I7" i="1"/>
  <c r="H7" i="1"/>
  <c r="G7" i="1"/>
  <c r="F7" i="1"/>
  <c r="E7" i="1"/>
  <c r="M7" i="1" s="1"/>
  <c r="D7" i="1"/>
  <c r="C7" i="1"/>
  <c r="B7" i="1"/>
  <c r="A7" i="1"/>
  <c r="L6" i="1"/>
  <c r="K6" i="1"/>
  <c r="J6" i="1"/>
  <c r="I6" i="1"/>
  <c r="H6" i="1"/>
  <c r="G6" i="1"/>
  <c r="F6" i="1"/>
  <c r="E6" i="1"/>
  <c r="M6" i="1" s="1"/>
  <c r="D6" i="1"/>
  <c r="C6" i="1"/>
  <c r="B6" i="1"/>
  <c r="A6" i="1"/>
  <c r="L5" i="1"/>
  <c r="K5" i="1"/>
  <c r="J5" i="1"/>
  <c r="I5" i="1"/>
  <c r="H5" i="1"/>
  <c r="G5" i="1"/>
  <c r="F5" i="1"/>
  <c r="E5" i="1"/>
  <c r="M5" i="1" s="1"/>
  <c r="D5" i="1"/>
  <c r="C5" i="1"/>
  <c r="B5" i="1"/>
  <c r="A5" i="1"/>
  <c r="L4" i="1"/>
  <c r="K4" i="1"/>
  <c r="J4" i="1"/>
  <c r="I4" i="1"/>
  <c r="H4" i="1"/>
  <c r="G4" i="1"/>
  <c r="F4" i="1"/>
  <c r="E4" i="1"/>
  <c r="M4" i="1" s="1"/>
  <c r="D4" i="1"/>
  <c r="C4" i="1"/>
  <c r="B4" i="1"/>
  <c r="A4" i="1"/>
  <c r="L3" i="1"/>
  <c r="K3" i="1"/>
  <c r="J3" i="1"/>
  <c r="I3" i="1"/>
  <c r="H3" i="1"/>
  <c r="G3" i="1"/>
  <c r="F3" i="1"/>
  <c r="E3" i="1"/>
  <c r="M3" i="1" s="1"/>
  <c r="D3" i="1"/>
  <c r="C3" i="1"/>
  <c r="B3" i="1"/>
  <c r="A3" i="1"/>
  <c r="L2" i="1"/>
  <c r="K2" i="1"/>
  <c r="J2" i="1"/>
  <c r="I2" i="1"/>
  <c r="H2" i="1"/>
  <c r="G2" i="1"/>
  <c r="F2" i="1"/>
  <c r="E2" i="1"/>
  <c r="M2" i="1" s="1"/>
  <c r="D2" i="1"/>
  <c r="C2" i="1"/>
  <c r="B2" i="1"/>
  <c r="A2" i="1"/>
</calcChain>
</file>

<file path=xl/sharedStrings.xml><?xml version="1.0" encoding="utf-8"?>
<sst xmlns="http://schemas.openxmlformats.org/spreadsheetml/2006/main" count="13" uniqueCount="13">
  <si>
    <t>N° pedido de compra</t>
  </si>
  <si>
    <t>Sec. Factura</t>
  </si>
  <si>
    <t>Mes de facturación</t>
  </si>
  <si>
    <t>Cliente</t>
  </si>
  <si>
    <t>ID del colaborador</t>
  </si>
  <si>
    <t>Descripción</t>
  </si>
  <si>
    <t>Tipo de moneda</t>
  </si>
  <si>
    <t>Tarifa</t>
  </si>
  <si>
    <t>Hora novedad</t>
  </si>
  <si>
    <t>Tarifa hora</t>
  </si>
  <si>
    <t>Monto a facturar</t>
  </si>
  <si>
    <t>Valor en letras</t>
  </si>
  <si>
    <t>Email aprobador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</si>
</sst>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Bee\ProcesoFacturacion\Archivos%20de%20Prueba\PlantillaRegistroInternoBee.xlsm" TargetMode="External"/><Relationship Id="rId1" Type="http://schemas.openxmlformats.org/officeDocument/2006/relationships/externalLinkPath" Target="PlantillaRegistroInternoBe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"/>
      <sheetName val="InfoFactura"/>
      <sheetName val="D"/>
    </sheetNames>
    <sheetDataSet>
      <sheetData sheetId="0">
        <row r="4">
          <cell r="A4" t="str">
            <v>PCC-2026-00696</v>
          </cell>
          <cell r="B4" t="str">
            <v>BEE659</v>
          </cell>
          <cell r="C4" t="str">
            <v>BI-VSC-15479-2022-001</v>
          </cell>
          <cell r="D4" t="str">
            <v>Marzo</v>
          </cell>
          <cell r="E4" t="str">
            <v>Banistmo</v>
          </cell>
          <cell r="F4" t="str">
            <v>Jennifer Pacheco Meza</v>
          </cell>
          <cell r="G4" t="str">
            <v>1103114918</v>
          </cell>
          <cell r="H4" t="str">
            <v>USD</v>
          </cell>
          <cell r="I4">
            <v>3876.24</v>
          </cell>
          <cell r="M4">
            <v>3876.24</v>
          </cell>
          <cell r="N4" t="str">
            <v>TRES MIL OCHOCIENTOS SETENTA Y SEIS DOLARES AMERICANOS CON 24/100 CENTAVOS</v>
          </cell>
          <cell r="O4" t="str">
            <v>Sandra Milena Valencia Tafur</v>
          </cell>
        </row>
        <row r="5">
          <cell r="A5" t="str">
            <v>PCC-2026-00770</v>
          </cell>
          <cell r="B5" t="str">
            <v>BEE660</v>
          </cell>
          <cell r="C5" t="str">
            <v>BI-VSC-15479-2022-001</v>
          </cell>
          <cell r="D5" t="str">
            <v>Marzo</v>
          </cell>
          <cell r="E5" t="str">
            <v>Banistmo</v>
          </cell>
          <cell r="F5" t="str">
            <v>José Luis Torres Rodríguez</v>
          </cell>
          <cell r="G5" t="str">
            <v>1006717183</v>
          </cell>
          <cell r="H5" t="str">
            <v>USD</v>
          </cell>
          <cell r="I5">
            <v>4637.2700000000004</v>
          </cell>
          <cell r="M5">
            <v>4637.2700000000004</v>
          </cell>
          <cell r="N5" t="str">
            <v>CUATRO MIL SEISCIENTOS TREINTA Y SIETE DOLARES AMERICANOS CON 27/100 CENTAVOS</v>
          </cell>
          <cell r="O5" t="str">
            <v>Ana Isabel Rodriguez</v>
          </cell>
        </row>
        <row r="6">
          <cell r="A6">
            <v>0</v>
          </cell>
          <cell r="B6" t="str">
            <v>BEE661</v>
          </cell>
          <cell r="C6" t="str">
            <v>BI-VSC-15479-2022-001</v>
          </cell>
          <cell r="D6" t="str">
            <v>Marzo</v>
          </cell>
          <cell r="E6" t="str">
            <v>Banistmo</v>
          </cell>
          <cell r="F6" t="str">
            <v>Luis Guillermo Arcila Correa</v>
          </cell>
          <cell r="G6" t="str">
            <v>1053765432</v>
          </cell>
          <cell r="H6" t="str">
            <v>USD</v>
          </cell>
          <cell r="I6">
            <v>3800</v>
          </cell>
          <cell r="M6">
            <v>3800</v>
          </cell>
          <cell r="N6" t="str">
            <v>TRES MIL OCHOCIENTOS DOLARES AMERICANOS CON 00/100 CENTAVOS</v>
          </cell>
          <cell r="O6" t="str">
            <v>Yenilka Yineth Cianca Miranda</v>
          </cell>
        </row>
        <row r="7">
          <cell r="A7" t="str">
            <v>PCC-2026-00663</v>
          </cell>
          <cell r="B7" t="str">
            <v>BEE662</v>
          </cell>
          <cell r="C7" t="str">
            <v>BI-VSC-15479-2022-001</v>
          </cell>
          <cell r="D7" t="str">
            <v>Marzo</v>
          </cell>
          <cell r="E7" t="str">
            <v>Banistmo</v>
          </cell>
          <cell r="F7" t="str">
            <v>Weimar Peña Hernández</v>
          </cell>
          <cell r="G7" t="str">
            <v>1136882824</v>
          </cell>
          <cell r="H7" t="str">
            <v>USD</v>
          </cell>
          <cell r="I7">
            <v>5497.53</v>
          </cell>
          <cell r="J7">
            <v>-1</v>
          </cell>
          <cell r="K7">
            <v>497.53</v>
          </cell>
          <cell r="M7">
            <v>5000</v>
          </cell>
          <cell r="N7" t="str">
            <v>CINCO MIL DOLARES AMERICANOS CON 00/100 CENTAVOS</v>
          </cell>
          <cell r="O7" t="str">
            <v>Jorge Ernesto Rodriguez Rodriguez</v>
          </cell>
        </row>
        <row r="8">
          <cell r="A8" t="str">
            <v>PCC-2026-00674</v>
          </cell>
          <cell r="B8" t="str">
            <v>BEE663</v>
          </cell>
          <cell r="C8" t="str">
            <v>BI-VSC-15479-2022-001</v>
          </cell>
          <cell r="D8" t="str">
            <v>Marzo</v>
          </cell>
          <cell r="E8" t="str">
            <v>Banistmo</v>
          </cell>
          <cell r="F8" t="str">
            <v>John Sebastian Briceño Pinilla</v>
          </cell>
          <cell r="G8" t="str">
            <v>1019040286</v>
          </cell>
          <cell r="H8" t="str">
            <v>USD</v>
          </cell>
          <cell r="I8">
            <v>4637.2700000000004</v>
          </cell>
          <cell r="M8">
            <v>4637.2700000000004</v>
          </cell>
          <cell r="N8" t="str">
            <v>CUATRO MIL SEISCIENTOS TREINTA Y SIETE DOLARES AMERICANOS CON 27/100 CENTAVOS</v>
          </cell>
          <cell r="O8" t="str">
            <v>Sandra Milena Valencia Tafur</v>
          </cell>
        </row>
        <row r="9">
          <cell r="A9" t="str">
            <v>PCC-2026-00678</v>
          </cell>
          <cell r="B9" t="str">
            <v>BEE664</v>
          </cell>
          <cell r="C9" t="str">
            <v>BI-VSC-15479-2022-001</v>
          </cell>
          <cell r="D9" t="str">
            <v>Marzo</v>
          </cell>
          <cell r="E9" t="str">
            <v>Banistmo</v>
          </cell>
          <cell r="F9" t="str">
            <v>Víctor Daniel Perez Díaz</v>
          </cell>
          <cell r="G9" t="str">
            <v>1072749966</v>
          </cell>
          <cell r="H9" t="str">
            <v>USD</v>
          </cell>
          <cell r="I9">
            <v>4637.2700000000004</v>
          </cell>
          <cell r="J9">
            <v>-1</v>
          </cell>
          <cell r="K9">
            <v>537.27</v>
          </cell>
          <cell r="M9">
            <v>4100</v>
          </cell>
          <cell r="N9" t="str">
            <v>CUATRO MIL CIEN DOLARES AMERICANOS CON 00/100 CENTAVOS</v>
          </cell>
          <cell r="O9" t="str">
            <v>Jorge Ernesto Rodriguez Rodriguez</v>
          </cell>
        </row>
        <row r="10">
          <cell r="A10" t="str">
            <v>PCC-2026-00664</v>
          </cell>
          <cell r="B10" t="str">
            <v>BEE665</v>
          </cell>
          <cell r="C10" t="str">
            <v>BI-VSC-15479-2022-001</v>
          </cell>
          <cell r="D10" t="str">
            <v>Marzo</v>
          </cell>
          <cell r="E10" t="str">
            <v>Banistmo</v>
          </cell>
          <cell r="F10" t="str">
            <v>Anyela Julieth Castillo Amezquita</v>
          </cell>
          <cell r="G10" t="str">
            <v>1049649408</v>
          </cell>
          <cell r="H10" t="str">
            <v>USD</v>
          </cell>
          <cell r="I10">
            <v>3876.64</v>
          </cell>
          <cell r="J10">
            <v>-1</v>
          </cell>
          <cell r="K10">
            <v>26.64</v>
          </cell>
          <cell r="M10">
            <v>3850</v>
          </cell>
          <cell r="N10" t="str">
            <v>TRES MIL OCHOCIENTOS CINCUENTA DOLARES AMERICANOS CON 00/100 CENTAVOS</v>
          </cell>
          <cell r="O10" t="str">
            <v>Yenilka Yineth Cianca Miranda</v>
          </cell>
        </row>
        <row r="11">
          <cell r="A11" t="str">
            <v>PCC-2026-00664</v>
          </cell>
          <cell r="B11" t="str">
            <v>BEE665</v>
          </cell>
          <cell r="C11" t="str">
            <v>BI-VSC-15479-2022-001</v>
          </cell>
          <cell r="D11" t="str">
            <v>Marzo</v>
          </cell>
          <cell r="E11" t="str">
            <v>Banistmo</v>
          </cell>
          <cell r="F11" t="str">
            <v>Darwin Alexander Rodríguez Merchan</v>
          </cell>
          <cell r="G11" t="str">
            <v>942979360</v>
          </cell>
          <cell r="H11" t="str">
            <v>USD</v>
          </cell>
          <cell r="I11">
            <v>4637.2700000000004</v>
          </cell>
          <cell r="J11">
            <v>-1</v>
          </cell>
          <cell r="K11">
            <v>220.82</v>
          </cell>
          <cell r="M11">
            <v>4416.4500000000007</v>
          </cell>
          <cell r="N11" t="str">
            <v>CUATRO MIL CUATROCIENTOS DIECISEIS DOLARES AMERICANOS CON 45/100 CENTAVOS</v>
          </cell>
          <cell r="O11" t="str">
            <v>Yenilka Yineth Cianca Miranda</v>
          </cell>
        </row>
        <row r="12">
          <cell r="A12" t="str">
            <v>PCC-2026-00664</v>
          </cell>
          <cell r="B12" t="str">
            <v>BEE665</v>
          </cell>
          <cell r="C12" t="str">
            <v>BI-VSC-15479-2022-001</v>
          </cell>
          <cell r="D12" t="str">
            <v>Marzo</v>
          </cell>
          <cell r="E12" t="str">
            <v>Banistmo</v>
          </cell>
          <cell r="F12" t="str">
            <v>Jefferson David Espinoza Carúa</v>
          </cell>
          <cell r="G12" t="str">
            <v>1720621919</v>
          </cell>
          <cell r="H12" t="str">
            <v>USD</v>
          </cell>
          <cell r="I12">
            <v>4416.45</v>
          </cell>
          <cell r="M12">
            <v>4416.45</v>
          </cell>
          <cell r="N12" t="str">
            <v>CUATRO MIL CUATROCIENTOS DIECISEIS DOLARES AMERICANOS CON 45/100 CENTAVOS</v>
          </cell>
          <cell r="O12" t="str">
            <v>Yenilka Yineth Cianca Miranda</v>
          </cell>
        </row>
        <row r="13">
          <cell r="A13" t="str">
            <v>PCC-2026-00664</v>
          </cell>
          <cell r="B13" t="str">
            <v>BEE665</v>
          </cell>
          <cell r="C13" t="str">
            <v>BI-VSC-15479-2022-001</v>
          </cell>
          <cell r="D13" t="str">
            <v>Marzo</v>
          </cell>
          <cell r="E13" t="str">
            <v>Banistmo</v>
          </cell>
          <cell r="F13" t="str">
            <v>Johana Estefanía Nicolalde Perugachi</v>
          </cell>
          <cell r="G13" t="str">
            <v>1751328657</v>
          </cell>
          <cell r="H13" t="str">
            <v>USD</v>
          </cell>
          <cell r="I13">
            <v>4637.2700000000004</v>
          </cell>
          <cell r="J13">
            <v>-1</v>
          </cell>
          <cell r="K13">
            <v>220.82</v>
          </cell>
          <cell r="M13">
            <v>4416.4500000000007</v>
          </cell>
          <cell r="N13" t="str">
            <v>CUATRO MIL CUATROCIENTOS DIECISEIS DOLARES AMERICANOS CON 45/100 CENTAVOS</v>
          </cell>
          <cell r="O13" t="str">
            <v>Yenilka Yineth Cianca Miranda</v>
          </cell>
        </row>
        <row r="14">
          <cell r="A14" t="str">
            <v>PCC-2026-00664</v>
          </cell>
          <cell r="B14" t="str">
            <v>BEE665</v>
          </cell>
          <cell r="C14" t="str">
            <v>BI-VSC-15479-2022-001</v>
          </cell>
          <cell r="D14" t="str">
            <v>Marzo</v>
          </cell>
          <cell r="E14" t="str">
            <v>Banistmo</v>
          </cell>
          <cell r="F14" t="str">
            <v>Nixon Douglas Quezada Sanmartín</v>
          </cell>
          <cell r="G14" t="str">
            <v>070643238-2</v>
          </cell>
          <cell r="H14" t="str">
            <v>USD</v>
          </cell>
          <cell r="I14">
            <v>4418.45</v>
          </cell>
          <cell r="M14">
            <v>4418.45</v>
          </cell>
          <cell r="N14" t="str">
            <v>CUATRO MIL CUATROCIENTOS DIECIOCHO DOLARES AMERICANOS CON 45/100 CENTAVOS</v>
          </cell>
          <cell r="O14" t="str">
            <v>Yenilka Yineth Cianca Miranda</v>
          </cell>
        </row>
        <row r="15">
          <cell r="A15" t="str">
            <v>PCC-2026-00664</v>
          </cell>
          <cell r="B15" t="str">
            <v>BEE665</v>
          </cell>
          <cell r="C15" t="str">
            <v>BI-VSC-15479-2022-001</v>
          </cell>
          <cell r="D15" t="str">
            <v>Marzo</v>
          </cell>
          <cell r="E15" t="str">
            <v>Banistmo</v>
          </cell>
          <cell r="F15" t="str">
            <v>Stiven Oswaldo López Cárdenas</v>
          </cell>
          <cell r="G15" t="str">
            <v>1726886011</v>
          </cell>
          <cell r="H15" t="str">
            <v>USD</v>
          </cell>
          <cell r="I15">
            <v>4416.45</v>
          </cell>
          <cell r="M15">
            <v>4416.45</v>
          </cell>
          <cell r="N15" t="str">
            <v>CUATRO MIL CUATROCIENTOS DIECISEIS DOLARES AMERICANOS CON 45/100 CENTAVOS</v>
          </cell>
          <cell r="O15" t="str">
            <v>Yenilka Yineth Cianca Miranda</v>
          </cell>
        </row>
        <row r="16">
          <cell r="A16" t="str">
            <v>PCC-2026-00745</v>
          </cell>
          <cell r="B16" t="str">
            <v>BEE666</v>
          </cell>
          <cell r="C16" t="str">
            <v>BI-VSC-15479-2022-001</v>
          </cell>
          <cell r="D16" t="str">
            <v>Marzo</v>
          </cell>
          <cell r="E16" t="str">
            <v>Banistmo</v>
          </cell>
          <cell r="F16" t="str">
            <v>Kevin Caicedo Álvarez</v>
          </cell>
          <cell r="G16" t="str">
            <v>1152700942</v>
          </cell>
          <cell r="H16" t="str">
            <v>USD</v>
          </cell>
          <cell r="I16">
            <v>3876.64</v>
          </cell>
          <cell r="J16">
            <v>-81.326999999999998</v>
          </cell>
          <cell r="K16">
            <v>23.075237999999999</v>
          </cell>
          <cell r="M16">
            <v>2000.000119174</v>
          </cell>
          <cell r="N16" t="str">
            <v>DOS MIL DOLARES AMERICANOS CON 00/100 CENTAVOS</v>
          </cell>
          <cell r="O16" t="str">
            <v>Luis Afranio Arauz Acosta</v>
          </cell>
          <cell r="Q16" t="str">
            <v>Capex</v>
          </cell>
          <cell r="R16" t="str">
            <v>EVC003-EV-3-2025-Billetera digital Apple Pay - Tokenización</v>
          </cell>
        </row>
        <row r="17">
          <cell r="A17">
            <v>0</v>
          </cell>
          <cell r="B17" t="str">
            <v>BEE667</v>
          </cell>
          <cell r="C17" t="str">
            <v>BI-VSC-15479-2022-001</v>
          </cell>
          <cell r="D17" t="str">
            <v>Marzo</v>
          </cell>
          <cell r="E17" t="str">
            <v>Banistmo</v>
          </cell>
          <cell r="F17" t="str">
            <v>Daniela Castro González</v>
          </cell>
          <cell r="G17" t="str">
            <v>1006789458</v>
          </cell>
          <cell r="H17" t="str">
            <v>USD</v>
          </cell>
          <cell r="I17">
            <v>3876.64</v>
          </cell>
          <cell r="J17">
            <v>-3</v>
          </cell>
          <cell r="K17">
            <v>23.075237999999999</v>
          </cell>
          <cell r="M17">
            <v>3807.4142859999997</v>
          </cell>
          <cell r="N17" t="str">
            <v>TRES MIL OCHOCIENTOS SIETE DOLARES AMERICANOS CON 41/100 CENTAVOS</v>
          </cell>
          <cell r="O17" t="str">
            <v xml:space="preserve"> Luis Afranio Arauz Acosta</v>
          </cell>
        </row>
        <row r="18">
          <cell r="A18">
            <v>0</v>
          </cell>
          <cell r="B18" t="str">
            <v>BEE668</v>
          </cell>
          <cell r="C18" t="str">
            <v>BI-VSC-15479-2022-001</v>
          </cell>
          <cell r="D18" t="str">
            <v>Marzo</v>
          </cell>
          <cell r="E18" t="str">
            <v>Banistmo</v>
          </cell>
          <cell r="F18" t="str">
            <v>Johnatan Alexander Mena Salcedo</v>
          </cell>
          <cell r="G18" t="str">
            <v>1038808967</v>
          </cell>
          <cell r="H18" t="str">
            <v>USD</v>
          </cell>
          <cell r="I18">
            <v>4637.2700000000004</v>
          </cell>
          <cell r="J18">
            <v>-1</v>
          </cell>
          <cell r="K18">
            <v>220.82</v>
          </cell>
          <cell r="M18">
            <v>4416.4500000000007</v>
          </cell>
          <cell r="N18" t="str">
            <v>CUATRO MIL CUATROCIENTOS DIECISEIS DOLARES AMERICANOS CON 45/100 CENTAVOS</v>
          </cell>
          <cell r="O18" t="str">
            <v>Yenilka Yineth Cianca Miranda</v>
          </cell>
        </row>
        <row r="19">
          <cell r="A19" t="str">
            <v>PCC-2026-00676</v>
          </cell>
          <cell r="B19" t="str">
            <v>BEE669</v>
          </cell>
          <cell r="C19" t="str">
            <v>BI-VSC-15479-2022-001</v>
          </cell>
          <cell r="D19" t="str">
            <v>Marzo</v>
          </cell>
          <cell r="E19" t="str">
            <v>Banistmo</v>
          </cell>
          <cell r="F19" t="str">
            <v>Aaron Wladimir Loor Moran</v>
          </cell>
          <cell r="G19" t="str">
            <v>1316870698</v>
          </cell>
          <cell r="H19" t="str">
            <v>USD</v>
          </cell>
          <cell r="I19">
            <v>3876.64</v>
          </cell>
          <cell r="M19">
            <v>3876.64</v>
          </cell>
          <cell r="N19" t="str">
            <v>TRES MIL OCHOCIENTOS SETENTA Y SEIS DOLARES AMERICANOS CON 64/100 CENTAVOS</v>
          </cell>
          <cell r="O19" t="str">
            <v>Douglas Emir Barrera Bouche</v>
          </cell>
        </row>
        <row r="20">
          <cell r="A20" t="str">
            <v>PCC-2026-00665</v>
          </cell>
          <cell r="B20" t="str">
            <v>BEE670</v>
          </cell>
          <cell r="C20" t="str">
            <v>BI-VSC-15479-2022-001</v>
          </cell>
          <cell r="D20" t="str">
            <v>Marzo</v>
          </cell>
          <cell r="E20" t="str">
            <v>Banistmo</v>
          </cell>
          <cell r="F20" t="str">
            <v>Juan Diego Jaramillo Pérez</v>
          </cell>
          <cell r="G20" t="str">
            <v>1054323687</v>
          </cell>
          <cell r="H20" t="str">
            <v>USD</v>
          </cell>
          <cell r="I20">
            <v>4637.2700000000004</v>
          </cell>
          <cell r="K20">
            <v>220.82</v>
          </cell>
          <cell r="M20">
            <v>4637.2700000000004</v>
          </cell>
          <cell r="N20" t="str">
            <v>CUATRO MIL SEISCIENTOS TREINTA Y SIETE DOLARES AMERICANOS CON 27/100 CENTAVOS</v>
          </cell>
          <cell r="O20" t="str">
            <v>Jorge Ernesto Rodriguez Rodriguez</v>
          </cell>
        </row>
        <row r="21">
          <cell r="A21">
            <v>0</v>
          </cell>
          <cell r="B21" t="str">
            <v>BEE671</v>
          </cell>
          <cell r="C21" t="str">
            <v>BI-VSC-15479-2022-001</v>
          </cell>
          <cell r="D21" t="str">
            <v>Marzo</v>
          </cell>
          <cell r="E21" t="str">
            <v>Banistmo</v>
          </cell>
          <cell r="F21" t="str">
            <v>Maritza Nataly Rosero Velasco</v>
          </cell>
          <cell r="G21" t="str">
            <v>0401582176</v>
          </cell>
          <cell r="H21" t="str">
            <v>USD</v>
          </cell>
          <cell r="I21">
            <v>4637.2700000000004</v>
          </cell>
          <cell r="J21">
            <v>-112</v>
          </cell>
          <cell r="K21">
            <v>27.6</v>
          </cell>
          <cell r="M21">
            <v>1546.0700000000002</v>
          </cell>
          <cell r="N21" t="str">
            <v>UN MIL QUINIENTOS CUARENTA Y SEIS DOLARES AMERICANOS CON 07/100 CENTAVOS</v>
          </cell>
          <cell r="O21" t="str">
            <v>Ana Isabel Rodriguez</v>
          </cell>
        </row>
        <row r="22">
          <cell r="A22">
            <v>0</v>
          </cell>
          <cell r="B22" t="str">
            <v>BEE672</v>
          </cell>
          <cell r="C22" t="str">
            <v>BI-VSC-15479-2022-001</v>
          </cell>
          <cell r="D22" t="str">
            <v>Marzo</v>
          </cell>
          <cell r="E22" t="str">
            <v>Banistmo</v>
          </cell>
          <cell r="F22" t="str">
            <v>Nicole Yadira Chavez Garcia</v>
          </cell>
          <cell r="G22" t="str">
            <v>604188086</v>
          </cell>
          <cell r="H22" t="str">
            <v>USD</v>
          </cell>
          <cell r="I22">
            <v>4416.45</v>
          </cell>
          <cell r="J22">
            <v>-128</v>
          </cell>
          <cell r="K22">
            <v>26.29</v>
          </cell>
          <cell r="M22">
            <v>1051.33</v>
          </cell>
          <cell r="N22" t="str">
            <v>UN MIL CINCUENTA Y UN DOLARES AMERICANOS CON 33/100 CENTAVOS</v>
          </cell>
          <cell r="O22" t="str">
            <v>Ana Isabel Rodriguez</v>
          </cell>
        </row>
        <row r="23">
          <cell r="A23">
            <v>0</v>
          </cell>
          <cell r="B23" t="str">
            <v>BEE673</v>
          </cell>
          <cell r="C23" t="str">
            <v>BI-VSC-15479-2022-001</v>
          </cell>
          <cell r="D23" t="str">
            <v>Marzo</v>
          </cell>
          <cell r="F23" t="str">
            <v>Pratt Christian Garcia Regalado</v>
          </cell>
          <cell r="G23" t="str">
            <v>0923767669</v>
          </cell>
          <cell r="H23" t="str">
            <v>USD</v>
          </cell>
          <cell r="I23">
            <v>4637.2700000000004</v>
          </cell>
          <cell r="J23">
            <v>-152</v>
          </cell>
          <cell r="K23">
            <v>27.6</v>
          </cell>
          <cell r="M23">
            <v>442.07000000000062</v>
          </cell>
          <cell r="N23" t="str">
            <v>CUATROCIENTOS CUARENTA Y DOS DOLARES AMERICANOS CON 07/100 CENTAVOS</v>
          </cell>
          <cell r="O23" t="str">
            <v>Ana Isabel Rodriguez</v>
          </cell>
        </row>
        <row r="24">
          <cell r="A24" t="str">
            <v>PCC-2026-00682</v>
          </cell>
          <cell r="B24" t="str">
            <v>BEE674</v>
          </cell>
          <cell r="C24" t="str">
            <v>BI-VSC-15479-2022-001</v>
          </cell>
          <cell r="D24" t="str">
            <v>Marzo</v>
          </cell>
          <cell r="F24" t="str">
            <v>Elkin Andrés Aristizabal Rodríguez</v>
          </cell>
          <cell r="G24" t="str">
            <v>1067962747</v>
          </cell>
          <cell r="H24" t="str">
            <v>USD</v>
          </cell>
          <cell r="I24">
            <v>2636.1152000000002</v>
          </cell>
          <cell r="M24">
            <v>2636.1152000000002</v>
          </cell>
          <cell r="N24" t="str">
            <v>DOS MIL SEISCIENTOS TREINTA Y SEIS DOLARES AMERICANOS CON 12/100 CENTAVOS</v>
          </cell>
          <cell r="O24" t="str">
            <v>Erika Lavinia Lasso Carrasquilla</v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>Marzo</v>
          </cell>
          <cell r="G25" t="str">
            <v/>
          </cell>
          <cell r="M25">
            <v>0</v>
          </cell>
          <cell r="N25" t="str">
            <v>DOLARES AMERICANOS CON 00/100 CENTAVOS</v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>Marzo</v>
          </cell>
          <cell r="G26" t="str">
            <v/>
          </cell>
          <cell r="M26">
            <v>0</v>
          </cell>
          <cell r="N26" t="str">
            <v>DOLARES AMERICANOS CON 00/100 CENTAVOS</v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>Marzo</v>
          </cell>
          <cell r="G27" t="str">
            <v/>
          </cell>
          <cell r="M27">
            <v>0</v>
          </cell>
          <cell r="N27" t="str">
            <v>DOLARES AMERICANOS CON 00/100 CENTAVOS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>Marzo</v>
          </cell>
          <cell r="G28" t="str">
            <v/>
          </cell>
          <cell r="M28">
            <v>0</v>
          </cell>
          <cell r="N28" t="str">
            <v>DOLARES AMERICANOS CON 00/100 CENTAVOS</v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>Marzo</v>
          </cell>
          <cell r="G29" t="str">
            <v/>
          </cell>
          <cell r="M29">
            <v>0</v>
          </cell>
          <cell r="N29" t="str">
            <v>DOLARES AMERICANOS CON 00/100 CENTAVOS</v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>Marzo</v>
          </cell>
          <cell r="G30" t="str">
            <v/>
          </cell>
          <cell r="M30">
            <v>0</v>
          </cell>
          <cell r="N30" t="str">
            <v>DOLARES AMERICANOS CON 00/100 CENTAVOS</v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>Marzo</v>
          </cell>
          <cell r="G31" t="str">
            <v/>
          </cell>
          <cell r="M31">
            <v>0</v>
          </cell>
          <cell r="N31" t="str">
            <v>DOLARES AMERICANOS CON 00/100 CENTAVOS</v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>Marzo</v>
          </cell>
          <cell r="G32" t="str">
            <v/>
          </cell>
          <cell r="M32">
            <v>0</v>
          </cell>
          <cell r="N32" t="str">
            <v>DOLARES AMERICANOS CON 00/100 CENTAVOS</v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>Marzo</v>
          </cell>
          <cell r="G33" t="str">
            <v/>
          </cell>
          <cell r="M33">
            <v>0</v>
          </cell>
          <cell r="N33" t="str">
            <v>DOLARES AMERICANOS CON 00/100 CENTAVOS</v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>Marzo</v>
          </cell>
          <cell r="G34" t="str">
            <v/>
          </cell>
          <cell r="M34">
            <v>0</v>
          </cell>
          <cell r="N34" t="str">
            <v>DOLARES AMERICANOS CON 00/100 CENTAVOS</v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>Marzo</v>
          </cell>
          <cell r="G35" t="str">
            <v/>
          </cell>
          <cell r="M35">
            <v>0</v>
          </cell>
          <cell r="N35" t="str">
            <v>DOLARES AMERICANOS CON 00/100 CENTAVOS</v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>Marzo</v>
          </cell>
          <cell r="G36" t="str">
            <v/>
          </cell>
          <cell r="M36">
            <v>0</v>
          </cell>
          <cell r="N36" t="str">
            <v>DOLARES AMERICANOS CON 00/100 CENTAVOS</v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>Marzo</v>
          </cell>
          <cell r="G37" t="str">
            <v/>
          </cell>
          <cell r="M37">
            <v>0</v>
          </cell>
          <cell r="N37" t="str">
            <v>DOLARES AMERICANOS CON 00/100 CENTAVOS</v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>Marzo</v>
          </cell>
          <cell r="G38" t="str">
            <v/>
          </cell>
          <cell r="M38">
            <v>0</v>
          </cell>
          <cell r="N38" t="str">
            <v>DOLARES AMERICANOS CON 00/100 CENTAVOS</v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>Marzo</v>
          </cell>
          <cell r="G39" t="str">
            <v/>
          </cell>
          <cell r="M39">
            <v>0</v>
          </cell>
          <cell r="N39" t="str">
            <v>DOLARES AMERICANOS CON 00/100 CENTAVOS</v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>Marzo</v>
          </cell>
          <cell r="G40" t="str">
            <v/>
          </cell>
          <cell r="M40">
            <v>0</v>
          </cell>
          <cell r="N40" t="str">
            <v>DOLARES AMERICANOS CON 00/100 CENTAVOS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>Marzo</v>
          </cell>
          <cell r="G41" t="str">
            <v/>
          </cell>
          <cell r="M41">
            <v>0</v>
          </cell>
          <cell r="N41" t="str">
            <v>DOLARES AMERICANOS CON 00/100 CENTAVOS</v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>Marzo</v>
          </cell>
          <cell r="G42" t="str">
            <v/>
          </cell>
          <cell r="M42">
            <v>0</v>
          </cell>
          <cell r="N42" t="str">
            <v>DOLARES AMERICANOS CON 00/100 CENTAVOS</v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>Marzo</v>
          </cell>
          <cell r="G43" t="str">
            <v/>
          </cell>
          <cell r="M43">
            <v>0</v>
          </cell>
          <cell r="N43" t="str">
            <v>DOLARES AMERICANOS CON 00/100 CENTAVOS</v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>Marzo</v>
          </cell>
          <cell r="G44" t="str">
            <v/>
          </cell>
          <cell r="M44">
            <v>0</v>
          </cell>
          <cell r="N44" t="str">
            <v>DOLARES AMERICANOS CON 00/100 CENTAVOS</v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>Marzo</v>
          </cell>
          <cell r="G45" t="str">
            <v/>
          </cell>
          <cell r="M45">
            <v>0</v>
          </cell>
          <cell r="N45" t="str">
            <v>DOLARES AMERICANOS CON 00/100 CENTAVOS</v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>Marzo</v>
          </cell>
          <cell r="G46" t="str">
            <v/>
          </cell>
          <cell r="M46">
            <v>0</v>
          </cell>
          <cell r="N46" t="str">
            <v>DOLARES AMERICANOS CON 00/100 CENTAVOS</v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>Marzo</v>
          </cell>
          <cell r="G47" t="str">
            <v/>
          </cell>
          <cell r="M47">
            <v>0</v>
          </cell>
          <cell r="N47" t="str">
            <v>DOLARES AMERICANOS CON 00/100 CENTAVOS</v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>Marzo</v>
          </cell>
          <cell r="G48" t="str">
            <v/>
          </cell>
          <cell r="M48">
            <v>0</v>
          </cell>
          <cell r="N48" t="str">
            <v>DOLARES AMERICANOS CON 00/100 CENTAVOS</v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>Marzo</v>
          </cell>
          <cell r="G49" t="str">
            <v/>
          </cell>
          <cell r="M49">
            <v>0</v>
          </cell>
          <cell r="N49" t="str">
            <v>DOLARES AMERICANOS CON 00/100 CENTAVOS</v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>Marzo</v>
          </cell>
          <cell r="G50" t="str">
            <v/>
          </cell>
          <cell r="M50">
            <v>0</v>
          </cell>
          <cell r="N50" t="str">
            <v>DOLARES AMERICANOS CON 00/100 CENTAVOS</v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>Marzo</v>
          </cell>
          <cell r="G51" t="str">
            <v/>
          </cell>
          <cell r="M51">
            <v>0</v>
          </cell>
          <cell r="N51" t="str">
            <v>DOLARES AMERICANOS CON 00/100 CENTAVOS</v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>Marzo</v>
          </cell>
          <cell r="G52" t="str">
            <v/>
          </cell>
          <cell r="M52">
            <v>0</v>
          </cell>
          <cell r="N52" t="str">
            <v>DOLARES AMERICANOS CON 00/100 CENTAVOS</v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>Marzo</v>
          </cell>
          <cell r="G53" t="str">
            <v/>
          </cell>
          <cell r="M53">
            <v>0</v>
          </cell>
          <cell r="N53" t="str">
            <v>DOLARES AMERICANOS CON 00/100 CENTAVOS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1E04-3A6D-427B-9B17-7F3EB52D3291}">
  <sheetPr codeName="Hoja2"/>
  <dimension ref="A1:M51"/>
  <sheetViews>
    <sheetView tabSelected="1" workbookViewId="0">
      <selection activeCell="H3" sqref="H3"/>
    </sheetView>
  </sheetViews>
  <sheetFormatPr baseColWidth="10" defaultRowHeight="15.75" x14ac:dyDescent="0.25"/>
  <cols>
    <col min="1" max="1" width="18.85546875" style="2" customWidth="1"/>
    <col min="2" max="2" width="11.7109375" style="2" bestFit="1" customWidth="1"/>
    <col min="3" max="4" width="11.7109375" style="2" customWidth="1"/>
    <col min="5" max="5" width="14" style="2" customWidth="1"/>
    <col min="6" max="6" width="65.28515625" style="2" customWidth="1"/>
    <col min="7" max="7" width="15.5703125" style="2" bestFit="1" customWidth="1"/>
    <col min="8" max="8" width="11.42578125" style="2"/>
    <col min="9" max="9" width="13.7109375" style="2" bestFit="1" customWidth="1"/>
    <col min="10" max="10" width="11.42578125" style="2"/>
    <col min="11" max="11" width="16.42578125" style="2" bestFit="1" customWidth="1"/>
    <col min="12" max="12" width="34.42578125" style="2" customWidth="1"/>
    <col min="13" max="13" width="37.28515625" style="2" customWidth="1"/>
    <col min="14" max="14" width="11.42578125" style="2"/>
    <col min="15" max="15" width="15.7109375" style="2" bestFit="1" customWidth="1"/>
    <col min="16" max="16384" width="11.42578125" style="2"/>
  </cols>
  <sheetData>
    <row r="1" spans="1:13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7.25" x14ac:dyDescent="0.25">
      <c r="A2" s="3" t="str">
        <f>IF([1]Registro!A4&lt;&gt;"",[1]Registro!A4,"")</f>
        <v>PCC-2026-00696</v>
      </c>
      <c r="B2" s="3" t="str">
        <f>IF([1]Registro!B4&lt;&gt;"",[1]Registro!B4,"")</f>
        <v>BEE659</v>
      </c>
      <c r="C2" s="3" t="str">
        <f>IF([1]Registro!D4&lt;&gt;"",[1]Registro!D4,"")</f>
        <v>Marzo</v>
      </c>
      <c r="D2" s="3" t="str">
        <f>IF([1]Registro!E4&lt;&gt;"",[1]Registro!E4,"")</f>
        <v>Banistmo</v>
      </c>
      <c r="E2" s="3" t="str">
        <f>IF([1]Registro!F4&lt;&gt;"",[1]Registro!G4,"")</f>
        <v>1103114918</v>
      </c>
      <c r="F2" s="4" t="str">
        <f>IF([1]Registro!F4&lt;&gt;"",CONCATENATE("Servicio de consultoría BEE Consultoría &amp; Negocios"," ",","," ","Contrato"," ",[1]Registro!C4," ","-"," ",[1]Registro!F4," ","-"," ","Servicio de"," ",[1]Registro!D4," ","-"," ",[1]Registro!O4," ","-"," ",[1]Registro!A4," ",[1]Registro!Q4," ",[1]Registro!R4),"")</f>
        <v xml:space="preserve">Servicio de consultoría BEE Consultoría &amp; Negocios , Contrato BI-VSC-15479-2022-001 - Jennifer Pacheco Meza - Servicio de Marzo - Sandra Milena Valencia Tafur - PCC-2026-00696  </v>
      </c>
      <c r="G2" s="3" t="str">
        <f>IF([1]Registro!H4&lt;&gt;"",[1]Registro!H4,"")</f>
        <v>USD</v>
      </c>
      <c r="H2" s="3">
        <f>IF([1]Registro!I4&lt;&gt;"",[1]Registro!I4,"")</f>
        <v>3876.24</v>
      </c>
      <c r="I2" s="3" t="str">
        <f>IF([1]Registro!J4&lt;&gt;"",[1]Registro!J4,"")</f>
        <v/>
      </c>
      <c r="J2" s="3" t="str">
        <f>IF([1]Registro!K4&lt;&gt;"",[1]Registro!K4,"")</f>
        <v/>
      </c>
      <c r="K2" s="3">
        <f>IF([1]Registro!M4&lt;&gt;"",[1]Registro!M4,"")</f>
        <v>3876.24</v>
      </c>
      <c r="L2" s="5" t="str">
        <f>IF([1]Registro!N4&lt;&gt;"",[1]Registro!N4,"")</f>
        <v>TRES MIL OCHOCIENTOS SETENTA Y SEIS DOLARES AMERICANOS CON 24/100 CENTAVOS</v>
      </c>
      <c r="M2" s="5" t="str">
        <f>IFERROR(VLOOKUP(E2,[1]!Tabla1[[#All],[ID del colaborador]:[Sec. Factura]],4,FALSE),"")</f>
        <v>luisa.granada@beeconsultoria.com</v>
      </c>
    </row>
    <row r="3" spans="1:13" ht="47.25" x14ac:dyDescent="0.25">
      <c r="A3" s="3" t="str">
        <f>IF([1]Registro!A5&lt;&gt;"",[1]Registro!A5,"")</f>
        <v>PCC-2026-00770</v>
      </c>
      <c r="B3" s="3" t="str">
        <f>IF([1]Registro!B5&lt;&gt;"",[1]Registro!B5,"")</f>
        <v>BEE660</v>
      </c>
      <c r="C3" s="3" t="str">
        <f>IF([1]Registro!D5&lt;&gt;"",[1]Registro!D5,"")</f>
        <v>Marzo</v>
      </c>
      <c r="D3" s="3" t="str">
        <f>IF([1]Registro!E5&lt;&gt;"",[1]Registro!E5,"")</f>
        <v>Banistmo</v>
      </c>
      <c r="E3" s="3" t="str">
        <f>IF([1]Registro!F5&lt;&gt;"",[1]Registro!G5,"")</f>
        <v>1006717183</v>
      </c>
      <c r="F3" s="4" t="str">
        <f>IF([1]Registro!F5&lt;&gt;"",CONCATENATE("Servicio de consultoría BEE Consultoría &amp; Negocios"," ",","," ","Contrato"," ",[1]Registro!C5," ","-"," ",[1]Registro!F5," ","-"," ","Servicio de"," ",[1]Registro!D5," ","-"," ",[1]Registro!O5," ","-"," ",[1]Registro!A5," ",[1]Registro!Q5," ",[1]Registro!R5),"")</f>
        <v xml:space="preserve">Servicio de consultoría BEE Consultoría &amp; Negocios , Contrato BI-VSC-15479-2022-001 - José Luis Torres Rodríguez - Servicio de Marzo - Ana Isabel Rodriguez - PCC-2026-00770  </v>
      </c>
      <c r="G3" s="3" t="str">
        <f>IF([1]Registro!H5&lt;&gt;"",[1]Registro!H5,"")</f>
        <v>USD</v>
      </c>
      <c r="H3" s="3">
        <f>IF([1]Registro!I5&lt;&gt;"",[1]Registro!I5,"")</f>
        <v>4637.2700000000004</v>
      </c>
      <c r="I3" s="3" t="str">
        <f>IF([1]Registro!J5&lt;&gt;"",[1]Registro!J5,"")</f>
        <v/>
      </c>
      <c r="J3" s="3" t="str">
        <f>IF([1]Registro!K5&lt;&gt;"",[1]Registro!K5,"")</f>
        <v/>
      </c>
      <c r="K3" s="3">
        <f>IF([1]Registro!M5&lt;&gt;"",[1]Registro!M5,"")</f>
        <v>4637.2700000000004</v>
      </c>
      <c r="L3" s="5" t="str">
        <f>IF([1]Registro!N5&lt;&gt;"",[1]Registro!N5,"")</f>
        <v>CUATRO MIL SEISCIENTOS TREINTA Y SIETE DOLARES AMERICANOS CON 27/100 CENTAVOS</v>
      </c>
      <c r="M3" s="5" t="str">
        <f>IFERROR(VLOOKUP(E3,[1]!Tabla1[[#All],[ID del colaborador]:[Sec. Factura]],4,FALSE),"")</f>
        <v>viviana.alvarez@beeconsultoria.com</v>
      </c>
    </row>
    <row r="4" spans="1:13" ht="47.25" x14ac:dyDescent="0.25">
      <c r="A4" s="3">
        <f>IF([1]Registro!A6&lt;&gt;"",[1]Registro!A6,"")</f>
        <v>0</v>
      </c>
      <c r="B4" s="3" t="str">
        <f>IF([1]Registro!B6&lt;&gt;"",[1]Registro!B6,"")</f>
        <v>BEE661</v>
      </c>
      <c r="C4" s="3" t="str">
        <f>IF([1]Registro!D6&lt;&gt;"",[1]Registro!D6,"")</f>
        <v>Marzo</v>
      </c>
      <c r="D4" s="3" t="str">
        <f>IF([1]Registro!E6&lt;&gt;"",[1]Registro!E6,"")</f>
        <v>Banistmo</v>
      </c>
      <c r="E4" s="3" t="str">
        <f>IF([1]Registro!F6&lt;&gt;"",[1]Registro!G6,"")</f>
        <v>1053765432</v>
      </c>
      <c r="F4" s="4" t="str">
        <f>IF([1]Registro!F6&lt;&gt;"",CONCATENATE("Servicio de consultoría BEE Consultoría &amp; Negocios"," ",","," ","Contrato"," ",[1]Registro!C6," ","-"," ",[1]Registro!F6," ","-"," ","Servicio de"," ",[1]Registro!D6," ","-"," ",[1]Registro!O6," ","-"," ",[1]Registro!A6," ",[1]Registro!Q6," ",[1]Registro!R6),"")</f>
        <v xml:space="preserve">Servicio de consultoría BEE Consultoría &amp; Negocios , Contrato BI-VSC-15479-2022-001 - Luis Guillermo Arcila Correa - Servicio de Marzo - Yenilka Yineth Cianca Miranda - 0  </v>
      </c>
      <c r="G4" s="3" t="str">
        <f>IF([1]Registro!H6&lt;&gt;"",[1]Registro!H6,"")</f>
        <v>USD</v>
      </c>
      <c r="H4" s="3">
        <f>IF([1]Registro!I6&lt;&gt;"",[1]Registro!I6,"")</f>
        <v>3800</v>
      </c>
      <c r="I4" s="3" t="str">
        <f>IF([1]Registro!J6&lt;&gt;"",[1]Registro!J6,"")</f>
        <v/>
      </c>
      <c r="J4" s="3" t="str">
        <f>IF([1]Registro!K6&lt;&gt;"",[1]Registro!K6,"")</f>
        <v/>
      </c>
      <c r="K4" s="3">
        <f>IF([1]Registro!M6&lt;&gt;"",[1]Registro!M6,"")</f>
        <v>3800</v>
      </c>
      <c r="L4" s="5" t="str">
        <f>IF([1]Registro!N6&lt;&gt;"",[1]Registro!N6,"")</f>
        <v>TRES MIL OCHOCIENTOS DOLARES AMERICANOS CON 00/100 CENTAVOS</v>
      </c>
      <c r="M4" s="5" t="str">
        <f>IFERROR(VLOOKUP(E4,[1]!Tabla1[[#All],[ID del colaborador]:[Sec. Factura]],4,FALSE),"")</f>
        <v>sergio.alvarez@beeconsultoria.com</v>
      </c>
    </row>
    <row r="5" spans="1:13" ht="47.25" x14ac:dyDescent="0.25">
      <c r="A5" s="3" t="str">
        <f>IF([1]Registro!A7&lt;&gt;"",[1]Registro!A7,"")</f>
        <v>PCC-2026-00663</v>
      </c>
      <c r="B5" s="3" t="str">
        <f>IF([1]Registro!B7&lt;&gt;"",[1]Registro!B7,"")</f>
        <v>BEE662</v>
      </c>
      <c r="C5" s="3" t="str">
        <f>IF([1]Registro!D7&lt;&gt;"",[1]Registro!D7,"")</f>
        <v>Marzo</v>
      </c>
      <c r="D5" s="3" t="str">
        <f>IF([1]Registro!E7&lt;&gt;"",[1]Registro!E7,"")</f>
        <v>Banistmo</v>
      </c>
      <c r="E5" s="3" t="str">
        <f>IF([1]Registro!F7&lt;&gt;"",[1]Registro!G7,"")</f>
        <v>1136882824</v>
      </c>
      <c r="F5" s="4" t="str">
        <f>IF([1]Registro!F7&lt;&gt;"",CONCATENATE("Servicio de consultoría BEE Consultoría &amp; Negocios"," ",","," ","Contrato"," ",[1]Registro!C7," ","-"," ",[1]Registro!F7," ","-"," ","Servicio de"," ",[1]Registro!D7," ","-"," ",[1]Registro!O7," ","-"," ",[1]Registro!A7," ",[1]Registro!Q7," ",[1]Registro!R7),"")</f>
        <v xml:space="preserve">Servicio de consultoría BEE Consultoría &amp; Negocios , Contrato BI-VSC-15479-2022-001 - Weimar Peña Hernández - Servicio de Marzo - Jorge Ernesto Rodriguez Rodriguez - PCC-2026-00663  </v>
      </c>
      <c r="G5" s="3" t="str">
        <f>IF([1]Registro!H7&lt;&gt;"",[1]Registro!H7,"")</f>
        <v>USD</v>
      </c>
      <c r="H5" s="3">
        <f>IF([1]Registro!I7&lt;&gt;"",[1]Registro!I7,"")</f>
        <v>5497.53</v>
      </c>
      <c r="I5" s="3">
        <f>IF([1]Registro!J7&lt;&gt;"",[1]Registro!J7,"")</f>
        <v>-1</v>
      </c>
      <c r="J5" s="3">
        <f>IF([1]Registro!K7&lt;&gt;"",[1]Registro!K7,"")</f>
        <v>497.53</v>
      </c>
      <c r="K5" s="3">
        <f>IF([1]Registro!M7&lt;&gt;"",[1]Registro!M7,"")</f>
        <v>5000</v>
      </c>
      <c r="L5" s="5" t="str">
        <f>IF([1]Registro!N7&lt;&gt;"",[1]Registro!N7,"")</f>
        <v>CINCO MIL DOLARES AMERICANOS CON 00/100 CENTAVOS</v>
      </c>
      <c r="M5" s="5" t="str">
        <f>IFERROR(VLOOKUP(E5,[1]!Tabla1[[#All],[ID del colaborador]:[Sec. Factura]],4,FALSE),"")</f>
        <v>sergio.alvarez@beeconsultoria.com</v>
      </c>
    </row>
    <row r="6" spans="1:13" ht="47.25" x14ac:dyDescent="0.25">
      <c r="A6" s="3" t="str">
        <f>IF([1]Registro!A8&lt;&gt;"",[1]Registro!A8,"")</f>
        <v>PCC-2026-00674</v>
      </c>
      <c r="B6" s="3" t="str">
        <f>IF([1]Registro!B8&lt;&gt;"",[1]Registro!B8,"")</f>
        <v>BEE663</v>
      </c>
      <c r="C6" s="3" t="str">
        <f>IF([1]Registro!D8&lt;&gt;"",[1]Registro!D8,"")</f>
        <v>Marzo</v>
      </c>
      <c r="D6" s="3" t="str">
        <f>IF([1]Registro!E8&lt;&gt;"",[1]Registro!E8,"")</f>
        <v>Banistmo</v>
      </c>
      <c r="E6" s="3" t="str">
        <f>IF([1]Registro!F8&lt;&gt;"",[1]Registro!G8,"")</f>
        <v>1019040286</v>
      </c>
      <c r="F6" s="4" t="str">
        <f>IF([1]Registro!F8&lt;&gt;"",CONCATENATE("Servicio de consultoría BEE Consultoría &amp; Negocios"," ",","," ","Contrato"," ",[1]Registro!C8," ","-"," ",[1]Registro!F8," ","-"," ","Servicio de"," ",[1]Registro!D8," ","-"," ",[1]Registro!O8," ","-"," ",[1]Registro!A8," ",[1]Registro!Q8," ",[1]Registro!R8),"")</f>
        <v xml:space="preserve">Servicio de consultoría BEE Consultoría &amp; Negocios , Contrato BI-VSC-15479-2022-001 - John Sebastian Briceño Pinilla - Servicio de Marzo - Sandra Milena Valencia Tafur - PCC-2026-00674  </v>
      </c>
      <c r="G6" s="3" t="str">
        <f>IF([1]Registro!H8&lt;&gt;"",[1]Registro!H8,"")</f>
        <v>USD</v>
      </c>
      <c r="H6" s="3">
        <f>IF([1]Registro!I8&lt;&gt;"",[1]Registro!I8,"")</f>
        <v>4637.2700000000004</v>
      </c>
      <c r="I6" s="3" t="str">
        <f>IF([1]Registro!J8&lt;&gt;"",[1]Registro!J8,"")</f>
        <v/>
      </c>
      <c r="J6" s="3" t="str">
        <f>IF([1]Registro!K8&lt;&gt;"",[1]Registro!K8,"")</f>
        <v/>
      </c>
      <c r="K6" s="3">
        <f>IF([1]Registro!M8&lt;&gt;"",[1]Registro!M8,"")</f>
        <v>4637.2700000000004</v>
      </c>
      <c r="L6" s="5" t="str">
        <f>IF([1]Registro!N8&lt;&gt;"",[1]Registro!N8,"")</f>
        <v>CUATRO MIL SEISCIENTOS TREINTA Y SIETE DOLARES AMERICANOS CON 27/100 CENTAVOS</v>
      </c>
      <c r="M6" s="5" t="str">
        <f>IFERROR(VLOOKUP(E6,[1]!Tabla1[[#All],[ID del colaborador]:[Sec. Factura]],4,FALSE),"")</f>
        <v>viviana.alvarez@beeconsultoria.com</v>
      </c>
    </row>
    <row r="7" spans="1:13" ht="47.25" x14ac:dyDescent="0.25">
      <c r="A7" s="3" t="str">
        <f>IF([1]Registro!A9&lt;&gt;"",[1]Registro!A9,"")</f>
        <v>PCC-2026-00678</v>
      </c>
      <c r="B7" s="3" t="str">
        <f>IF([1]Registro!B9&lt;&gt;"",[1]Registro!B9,"")</f>
        <v>BEE664</v>
      </c>
      <c r="C7" s="3" t="str">
        <f>IF([1]Registro!D9&lt;&gt;"",[1]Registro!D9,"")</f>
        <v>Marzo</v>
      </c>
      <c r="D7" s="3" t="str">
        <f>IF([1]Registro!E9&lt;&gt;"",[1]Registro!E9,"")</f>
        <v>Banistmo</v>
      </c>
      <c r="E7" s="3" t="str">
        <f>IF([1]Registro!F9&lt;&gt;"",[1]Registro!G9,"")</f>
        <v>1072749966</v>
      </c>
      <c r="F7" s="4" t="str">
        <f>IF([1]Registro!F9&lt;&gt;"",CONCATENATE("Servicio de consultoría BEE Consultoría &amp; Negocios"," ",","," ","Contrato"," ",[1]Registro!C9," ","-"," ",[1]Registro!F9," ","-"," ","Servicio de"," ",[1]Registro!D9," ","-"," ",[1]Registro!O9," ","-"," ",[1]Registro!A9," ",[1]Registro!Q9," ",[1]Registro!R9),"")</f>
        <v xml:space="preserve">Servicio de consultoría BEE Consultoría &amp; Negocios , Contrato BI-VSC-15479-2022-001 - Víctor Daniel Perez Díaz - Servicio de Marzo - Jorge Ernesto Rodriguez Rodriguez - PCC-2026-00678  </v>
      </c>
      <c r="G7" s="3" t="str">
        <f>IF([1]Registro!H9&lt;&gt;"",[1]Registro!H9,"")</f>
        <v>USD</v>
      </c>
      <c r="H7" s="3">
        <f>IF([1]Registro!I9&lt;&gt;"",[1]Registro!I9,"")</f>
        <v>4637.2700000000004</v>
      </c>
      <c r="I7" s="3">
        <f>IF([1]Registro!J9&lt;&gt;"",[1]Registro!J9,"")</f>
        <v>-1</v>
      </c>
      <c r="J7" s="3">
        <f>IF([1]Registro!K9&lt;&gt;"",[1]Registro!K9,"")</f>
        <v>537.27</v>
      </c>
      <c r="K7" s="3">
        <f>IF([1]Registro!M9&lt;&gt;"",[1]Registro!M9,"")</f>
        <v>4100</v>
      </c>
      <c r="L7" s="5" t="str">
        <f>IF([1]Registro!N9&lt;&gt;"",[1]Registro!N9,"")</f>
        <v>CUATRO MIL CIEN DOLARES AMERICANOS CON 00/100 CENTAVOS</v>
      </c>
      <c r="M7" s="5" t="str">
        <f>IFERROR(VLOOKUP(E7,[1]!Tabla1[[#All],[ID del colaborador]:[Sec. Factura]],4,FALSE),"")</f>
        <v>viviana.alvarez@beeconsultoria.com</v>
      </c>
    </row>
    <row r="8" spans="1:13" ht="63" x14ac:dyDescent="0.25">
      <c r="A8" s="3" t="str">
        <f>IF([1]Registro!A10&lt;&gt;"",[1]Registro!A10,"")</f>
        <v>PCC-2026-00664</v>
      </c>
      <c r="B8" s="3" t="str">
        <f>IF([1]Registro!B10&lt;&gt;"",[1]Registro!B10,"")</f>
        <v>BEE665</v>
      </c>
      <c r="C8" s="3" t="str">
        <f>IF([1]Registro!D10&lt;&gt;"",[1]Registro!D10,"")</f>
        <v>Marzo</v>
      </c>
      <c r="D8" s="3" t="str">
        <f>IF([1]Registro!E10&lt;&gt;"",[1]Registro!E10,"")</f>
        <v>Banistmo</v>
      </c>
      <c r="E8" s="3" t="str">
        <f>IF([1]Registro!F10&lt;&gt;"",[1]Registro!G10,"")</f>
        <v>1049649408</v>
      </c>
      <c r="F8" s="4" t="str">
        <f>IF([1]Registro!F10&lt;&gt;"",CONCATENATE("Servicio de consultoría BEE Consultoría &amp; Negocios"," ",","," ","Contrato"," ",[1]Registro!C10," ","-"," ",[1]Registro!F10," ","-"," ","Servicio de"," ",[1]Registro!D10," ","-"," ",[1]Registro!O10," ","-"," ",[1]Registro!A10," ",[1]Registro!Q10," ",[1]Registro!R10),"")</f>
        <v xml:space="preserve">Servicio de consultoría BEE Consultoría &amp; Negocios , Contrato BI-VSC-15479-2022-001 - Anyela Julieth Castillo Amezquita - Servicio de Marzo - Yenilka Yineth Cianca Miranda - PCC-2026-00664  </v>
      </c>
      <c r="G8" s="3" t="str">
        <f>IF([1]Registro!H10&lt;&gt;"",[1]Registro!H10,"")</f>
        <v>USD</v>
      </c>
      <c r="H8" s="3">
        <f>IF([1]Registro!I10&lt;&gt;"",[1]Registro!I10,"")</f>
        <v>3876.64</v>
      </c>
      <c r="I8" s="3">
        <f>IF([1]Registro!J10&lt;&gt;"",[1]Registro!J10,"")</f>
        <v>-1</v>
      </c>
      <c r="J8" s="3">
        <f>IF([1]Registro!K10&lt;&gt;"",[1]Registro!K10,"")</f>
        <v>26.64</v>
      </c>
      <c r="K8" s="3">
        <f>IF([1]Registro!M10&lt;&gt;"",[1]Registro!M10,"")</f>
        <v>3850</v>
      </c>
      <c r="L8" s="5" t="str">
        <f>IF([1]Registro!N10&lt;&gt;"",[1]Registro!N10,"")</f>
        <v>TRES MIL OCHOCIENTOS CINCUENTA DOLARES AMERICANOS CON 00/100 CENTAVOS</v>
      </c>
      <c r="M8" s="5" t="str">
        <f>IFERROR(VLOOKUP(E8,[1]!Tabla1[[#All],[ID del colaborador]:[Sec. Factura]],4,FALSE),"")</f>
        <v>luisa.granada@beeconsultoria.com</v>
      </c>
    </row>
    <row r="9" spans="1:13" ht="63" x14ac:dyDescent="0.25">
      <c r="A9" s="3" t="str">
        <f>IF([1]Registro!A13&lt;&gt;"",[1]Registro!A13,"")</f>
        <v>PCC-2026-00664</v>
      </c>
      <c r="B9" s="3" t="str">
        <f>IF([1]Registro!B13&lt;&gt;"",[1]Registro!B13,"")</f>
        <v>BEE665</v>
      </c>
      <c r="C9" s="3" t="str">
        <f>IF([1]Registro!D13&lt;&gt;"",[1]Registro!D13,"")</f>
        <v>Marzo</v>
      </c>
      <c r="D9" s="3" t="str">
        <f>IF([1]Registro!E13&lt;&gt;"",[1]Registro!E13,"")</f>
        <v>Banistmo</v>
      </c>
      <c r="E9" s="3" t="str">
        <f>IF([1]Registro!F13&lt;&gt;"",[1]Registro!G13,"")</f>
        <v>1751328657</v>
      </c>
      <c r="F9" s="4" t="str">
        <f>IF([1]Registro!F13&lt;&gt;"",CONCATENATE("Servicio de consultoría BEE Consultoría &amp; Negocios"," ",","," ","Contrato"," ",[1]Registro!C13," ","-"," ",[1]Registro!F13," ","-"," ","Servicio de"," ",[1]Registro!D13," ","-"," ",[1]Registro!O13," ","-"," ",[1]Registro!A13," ",[1]Registro!Q13," ",[1]Registro!R13),"")</f>
        <v xml:space="preserve">Servicio de consultoría BEE Consultoría &amp; Negocios , Contrato BI-VSC-15479-2022-001 - Johana Estefanía Nicolalde Perugachi - Servicio de Marzo - Yenilka Yineth Cianca Miranda - PCC-2026-00664  </v>
      </c>
      <c r="G9" s="3" t="str">
        <f>IF([1]Registro!H13&lt;&gt;"",[1]Registro!H13,"")</f>
        <v>USD</v>
      </c>
      <c r="H9" s="3">
        <f>IF([1]Registro!I13&lt;&gt;"",[1]Registro!I13,"")</f>
        <v>4637.2700000000004</v>
      </c>
      <c r="I9" s="3">
        <f>IF([1]Registro!J13&lt;&gt;"",[1]Registro!J13,"")</f>
        <v>-1</v>
      </c>
      <c r="J9" s="3">
        <f>IF([1]Registro!K13&lt;&gt;"",[1]Registro!K13,"")</f>
        <v>220.82</v>
      </c>
      <c r="K9" s="3">
        <f>IF([1]Registro!M13&lt;&gt;"",[1]Registro!M13,"")</f>
        <v>4416.4500000000007</v>
      </c>
      <c r="L9" s="5" t="str">
        <f>IF([1]Registro!N13&lt;&gt;"",[1]Registro!N13,"")</f>
        <v>CUATRO MIL CUATROCIENTOS DIECISEIS DOLARES AMERICANOS CON 45/100 CENTAVOS</v>
      </c>
      <c r="M9" s="5" t="str">
        <f>IFERROR(VLOOKUP(E9,[1]!Tabla1[[#All],[ID del colaborador]:[Sec. Factura]],4,FALSE),"")</f>
        <v>luisa.granada@beeconsultoria.com</v>
      </c>
    </row>
    <row r="10" spans="1:13" ht="63" x14ac:dyDescent="0.25">
      <c r="A10" s="3" t="str">
        <f>IF([1]Registro!A14&lt;&gt;"",[1]Registro!A14,"")</f>
        <v>PCC-2026-00664</v>
      </c>
      <c r="B10" s="3" t="str">
        <f>IF([1]Registro!B14&lt;&gt;"",[1]Registro!B14,"")</f>
        <v>BEE665</v>
      </c>
      <c r="C10" s="3" t="str">
        <f>IF([1]Registro!D14&lt;&gt;"",[1]Registro!D14,"")</f>
        <v>Marzo</v>
      </c>
      <c r="D10" s="3" t="str">
        <f>IF([1]Registro!E14&lt;&gt;"",[1]Registro!E14,"")</f>
        <v>Banistmo</v>
      </c>
      <c r="E10" s="3" t="str">
        <f>IF([1]Registro!F14&lt;&gt;"",[1]Registro!G14,"")</f>
        <v>070643238-2</v>
      </c>
      <c r="F10" s="4" t="str">
        <f>IF([1]Registro!F14&lt;&gt;"",CONCATENATE("Servicio de consultoría BEE Consultoría &amp; Negocios"," ",","," ","Contrato"," ",[1]Registro!C14," ","-"," ",[1]Registro!F14," ","-"," ","Servicio de"," ",[1]Registro!D14," ","-"," ",[1]Registro!O14," ","-"," ",[1]Registro!A14," ",[1]Registro!Q14," ",[1]Registro!R14),"")</f>
        <v xml:space="preserve">Servicio de consultoría BEE Consultoría &amp; Negocios , Contrato BI-VSC-15479-2022-001 - Nixon Douglas Quezada Sanmartín - Servicio de Marzo - Yenilka Yineth Cianca Miranda - PCC-2026-00664  </v>
      </c>
      <c r="G10" s="3" t="str">
        <f>IF([1]Registro!H14&lt;&gt;"",[1]Registro!H14,"")</f>
        <v>USD</v>
      </c>
      <c r="H10" s="3">
        <f>IF([1]Registro!I14&lt;&gt;"",[1]Registro!I14,"")</f>
        <v>4418.45</v>
      </c>
      <c r="I10" s="3" t="str">
        <f>IF([1]Registro!J14&lt;&gt;"",[1]Registro!J14,"")</f>
        <v/>
      </c>
      <c r="J10" s="3" t="str">
        <f>IF([1]Registro!K14&lt;&gt;"",[1]Registro!K14,"")</f>
        <v/>
      </c>
      <c r="K10" s="3">
        <f>IF([1]Registro!M14&lt;&gt;"",[1]Registro!M14,"")</f>
        <v>4418.45</v>
      </c>
      <c r="L10" s="5" t="str">
        <f>IF([1]Registro!N14&lt;&gt;"",[1]Registro!N14,"")</f>
        <v>CUATRO MIL CUATROCIENTOS DIECIOCHO DOLARES AMERICANOS CON 45/100 CENTAVOS</v>
      </c>
      <c r="M10" s="5" t="str">
        <f>IFERROR(VLOOKUP(E10,[1]!Tabla1[[#All],[ID del colaborador]:[Sec. Factura]],4,FALSE),"")</f>
        <v>luisa.granada@beeconsultoria.com</v>
      </c>
    </row>
    <row r="11" spans="1:13" ht="63" x14ac:dyDescent="0.25">
      <c r="A11" s="3" t="str">
        <f>IF([1]Registro!A11&lt;&gt;"",[1]Registro!A11,"")</f>
        <v>PCC-2026-00664</v>
      </c>
      <c r="B11" s="3" t="str">
        <f>IF([1]Registro!B11&lt;&gt;"",[1]Registro!B11,"")</f>
        <v>BEE665</v>
      </c>
      <c r="C11" s="3" t="str">
        <f>IF([1]Registro!D11&lt;&gt;"",[1]Registro!D11,"")</f>
        <v>Marzo</v>
      </c>
      <c r="D11" s="3" t="str">
        <f>IF([1]Registro!E11&lt;&gt;"",[1]Registro!E11,"")</f>
        <v>Banistmo</v>
      </c>
      <c r="E11" s="3" t="str">
        <f>IF([1]Registro!F11&lt;&gt;"",[1]Registro!G11,"")</f>
        <v>942979360</v>
      </c>
      <c r="F11" s="4" t="str">
        <f>IF([1]Registro!F11&lt;&gt;"",CONCATENATE("Servicio de consultoría BEE Consultoría &amp; Negocios"," ",","," ","Contrato"," ",[1]Registro!C11," ","-"," ",[1]Registro!F11," ","-"," ","Servicio de"," ",[1]Registro!D11," ","-"," ",[1]Registro!O11," ","-"," ",[1]Registro!A11," ",[1]Registro!Q11," ",[1]Registro!R11),"")</f>
        <v xml:space="preserve">Servicio de consultoría BEE Consultoría &amp; Negocios , Contrato BI-VSC-15479-2022-001 - Darwin Alexander Rodríguez Merchan - Servicio de Marzo - Yenilka Yineth Cianca Miranda - PCC-2026-00664  </v>
      </c>
      <c r="G11" s="3" t="str">
        <f>IF([1]Registro!H11&lt;&gt;"",[1]Registro!H11,"")</f>
        <v>USD</v>
      </c>
      <c r="H11" s="3">
        <f>IF([1]Registro!I11&lt;&gt;"",[1]Registro!I11,"")</f>
        <v>4637.2700000000004</v>
      </c>
      <c r="I11" s="3">
        <f>IF([1]Registro!J11&lt;&gt;"",[1]Registro!J11,"")</f>
        <v>-1</v>
      </c>
      <c r="J11" s="3">
        <f>IF([1]Registro!K11&lt;&gt;"",[1]Registro!K11,"")</f>
        <v>220.82</v>
      </c>
      <c r="K11" s="3">
        <f>IF([1]Registro!M11&lt;&gt;"",[1]Registro!M11,"")</f>
        <v>4416.4500000000007</v>
      </c>
      <c r="L11" s="5" t="str">
        <f>IF([1]Registro!N11&lt;&gt;"",[1]Registro!N11,"")</f>
        <v>CUATRO MIL CUATROCIENTOS DIECISEIS DOLARES AMERICANOS CON 45/100 CENTAVOS</v>
      </c>
      <c r="M11" s="5" t="str">
        <f>IFERROR(VLOOKUP(E11,[1]!Tabla1[[#All],[ID del colaborador]:[Sec. Factura]],4,FALSE),"")</f>
        <v>luisa.granada@beeconsultoria.com</v>
      </c>
    </row>
    <row r="12" spans="1:13" ht="47.25" x14ac:dyDescent="0.25">
      <c r="A12" s="3" t="str">
        <f>IF([1]Registro!A15&lt;&gt;"",[1]Registro!A15,"")</f>
        <v>PCC-2026-00664</v>
      </c>
      <c r="B12" s="3" t="str">
        <f>IF([1]Registro!B15&lt;&gt;"",[1]Registro!B15,"")</f>
        <v>BEE665</v>
      </c>
      <c r="C12" s="3" t="str">
        <f>IF([1]Registro!D15&lt;&gt;"",[1]Registro!D15,"")</f>
        <v>Marzo</v>
      </c>
      <c r="D12" s="3" t="str">
        <f>IF([1]Registro!E15&lt;&gt;"",[1]Registro!E15,"")</f>
        <v>Banistmo</v>
      </c>
      <c r="E12" s="3" t="str">
        <f>IF([1]Registro!F15&lt;&gt;"",[1]Registro!G15,"")</f>
        <v>1726886011</v>
      </c>
      <c r="F12" s="4" t="str">
        <f>IF([1]Registro!F15&lt;&gt;"",CONCATENATE("Servicio de consultoría BEE Consultoría &amp; Negocios"," ",","," ","Contrato"," ",[1]Registro!C15," ","-"," ",[1]Registro!F15," ","-"," ","Servicio de"," ",[1]Registro!D15," ","-"," ",[1]Registro!O15," ","-"," ",[1]Registro!A15," ",[1]Registro!Q15," ",[1]Registro!R15),"")</f>
        <v xml:space="preserve">Servicio de consultoría BEE Consultoría &amp; Negocios , Contrato BI-VSC-15479-2022-001 - Stiven Oswaldo López Cárdenas - Servicio de Marzo - Yenilka Yineth Cianca Miranda - PCC-2026-00664  </v>
      </c>
      <c r="G12" s="3" t="str">
        <f>IF([1]Registro!H15&lt;&gt;"",[1]Registro!H15,"")</f>
        <v>USD</v>
      </c>
      <c r="H12" s="3">
        <f>IF([1]Registro!I15&lt;&gt;"",[1]Registro!I15,"")</f>
        <v>4416.45</v>
      </c>
      <c r="I12" s="3" t="str">
        <f>IF([1]Registro!J15&lt;&gt;"",[1]Registro!J15,"")</f>
        <v/>
      </c>
      <c r="J12" s="3" t="str">
        <f>IF([1]Registro!K15&lt;&gt;"",[1]Registro!K15,"")</f>
        <v/>
      </c>
      <c r="K12" s="3">
        <f>IF([1]Registro!M15&lt;&gt;"",[1]Registro!M15,"")</f>
        <v>4416.45</v>
      </c>
      <c r="L12" s="5" t="str">
        <f>IF([1]Registro!N15&lt;&gt;"",[1]Registro!N15,"")</f>
        <v>CUATRO MIL CUATROCIENTOS DIECISEIS DOLARES AMERICANOS CON 45/100 CENTAVOS</v>
      </c>
      <c r="M12" s="5" t="str">
        <f>IFERROR(VLOOKUP(E12,[1]!Tabla1[[#All],[ID del colaborador]:[Sec. Factura]],4,FALSE),"")</f>
        <v>luisa.granada@beeconsultoria.com</v>
      </c>
    </row>
    <row r="13" spans="1:13" ht="47.25" x14ac:dyDescent="0.25">
      <c r="A13" s="3" t="str">
        <f>IF([1]Registro!A12&lt;&gt;"",[1]Registro!A12,"")</f>
        <v>PCC-2026-00664</v>
      </c>
      <c r="B13" s="3" t="str">
        <f>IF([1]Registro!B12&lt;&gt;"",[1]Registro!B12,"")</f>
        <v>BEE665</v>
      </c>
      <c r="C13" s="3" t="str">
        <f>IF([1]Registro!D12&lt;&gt;"",[1]Registro!D12,"")</f>
        <v>Marzo</v>
      </c>
      <c r="D13" s="3" t="str">
        <f>IF([1]Registro!E12&lt;&gt;"",[1]Registro!E12,"")</f>
        <v>Banistmo</v>
      </c>
      <c r="E13" s="3" t="str">
        <f>IF([1]Registro!F12&lt;&gt;"",[1]Registro!G12,"")</f>
        <v>1720621919</v>
      </c>
      <c r="F13" s="4" t="str">
        <f>IF([1]Registro!F12&lt;&gt;"",CONCATENATE("Servicio de consultoría BEE Consultoría &amp; Negocios"," ",","," ","Contrato"," ",[1]Registro!C12," ","-"," ",[1]Registro!F12," ","-"," ","Servicio de"," ",[1]Registro!D12," ","-"," ",[1]Registro!O12," ","-"," ",[1]Registro!A12," ",[1]Registro!Q12," ",[1]Registro!R12),"")</f>
        <v xml:space="preserve">Servicio de consultoría BEE Consultoría &amp; Negocios , Contrato BI-VSC-15479-2022-001 - Jefferson David Espinoza Carúa - Servicio de Marzo - Yenilka Yineth Cianca Miranda - PCC-2026-00664  </v>
      </c>
      <c r="G13" s="3" t="str">
        <f>IF([1]Registro!H12&lt;&gt;"",[1]Registro!H12,"")</f>
        <v>USD</v>
      </c>
      <c r="H13" s="3">
        <f>IF([1]Registro!I12&lt;&gt;"",[1]Registro!I12,"")</f>
        <v>4416.45</v>
      </c>
      <c r="I13" s="3" t="str">
        <f>IF([1]Registro!J12&lt;&gt;"",[1]Registro!J12,"")</f>
        <v/>
      </c>
      <c r="J13" s="3" t="str">
        <f>IF([1]Registro!K12&lt;&gt;"",[1]Registro!K12,"")</f>
        <v/>
      </c>
      <c r="K13" s="3">
        <f>IF([1]Registro!M12&lt;&gt;"",[1]Registro!M12,"")</f>
        <v>4416.45</v>
      </c>
      <c r="L13" s="5" t="str">
        <f>IF([1]Registro!N12&lt;&gt;"",[1]Registro!N12,"")</f>
        <v>CUATRO MIL CUATROCIENTOS DIECISEIS DOLARES AMERICANOS CON 45/100 CENTAVOS</v>
      </c>
      <c r="M13" s="5" t="str">
        <f>IFERROR(VLOOKUP(E13,[1]!Tabla1[[#All],[ID del colaborador]:[Sec. Factura]],4,FALSE),"")</f>
        <v>luisa.granada@beeconsultoria.com</v>
      </c>
    </row>
    <row r="14" spans="1:13" ht="63" x14ac:dyDescent="0.25">
      <c r="A14" s="3" t="str">
        <f>IF([1]Registro!A16&lt;&gt;"",[1]Registro!A16,"")</f>
        <v>PCC-2026-00745</v>
      </c>
      <c r="B14" s="3" t="str">
        <f>IF([1]Registro!B16&lt;&gt;"",[1]Registro!B16,"")</f>
        <v>BEE666</v>
      </c>
      <c r="C14" s="3" t="str">
        <f>IF([1]Registro!D16&lt;&gt;"",[1]Registro!D16,"")</f>
        <v>Marzo</v>
      </c>
      <c r="D14" s="3" t="str">
        <f>IF([1]Registro!E16&lt;&gt;"",[1]Registro!E16,"")</f>
        <v>Banistmo</v>
      </c>
      <c r="E14" s="3" t="str">
        <f>IF([1]Registro!F16&lt;&gt;"",[1]Registro!G16,"")</f>
        <v>1152700942</v>
      </c>
      <c r="F14" s="4" t="str">
        <f>IF([1]Registro!F16&lt;&gt;"",CONCATENATE("Servicio de consultoría BEE Consultoría &amp; Negocios"," ",","," ","Contrato"," ",[1]Registro!C16," ","-"," ",[1]Registro!F16," ","-"," ","Servicio de"," ",[1]Registro!D16," ","-"," ",[1]Registro!O16," ","-"," ",[1]Registro!A16," ",[1]Registro!Q16," ",[1]Registro!R16),"")</f>
        <v>Servicio de consultoría BEE Consultoría &amp; Negocios , Contrato BI-VSC-15479-2022-001 - Kevin Caicedo Álvarez - Servicio de Marzo - Luis Afranio Arauz Acosta - PCC-2026-00745 Capex EVC003-EV-3-2025-Billetera digital Apple Pay - Tokenización</v>
      </c>
      <c r="G14" s="3" t="str">
        <f>IF([1]Registro!H16&lt;&gt;"",[1]Registro!H16,"")</f>
        <v>USD</v>
      </c>
      <c r="H14" s="3">
        <f>IF([1]Registro!I16&lt;&gt;"",[1]Registro!I16,"")</f>
        <v>3876.64</v>
      </c>
      <c r="I14" s="3">
        <f>IF([1]Registro!J16&lt;&gt;"",[1]Registro!J16,"")</f>
        <v>-81.326999999999998</v>
      </c>
      <c r="J14" s="3">
        <f>IF([1]Registro!K16&lt;&gt;"",[1]Registro!K16,"")</f>
        <v>23.075237999999999</v>
      </c>
      <c r="K14" s="3">
        <f>IF([1]Registro!M16&lt;&gt;"",[1]Registro!M16,"")</f>
        <v>2000.000119174</v>
      </c>
      <c r="L14" s="5" t="str">
        <f>IF([1]Registro!N16&lt;&gt;"",[1]Registro!N16,"")</f>
        <v>DOS MIL DOLARES AMERICANOS CON 00/100 CENTAVOS</v>
      </c>
      <c r="M14" s="5" t="str">
        <f>IFERROR(VLOOKUP(E14,[1]!Tabla1[[#All],[ID del colaborador]:[Sec. Factura]],4,FALSE),"")</f>
        <v>viviana.alvarez@beeconsultoria.com</v>
      </c>
    </row>
    <row r="15" spans="1:13" ht="47.25" x14ac:dyDescent="0.25">
      <c r="A15" s="3">
        <f>IF([1]Registro!A17&lt;&gt;"",[1]Registro!A17,"")</f>
        <v>0</v>
      </c>
      <c r="B15" s="3" t="str">
        <f>IF([1]Registro!B17&lt;&gt;"",[1]Registro!B17,"")</f>
        <v>BEE667</v>
      </c>
      <c r="C15" s="3" t="str">
        <f>IF([1]Registro!D17&lt;&gt;"",[1]Registro!D17,"")</f>
        <v>Marzo</v>
      </c>
      <c r="D15" s="3" t="str">
        <f>IF([1]Registro!E17&lt;&gt;"",[1]Registro!E17,"")</f>
        <v>Banistmo</v>
      </c>
      <c r="E15" s="3" t="str">
        <f>IF([1]Registro!F17&lt;&gt;"",[1]Registro!G17,"")</f>
        <v>1006789458</v>
      </c>
      <c r="F15" s="4" t="str">
        <f>IF([1]Registro!F17&lt;&gt;"",CONCATENATE("Servicio de consultoría BEE Consultoría &amp; Negocios"," ",","," ","Contrato"," ",[1]Registro!C17," ","-"," ",[1]Registro!F17," ","-"," ","Servicio de"," ",[1]Registro!D17," ","-"," ",[1]Registro!O17," ","-"," ",[1]Registro!A17," ",[1]Registro!Q17," ",[1]Registro!R17),"")</f>
        <v xml:space="preserve">Servicio de consultoría BEE Consultoría &amp; Negocios , Contrato BI-VSC-15479-2022-001 - Daniela Castro González - Servicio de Marzo -  Luis Afranio Arauz Acosta - 0  </v>
      </c>
      <c r="G15" s="3" t="str">
        <f>IF([1]Registro!H17&lt;&gt;"",[1]Registro!H17,"")</f>
        <v>USD</v>
      </c>
      <c r="H15" s="3">
        <f>IF([1]Registro!I17&lt;&gt;"",[1]Registro!I17,"")</f>
        <v>3876.64</v>
      </c>
      <c r="I15" s="3">
        <f>IF([1]Registro!J17&lt;&gt;"",[1]Registro!J17,"")</f>
        <v>-3</v>
      </c>
      <c r="J15" s="3">
        <f>IF([1]Registro!K17&lt;&gt;"",[1]Registro!K17,"")</f>
        <v>23.075237999999999</v>
      </c>
      <c r="K15" s="3">
        <f>IF([1]Registro!M17&lt;&gt;"",[1]Registro!M17,"")</f>
        <v>3807.4142859999997</v>
      </c>
      <c r="L15" s="5" t="str">
        <f>IF([1]Registro!N17&lt;&gt;"",[1]Registro!N17,"")</f>
        <v>TRES MIL OCHOCIENTOS SIETE DOLARES AMERICANOS CON 41/100 CENTAVOS</v>
      </c>
      <c r="M15" s="5" t="str">
        <f>IFERROR(VLOOKUP(E15,[1]!Tabla1[[#All],[ID del colaborador]:[Sec. Factura]],4,FALSE),"")</f>
        <v>sergio.alvarez@beeconsultoria.com</v>
      </c>
    </row>
    <row r="16" spans="1:13" ht="47.25" x14ac:dyDescent="0.25">
      <c r="A16" s="3">
        <f>IF([1]Registro!A18&lt;&gt;"",[1]Registro!A18,"")</f>
        <v>0</v>
      </c>
      <c r="B16" s="3" t="str">
        <f>IF([1]Registro!B18&lt;&gt;"",[1]Registro!B18,"")</f>
        <v>BEE668</v>
      </c>
      <c r="C16" s="3" t="str">
        <f>IF([1]Registro!D18&lt;&gt;"",[1]Registro!D18,"")</f>
        <v>Marzo</v>
      </c>
      <c r="D16" s="3" t="str">
        <f>IF([1]Registro!E18&lt;&gt;"",[1]Registro!E18,"")</f>
        <v>Banistmo</v>
      </c>
      <c r="E16" s="3" t="str">
        <f>IF([1]Registro!F18&lt;&gt;"",[1]Registro!G18,"")</f>
        <v>1038808967</v>
      </c>
      <c r="F16" s="4" t="str">
        <f>IF([1]Registro!F18&lt;&gt;"",CONCATENATE("Servicio de consultoría BEE Consultoría &amp; Negocios"," ",","," ","Contrato"," ",[1]Registro!C18," ","-"," ",[1]Registro!F18," ","-"," ","Servicio de"," ",[1]Registro!D18," ","-"," ",[1]Registro!O18," ","-"," ",[1]Registro!A18," ",[1]Registro!Q18," ",[1]Registro!R18),"")</f>
        <v xml:space="preserve">Servicio de consultoría BEE Consultoría &amp; Negocios , Contrato BI-VSC-15479-2022-001 - Johnatan Alexander Mena Salcedo - Servicio de Marzo - Yenilka Yineth Cianca Miranda - 0  </v>
      </c>
      <c r="G16" s="3" t="str">
        <f>IF([1]Registro!H18&lt;&gt;"",[1]Registro!H18,"")</f>
        <v>USD</v>
      </c>
      <c r="H16" s="3">
        <f>IF([1]Registro!I18&lt;&gt;"",[1]Registro!I18,"")</f>
        <v>4637.2700000000004</v>
      </c>
      <c r="I16" s="3">
        <f>IF([1]Registro!J18&lt;&gt;"",[1]Registro!J18,"")</f>
        <v>-1</v>
      </c>
      <c r="J16" s="3">
        <f>IF([1]Registro!K18&lt;&gt;"",[1]Registro!K18,"")</f>
        <v>220.82</v>
      </c>
      <c r="K16" s="3">
        <f>IF([1]Registro!M18&lt;&gt;"",[1]Registro!M18,"")</f>
        <v>4416.4500000000007</v>
      </c>
      <c r="L16" s="5" t="str">
        <f>IF([1]Registro!N18&lt;&gt;"",[1]Registro!N18,"")</f>
        <v>CUATRO MIL CUATROCIENTOS DIECISEIS DOLARES AMERICANOS CON 45/100 CENTAVOS</v>
      </c>
      <c r="M16" s="5" t="str">
        <f>IFERROR(VLOOKUP(E16,[1]!Tabla1[[#All],[ID del colaborador]:[Sec. Factura]],4,FALSE),"")</f>
        <v>sergio.alvarez@beeconsultoria.com</v>
      </c>
    </row>
    <row r="17" spans="1:13" ht="47.25" x14ac:dyDescent="0.25">
      <c r="A17" s="3" t="str">
        <f>IF([1]Registro!A19&lt;&gt;"",[1]Registro!A19,"")</f>
        <v>PCC-2026-00676</v>
      </c>
      <c r="B17" s="3" t="str">
        <f>IF([1]Registro!B19&lt;&gt;"",[1]Registro!B19,"")</f>
        <v>BEE669</v>
      </c>
      <c r="C17" s="3" t="str">
        <f>IF([1]Registro!D19&lt;&gt;"",[1]Registro!D19,"")</f>
        <v>Marzo</v>
      </c>
      <c r="D17" s="3" t="str">
        <f>IF([1]Registro!E19&lt;&gt;"",[1]Registro!E19,"")</f>
        <v>Banistmo</v>
      </c>
      <c r="E17" s="3" t="str">
        <f>IF([1]Registro!F19&lt;&gt;"",[1]Registro!G19,"")</f>
        <v>1316870698</v>
      </c>
      <c r="F17" s="4" t="str">
        <f>IF([1]Registro!F19&lt;&gt;"",CONCATENATE("Servicio de consultoría BEE Consultoría &amp; Negocios"," ",","," ","Contrato"," ",[1]Registro!C19," ","-"," ",[1]Registro!F19," ","-"," ","Servicio de"," ",[1]Registro!D19," ","-"," ",[1]Registro!O19," ","-"," ",[1]Registro!A19," ",[1]Registro!Q19," ",[1]Registro!R19),"")</f>
        <v xml:space="preserve">Servicio de consultoría BEE Consultoría &amp; Negocios , Contrato BI-VSC-15479-2022-001 - Aaron Wladimir Loor Moran - Servicio de Marzo - Douglas Emir Barrera Bouche - PCC-2026-00676  </v>
      </c>
      <c r="G17" s="3" t="str">
        <f>IF([1]Registro!H19&lt;&gt;"",[1]Registro!H19,"")</f>
        <v>USD</v>
      </c>
      <c r="H17" s="3">
        <f>IF([1]Registro!I19&lt;&gt;"",[1]Registro!I19,"")</f>
        <v>3876.64</v>
      </c>
      <c r="I17" s="3" t="str">
        <f>IF([1]Registro!J19&lt;&gt;"",[1]Registro!J19,"")</f>
        <v/>
      </c>
      <c r="J17" s="3" t="str">
        <f>IF([1]Registro!K19&lt;&gt;"",[1]Registro!K19,"")</f>
        <v/>
      </c>
      <c r="K17" s="3">
        <f>IF([1]Registro!M19&lt;&gt;"",[1]Registro!M19,"")</f>
        <v>3876.64</v>
      </c>
      <c r="L17" s="5" t="str">
        <f>IF([1]Registro!N19&lt;&gt;"",[1]Registro!N19,"")</f>
        <v>TRES MIL OCHOCIENTOS SETENTA Y SEIS DOLARES AMERICANOS CON 64/100 CENTAVOS</v>
      </c>
      <c r="M17" s="5" t="str">
        <f>IFERROR(VLOOKUP(E17,[1]!Tabla1[[#All],[ID del colaborador]:[Sec. Factura]],4,FALSE),"")</f>
        <v>sergio.alvarez@beeconsultoria.com</v>
      </c>
    </row>
    <row r="18" spans="1:13" ht="47.25" x14ac:dyDescent="0.25">
      <c r="A18" s="3" t="str">
        <f>IF([1]Registro!A20&lt;&gt;"",[1]Registro!A20,"")</f>
        <v>PCC-2026-00665</v>
      </c>
      <c r="B18" s="3" t="str">
        <f>IF([1]Registro!B20&lt;&gt;"",[1]Registro!B20,"")</f>
        <v>BEE670</v>
      </c>
      <c r="C18" s="3" t="str">
        <f>IF([1]Registro!D20&lt;&gt;"",[1]Registro!D20,"")</f>
        <v>Marzo</v>
      </c>
      <c r="D18" s="3" t="str">
        <f>IF([1]Registro!E20&lt;&gt;"",[1]Registro!E20,"")</f>
        <v>Banistmo</v>
      </c>
      <c r="E18" s="3" t="str">
        <f>IF([1]Registro!F20&lt;&gt;"",[1]Registro!G20,"")</f>
        <v>1054323687</v>
      </c>
      <c r="F18" s="4" t="str">
        <f>IF([1]Registro!F20&lt;&gt;"",CONCATENATE("Servicio de consultoría BEE Consultoría &amp; Negocios"," ",","," ","Contrato"," ",[1]Registro!C20," ","-"," ",[1]Registro!F20," ","-"," ","Servicio de"," ",[1]Registro!D20," ","-"," ",[1]Registro!O20," ","-"," ",[1]Registro!A20," ",[1]Registro!Q20," ",[1]Registro!R20),"")</f>
        <v xml:space="preserve">Servicio de consultoría BEE Consultoría &amp; Negocios , Contrato BI-VSC-15479-2022-001 - Juan Diego Jaramillo Pérez - Servicio de Marzo - Jorge Ernesto Rodriguez Rodriguez - PCC-2026-00665  </v>
      </c>
      <c r="G18" s="3" t="str">
        <f>IF([1]Registro!H20&lt;&gt;"",[1]Registro!H20,"")</f>
        <v>USD</v>
      </c>
      <c r="H18" s="3">
        <f>IF([1]Registro!I20&lt;&gt;"",[1]Registro!I20,"")</f>
        <v>4637.2700000000004</v>
      </c>
      <c r="I18" s="3" t="str">
        <f>IF([1]Registro!J20&lt;&gt;"",[1]Registro!J20,"")</f>
        <v/>
      </c>
      <c r="J18" s="3">
        <f>IF([1]Registro!K20&lt;&gt;"",[1]Registro!K20,"")</f>
        <v>220.82</v>
      </c>
      <c r="K18" s="3">
        <f>IF([1]Registro!M20&lt;&gt;"",[1]Registro!M20,"")</f>
        <v>4637.2700000000004</v>
      </c>
      <c r="L18" s="5" t="str">
        <f>IF([1]Registro!N20&lt;&gt;"",[1]Registro!N20,"")</f>
        <v>CUATRO MIL SEISCIENTOS TREINTA Y SIETE DOLARES AMERICANOS CON 27/100 CENTAVOS</v>
      </c>
      <c r="M18" s="5" t="str">
        <f>IFERROR(VLOOKUP(E18,[1]!Tabla1[[#All],[ID del colaborador]:[Sec. Factura]],4,FALSE),"")</f>
        <v>viviana.alvarez@beeconsultoria.com</v>
      </c>
    </row>
    <row r="19" spans="1:13" ht="47.25" x14ac:dyDescent="0.25">
      <c r="A19" s="3">
        <f>IF([1]Registro!A21&lt;&gt;"",[1]Registro!A21,"")</f>
        <v>0</v>
      </c>
      <c r="B19" s="3" t="str">
        <f>IF([1]Registro!B21&lt;&gt;"",[1]Registro!B21,"")</f>
        <v>BEE671</v>
      </c>
      <c r="C19" s="3" t="str">
        <f>IF([1]Registro!D21&lt;&gt;"",[1]Registro!D21,"")</f>
        <v>Marzo</v>
      </c>
      <c r="D19" s="3" t="str">
        <f>IF([1]Registro!E21&lt;&gt;"",[1]Registro!E21,"")</f>
        <v>Banistmo</v>
      </c>
      <c r="E19" s="3" t="str">
        <f>IF([1]Registro!F21&lt;&gt;"",[1]Registro!G21,"")</f>
        <v>0401582176</v>
      </c>
      <c r="F19" s="4" t="str">
        <f>IF([1]Registro!F21&lt;&gt;"",CONCATENATE("Servicio de consultoría BEE Consultoría &amp; Negocios"," ",","," ","Contrato"," ",[1]Registro!C21," ","-"," ",[1]Registro!F21," ","-"," ","Servicio de"," ",[1]Registro!D21," ","-"," ",[1]Registro!O21," ","-"," ",[1]Registro!A21," ",[1]Registro!Q21," ",[1]Registro!R21),"")</f>
        <v xml:space="preserve">Servicio de consultoría BEE Consultoría &amp; Negocios , Contrato BI-VSC-15479-2022-001 - Maritza Nataly Rosero Velasco - Servicio de Marzo - Ana Isabel Rodriguez - 0  </v>
      </c>
      <c r="G19" s="3" t="str">
        <f>IF([1]Registro!H21&lt;&gt;"",[1]Registro!H21,"")</f>
        <v>USD</v>
      </c>
      <c r="H19" s="3">
        <f>IF([1]Registro!I21&lt;&gt;"",[1]Registro!I21,"")</f>
        <v>4637.2700000000004</v>
      </c>
      <c r="I19" s="3">
        <f>IF([1]Registro!J21&lt;&gt;"",[1]Registro!J21,"")</f>
        <v>-112</v>
      </c>
      <c r="J19" s="3">
        <f>IF([1]Registro!K21&lt;&gt;"",[1]Registro!K21,"")</f>
        <v>27.6</v>
      </c>
      <c r="K19" s="3">
        <f>IF([1]Registro!M21&lt;&gt;"",[1]Registro!M21,"")</f>
        <v>1546.0700000000002</v>
      </c>
      <c r="L19" s="5" t="str">
        <f>IF([1]Registro!N21&lt;&gt;"",[1]Registro!N21,"")</f>
        <v>UN MIL QUINIENTOS CUARENTA Y SEIS DOLARES AMERICANOS CON 07/100 CENTAVOS</v>
      </c>
      <c r="M19" s="5" t="str">
        <f>IFERROR(VLOOKUP(E19,[1]!Tabla1[[#All],[ID del colaborador]:[Sec. Factura]],4,FALSE),"")</f>
        <v>sergio.alvarez@beeconsultoria.com</v>
      </c>
    </row>
    <row r="20" spans="1:13" ht="47.25" x14ac:dyDescent="0.25">
      <c r="A20" s="3">
        <f>IF([1]Registro!A22&lt;&gt;"",[1]Registro!A22,"")</f>
        <v>0</v>
      </c>
      <c r="B20" s="3" t="str">
        <f>IF([1]Registro!B22&lt;&gt;"",[1]Registro!B22,"")</f>
        <v>BEE672</v>
      </c>
      <c r="C20" s="3" t="str">
        <f>IF([1]Registro!D22&lt;&gt;"",[1]Registro!D22,"")</f>
        <v>Marzo</v>
      </c>
      <c r="D20" s="3" t="str">
        <f>IF([1]Registro!E22&lt;&gt;"",[1]Registro!E22,"")</f>
        <v>Banistmo</v>
      </c>
      <c r="E20" s="3" t="str">
        <f>IF([1]Registro!F22&lt;&gt;"",[1]Registro!G22,"")</f>
        <v>604188086</v>
      </c>
      <c r="F20" s="4" t="str">
        <f>IF([1]Registro!F22&lt;&gt;"",CONCATENATE("Servicio de consultoría BEE Consultoría &amp; Negocios"," ",","," ","Contrato"," ",[1]Registro!C22," ","-"," ",[1]Registro!F22," ","-"," ","Servicio de"," ",[1]Registro!D22," ","-"," ",[1]Registro!O22," ","-"," ",[1]Registro!A22," ",[1]Registro!Q22," ",[1]Registro!R22),"")</f>
        <v xml:space="preserve">Servicio de consultoría BEE Consultoría &amp; Negocios , Contrato BI-VSC-15479-2022-001 - Nicole Yadira Chavez Garcia - Servicio de Marzo - Ana Isabel Rodriguez - 0  </v>
      </c>
      <c r="G20" s="3" t="str">
        <f>IF([1]Registro!H22&lt;&gt;"",[1]Registro!H22,"")</f>
        <v>USD</v>
      </c>
      <c r="H20" s="3">
        <f>IF([1]Registro!I22&lt;&gt;"",[1]Registro!I22,"")</f>
        <v>4416.45</v>
      </c>
      <c r="I20" s="3">
        <f>IF([1]Registro!J22&lt;&gt;"",[1]Registro!J22,"")</f>
        <v>-128</v>
      </c>
      <c r="J20" s="3">
        <f>IF([1]Registro!K22&lt;&gt;"",[1]Registro!K22,"")</f>
        <v>26.29</v>
      </c>
      <c r="K20" s="3">
        <f>IF([1]Registro!M22&lt;&gt;"",[1]Registro!M22,"")</f>
        <v>1051.33</v>
      </c>
      <c r="L20" s="5" t="str">
        <f>IF([1]Registro!N22&lt;&gt;"",[1]Registro!N22,"")</f>
        <v>UN MIL CINCUENTA Y UN DOLARES AMERICANOS CON 33/100 CENTAVOS</v>
      </c>
      <c r="M20" s="5" t="str">
        <f>IFERROR(VLOOKUP(E20,[1]!Tabla1[[#All],[ID del colaborador]:[Sec. Factura]],4,FALSE),"")</f>
        <v>sergio.alvarez@beeconsultoria.com</v>
      </c>
    </row>
    <row r="21" spans="1:13" ht="47.25" x14ac:dyDescent="0.25">
      <c r="A21" s="3">
        <f>IF([1]Registro!A23&lt;&gt;"",[1]Registro!A23,"")</f>
        <v>0</v>
      </c>
      <c r="B21" s="3" t="str">
        <f>IF([1]Registro!B23&lt;&gt;"",[1]Registro!B23,"")</f>
        <v>BEE673</v>
      </c>
      <c r="C21" s="3" t="str">
        <f>IF([1]Registro!D23&lt;&gt;"",[1]Registro!D23,"")</f>
        <v>Marzo</v>
      </c>
      <c r="D21" s="3" t="str">
        <f>IF([1]Registro!E23&lt;&gt;"",[1]Registro!E23,"")</f>
        <v/>
      </c>
      <c r="E21" s="3" t="str">
        <f>IF([1]Registro!F23&lt;&gt;"",[1]Registro!G23,"")</f>
        <v>0923767669</v>
      </c>
      <c r="F21" s="4" t="str">
        <f>IF([1]Registro!F23&lt;&gt;"",CONCATENATE("Servicio de consultoría BEE Consultoría &amp; Negocios"," ",","," ","Contrato"," ",[1]Registro!C23," ","-"," ",[1]Registro!F23," ","-"," ","Servicio de"," ",[1]Registro!D23," ","-"," ",[1]Registro!O23," ","-"," ",[1]Registro!A23," ",[1]Registro!Q23," ",[1]Registro!R23),"")</f>
        <v xml:space="preserve">Servicio de consultoría BEE Consultoría &amp; Negocios , Contrato BI-VSC-15479-2022-001 - Pratt Christian Garcia Regalado - Servicio de Marzo - Ana Isabel Rodriguez - 0  </v>
      </c>
      <c r="G21" s="3" t="str">
        <f>IF([1]Registro!H23&lt;&gt;"",[1]Registro!H23,"")</f>
        <v>USD</v>
      </c>
      <c r="H21" s="3">
        <f>IF([1]Registro!I23&lt;&gt;"",[1]Registro!I23,"")</f>
        <v>4637.2700000000004</v>
      </c>
      <c r="I21" s="3">
        <f>IF([1]Registro!J23&lt;&gt;"",[1]Registro!J23,"")</f>
        <v>-152</v>
      </c>
      <c r="J21" s="3">
        <f>IF([1]Registro!K23&lt;&gt;"",[1]Registro!K23,"")</f>
        <v>27.6</v>
      </c>
      <c r="K21" s="3">
        <f>IF([1]Registro!M23&lt;&gt;"",[1]Registro!M23,"")</f>
        <v>442.07000000000062</v>
      </c>
      <c r="L21" s="5" t="str">
        <f>IF([1]Registro!N23&lt;&gt;"",[1]Registro!N23,"")</f>
        <v>CUATROCIENTOS CUARENTA Y DOS DOLARES AMERICANOS CON 07/100 CENTAVOS</v>
      </c>
      <c r="M21" s="5" t="str">
        <f>IFERROR(VLOOKUP(E21,[1]!Tabla1[[#All],[ID del colaborador]:[Sec. Factura]],4,FALSE),"")</f>
        <v>sergio.alvarez@beeconsultoria.com</v>
      </c>
    </row>
    <row r="22" spans="1:13" ht="47.25" x14ac:dyDescent="0.25">
      <c r="A22" s="3" t="str">
        <f>IF([1]Registro!A24&lt;&gt;"",[1]Registro!A24,"")</f>
        <v>PCC-2026-00682</v>
      </c>
      <c r="B22" s="3" t="str">
        <f>IF([1]Registro!B24&lt;&gt;"",[1]Registro!B24,"")</f>
        <v>BEE674</v>
      </c>
      <c r="C22" s="3" t="str">
        <f>IF([1]Registro!D24&lt;&gt;"",[1]Registro!D24,"")</f>
        <v>Marzo</v>
      </c>
      <c r="D22" s="3" t="str">
        <f>IF([1]Registro!E24&lt;&gt;"",[1]Registro!E24,"")</f>
        <v/>
      </c>
      <c r="E22" s="3" t="str">
        <f>IF([1]Registro!F24&lt;&gt;"",[1]Registro!G24,"")</f>
        <v>1067962747</v>
      </c>
      <c r="F22" s="4" t="str">
        <f>IF([1]Registro!F24&lt;&gt;"",CONCATENATE("Servicio de consultoría BEE Consultoría &amp; Negocios"," ",","," ","Contrato"," ",[1]Registro!C24," ","-"," ",[1]Registro!F24," ","-"," ","Servicio de"," ",[1]Registro!D24," ","-"," ",[1]Registro!O24," ","-"," ",[1]Registro!A24," ",[1]Registro!Q24," ",[1]Registro!R24),"")</f>
        <v xml:space="preserve">Servicio de consultoría BEE Consultoría &amp; Negocios , Contrato BI-VSC-15479-2022-001 - Elkin Andrés Aristizabal Rodríguez - Servicio de Marzo - Erika Lavinia Lasso Carrasquilla - PCC-2026-00682  </v>
      </c>
      <c r="G22" s="3" t="str">
        <f>IF([1]Registro!H24&lt;&gt;"",[1]Registro!H24,"")</f>
        <v>USD</v>
      </c>
      <c r="H22" s="3">
        <f>IF([1]Registro!I24&lt;&gt;"",[1]Registro!I24,"")</f>
        <v>2636.1152000000002</v>
      </c>
      <c r="I22" s="3" t="str">
        <f>IF([1]Registro!J24&lt;&gt;"",[1]Registro!J24,"")</f>
        <v/>
      </c>
      <c r="J22" s="3" t="str">
        <f>IF([1]Registro!K24&lt;&gt;"",[1]Registro!K24,"")</f>
        <v/>
      </c>
      <c r="K22" s="3">
        <f>IF([1]Registro!M24&lt;&gt;"",[1]Registro!M24,"")</f>
        <v>2636.1152000000002</v>
      </c>
      <c r="L22" s="5" t="str">
        <f>IF([1]Registro!N24&lt;&gt;"",[1]Registro!N24,"")</f>
        <v>DOS MIL SEISCIENTOS TREINTA Y SEIS DOLARES AMERICANOS CON 12/100 CENTAVOS</v>
      </c>
      <c r="M22" s="5" t="str">
        <f>IFERROR(VLOOKUP(E22,[1]!Tabla1[[#All],[ID del colaborador]:[Sec. Factura]],4,FALSE),"")</f>
        <v>luisa.granada@beeconsultoria.com</v>
      </c>
    </row>
    <row r="23" spans="1:13" ht="31.5" x14ac:dyDescent="0.25">
      <c r="A23" s="3" t="str">
        <f>IF([1]Registro!A28&lt;&gt;"",[1]Registro!A28,"")</f>
        <v/>
      </c>
      <c r="B23" s="3" t="str">
        <f>IF([1]Registro!B28&lt;&gt;"",[1]Registro!B28,"")</f>
        <v/>
      </c>
      <c r="C23" s="3" t="str">
        <f>IF([1]Registro!D28&lt;&gt;"",[1]Registro!D28,"")</f>
        <v>Marzo</v>
      </c>
      <c r="D23" s="3" t="str">
        <f>IF([1]Registro!E28&lt;&gt;"",[1]Registro!E28,"")</f>
        <v/>
      </c>
      <c r="E23" s="3" t="str">
        <f>IF([1]Registro!F28&lt;&gt;"",[1]Registro!G28,"")</f>
        <v/>
      </c>
      <c r="F23" s="4" t="str">
        <f>IF([1]Registro!F28&lt;&gt;"",CONCATENATE("Servicio de consultoría BEE Consultoría &amp; Negocios"," ",","," ","Contrato"," ",[1]Registro!C28," ","-"," ",[1]Registro!F28," ","-"," ","Servicio de"," ",[1]Registro!D28," ","-"," ",[1]Registro!O28," ","-"," ",[1]Registro!A28," ",[1]Registro!Q28," ",[1]Registro!R28),"")</f>
        <v/>
      </c>
      <c r="G23" s="3" t="str">
        <f>IF([1]Registro!H28&lt;&gt;"",[1]Registro!H28,"")</f>
        <v/>
      </c>
      <c r="H23" s="3" t="str">
        <f>IF([1]Registro!I28&lt;&gt;"",[1]Registro!I28,"")</f>
        <v/>
      </c>
      <c r="I23" s="3" t="str">
        <f>IF([1]Registro!J28&lt;&gt;"",[1]Registro!J28,"")</f>
        <v/>
      </c>
      <c r="J23" s="3" t="str">
        <f>IF([1]Registro!K28&lt;&gt;"",[1]Registro!K28,"")</f>
        <v/>
      </c>
      <c r="K23" s="3">
        <f>IF([1]Registro!M28&lt;&gt;"",[1]Registro!M28,"")</f>
        <v>0</v>
      </c>
      <c r="L23" s="5" t="str">
        <f>IF([1]Registro!N28&lt;&gt;"",[1]Registro!N28,"")</f>
        <v>DOLARES AMERICANOS CON 00/100 CENTAVOS</v>
      </c>
      <c r="M23" s="5" t="str">
        <f>IFERROR(VLOOKUP(E23,[1]!Tabla1[[#All],[ID del colaborador]:[Sec. Factura]],4,FALSE),"")</f>
        <v/>
      </c>
    </row>
    <row r="24" spans="1:13" ht="31.5" x14ac:dyDescent="0.25">
      <c r="A24" s="3" t="str">
        <f>IF([1]Registro!A25&lt;&gt;"",[1]Registro!A25,"")</f>
        <v/>
      </c>
      <c r="B24" s="3" t="str">
        <f>IF([1]Registro!B25&lt;&gt;"",[1]Registro!B25,"")</f>
        <v/>
      </c>
      <c r="C24" s="3" t="str">
        <f>IF([1]Registro!D25&lt;&gt;"",[1]Registro!D25,"")</f>
        <v>Marzo</v>
      </c>
      <c r="D24" s="3" t="str">
        <f>IF([1]Registro!E25&lt;&gt;"",[1]Registro!E25,"")</f>
        <v/>
      </c>
      <c r="E24" s="3" t="str">
        <f>IF([1]Registro!F25&lt;&gt;"",[1]Registro!G25,"")</f>
        <v/>
      </c>
      <c r="F24" s="4" t="str">
        <f>IF([1]Registro!F25&lt;&gt;"",CONCATENATE("Servicio de consultoría BEE Consultoría &amp; Negocios"," ",","," ","Contrato"," ",[1]Registro!C25," ","-"," ",[1]Registro!F25," ","-"," ","Servicio de"," ",[1]Registro!D25," ","-"," ",[1]Registro!O25," ","-"," ",[1]Registro!A25," ",[1]Registro!Q25," ",[1]Registro!R25),"")</f>
        <v/>
      </c>
      <c r="G24" s="3" t="str">
        <f>IF([1]Registro!H25&lt;&gt;"",[1]Registro!H25,"")</f>
        <v/>
      </c>
      <c r="H24" s="3" t="str">
        <f>IF([1]Registro!I25&lt;&gt;"",[1]Registro!I25,"")</f>
        <v/>
      </c>
      <c r="I24" s="3" t="str">
        <f>IF([1]Registro!J25&lt;&gt;"",[1]Registro!J25,"")</f>
        <v/>
      </c>
      <c r="J24" s="3" t="str">
        <f>IF([1]Registro!K25&lt;&gt;"",[1]Registro!K25,"")</f>
        <v/>
      </c>
      <c r="K24" s="3">
        <f>IF([1]Registro!M25&lt;&gt;"",[1]Registro!M25,"")</f>
        <v>0</v>
      </c>
      <c r="L24" s="5" t="str">
        <f>IF([1]Registro!N25&lt;&gt;"",[1]Registro!N25,"")</f>
        <v>DOLARES AMERICANOS CON 00/100 CENTAVOS</v>
      </c>
      <c r="M24" s="5" t="str">
        <f>IFERROR(VLOOKUP(E24,[1]!Tabla1[[#All],[ID del colaborador]:[Sec. Factura]],4,FALSE),"")</f>
        <v/>
      </c>
    </row>
    <row r="25" spans="1:13" ht="31.5" x14ac:dyDescent="0.25">
      <c r="A25" s="3" t="str">
        <f>IF([1]Registro!A26&lt;&gt;"",[1]Registro!A26,"")</f>
        <v/>
      </c>
      <c r="B25" s="3" t="str">
        <f>IF([1]Registro!B26&lt;&gt;"",[1]Registro!B26,"")</f>
        <v/>
      </c>
      <c r="C25" s="3" t="str">
        <f>IF([1]Registro!D26&lt;&gt;"",[1]Registro!D26,"")</f>
        <v>Marzo</v>
      </c>
      <c r="D25" s="3" t="str">
        <f>IF([1]Registro!E26&lt;&gt;"",[1]Registro!E26,"")</f>
        <v/>
      </c>
      <c r="E25" s="3" t="str">
        <f>IF([1]Registro!F26&lt;&gt;"",[1]Registro!G26,"")</f>
        <v/>
      </c>
      <c r="F25" s="4" t="str">
        <f>IF([1]Registro!F26&lt;&gt;"",CONCATENATE("Servicio de consultoría BEE Consultoría &amp; Negocios"," ",","," ","Contrato"," ",[1]Registro!C26," ","-"," ",[1]Registro!F26," ","-"," ","Servicio de"," ",[1]Registro!D26," ","-"," ",[1]Registro!O26," ","-"," ",[1]Registro!A26," ",[1]Registro!Q26," ",[1]Registro!R26),"")</f>
        <v/>
      </c>
      <c r="G25" s="3" t="str">
        <f>IF([1]Registro!H26&lt;&gt;"",[1]Registro!H26,"")</f>
        <v/>
      </c>
      <c r="H25" s="3" t="str">
        <f>IF([1]Registro!I26&lt;&gt;"",[1]Registro!I26,"")</f>
        <v/>
      </c>
      <c r="I25" s="3" t="str">
        <f>IF([1]Registro!J26&lt;&gt;"",[1]Registro!J26,"")</f>
        <v/>
      </c>
      <c r="J25" s="3" t="str">
        <f>IF([1]Registro!K26&lt;&gt;"",[1]Registro!K26,"")</f>
        <v/>
      </c>
      <c r="K25" s="3">
        <f>IF([1]Registro!M26&lt;&gt;"",[1]Registro!M26,"")</f>
        <v>0</v>
      </c>
      <c r="L25" s="5" t="str">
        <f>IF([1]Registro!N26&lt;&gt;"",[1]Registro!N26,"")</f>
        <v>DOLARES AMERICANOS CON 00/100 CENTAVOS</v>
      </c>
      <c r="M25" s="5" t="str">
        <f>IFERROR(VLOOKUP(E25,[1]!Tabla1[[#All],[ID del colaborador]:[Sec. Factura]],4,FALSE),"")</f>
        <v/>
      </c>
    </row>
    <row r="26" spans="1:13" ht="31.5" x14ac:dyDescent="0.25">
      <c r="A26" s="3" t="str">
        <f>IF([1]Registro!A27&lt;&gt;"",[1]Registro!A27,"")</f>
        <v/>
      </c>
      <c r="B26" s="3" t="str">
        <f>IF([1]Registro!B27&lt;&gt;"",[1]Registro!B27,"")</f>
        <v/>
      </c>
      <c r="C26" s="3" t="str">
        <f>IF([1]Registro!D27&lt;&gt;"",[1]Registro!D27,"")</f>
        <v>Marzo</v>
      </c>
      <c r="D26" s="3" t="str">
        <f>IF([1]Registro!E27&lt;&gt;"",[1]Registro!E27,"")</f>
        <v/>
      </c>
      <c r="E26" s="3" t="str">
        <f>IF([1]Registro!F27&lt;&gt;"",[1]Registro!G27,"")</f>
        <v/>
      </c>
      <c r="F26" s="4" t="str">
        <f>IF([1]Registro!F27&lt;&gt;"",CONCATENATE("Servicio de consultoría BEE Consultoría &amp; Negocios"," ",","," ","Contrato"," ",[1]Registro!C27," ","-"," ",[1]Registro!F27," ","-"," ","Servicio de"," ",[1]Registro!D27," ","-"," ",[1]Registro!O27," ","-"," ",[1]Registro!A27," ",[1]Registro!Q27," ",[1]Registro!R27),"")</f>
        <v/>
      </c>
      <c r="G26" s="3" t="str">
        <f>IF([1]Registro!H27&lt;&gt;"",[1]Registro!H27,"")</f>
        <v/>
      </c>
      <c r="H26" s="3" t="str">
        <f>IF([1]Registro!I27&lt;&gt;"",[1]Registro!I27,"")</f>
        <v/>
      </c>
      <c r="I26" s="3" t="str">
        <f>IF([1]Registro!J27&lt;&gt;"",[1]Registro!J27,"")</f>
        <v/>
      </c>
      <c r="J26" s="3" t="str">
        <f>IF([1]Registro!K27&lt;&gt;"",[1]Registro!K27,"")</f>
        <v/>
      </c>
      <c r="K26" s="3">
        <f>IF([1]Registro!M27&lt;&gt;"",[1]Registro!M27,"")</f>
        <v>0</v>
      </c>
      <c r="L26" s="5" t="str">
        <f>IF([1]Registro!N27&lt;&gt;"",[1]Registro!N27,"")</f>
        <v>DOLARES AMERICANOS CON 00/100 CENTAVOS</v>
      </c>
      <c r="M26" s="5" t="str">
        <f>IFERROR(VLOOKUP(E26,[1]!Tabla1[[#All],[ID del colaborador]:[Sec. Factura]],4,FALSE),"")</f>
        <v/>
      </c>
    </row>
    <row r="27" spans="1:13" ht="31.5" x14ac:dyDescent="0.25">
      <c r="A27" s="3" t="str">
        <f>IF([1]Registro!A29&lt;&gt;"",[1]Registro!A29,"")</f>
        <v/>
      </c>
      <c r="B27" s="3" t="str">
        <f>IF([1]Registro!B29&lt;&gt;"",[1]Registro!B29,"")</f>
        <v/>
      </c>
      <c r="C27" s="3" t="str">
        <f>IF([1]Registro!D29&lt;&gt;"",[1]Registro!D29,"")</f>
        <v>Marzo</v>
      </c>
      <c r="D27" s="3" t="str">
        <f>IF([1]Registro!E29&lt;&gt;"",[1]Registro!E29,"")</f>
        <v/>
      </c>
      <c r="E27" s="3" t="str">
        <f>IF([1]Registro!F29&lt;&gt;"",[1]Registro!G29,"")</f>
        <v/>
      </c>
      <c r="F27" s="4" t="str">
        <f>IF([1]Registro!F29&lt;&gt;"",CONCATENATE("Servicio de consultoría BEE Consultoría &amp; Negocios"," ",","," ","Contrato"," ",[1]Registro!C29," ","-"," ",[1]Registro!F29," ","-"," ","Servicio de"," ",[1]Registro!D29," ","-"," ",[1]Registro!O29," ","-"," ",[1]Registro!A29," ",[1]Registro!Q29," ",[1]Registro!R29),"")</f>
        <v/>
      </c>
      <c r="G27" s="3" t="str">
        <f>IF([1]Registro!H29&lt;&gt;"",[1]Registro!H29,"")</f>
        <v/>
      </c>
      <c r="H27" s="3" t="str">
        <f>IF([1]Registro!I29&lt;&gt;"",[1]Registro!I29,"")</f>
        <v/>
      </c>
      <c r="I27" s="3" t="str">
        <f>IF([1]Registro!J29&lt;&gt;"",[1]Registro!J29,"")</f>
        <v/>
      </c>
      <c r="J27" s="3" t="str">
        <f>IF([1]Registro!K29&lt;&gt;"",[1]Registro!K29,"")</f>
        <v/>
      </c>
      <c r="K27" s="3">
        <f>IF([1]Registro!M29&lt;&gt;"",[1]Registro!M29,"")</f>
        <v>0</v>
      </c>
      <c r="L27" s="5" t="str">
        <f>IF([1]Registro!N29&lt;&gt;"",[1]Registro!N29,"")</f>
        <v>DOLARES AMERICANOS CON 00/100 CENTAVOS</v>
      </c>
      <c r="M27" s="5" t="str">
        <f>IFERROR(VLOOKUP(E27,[1]!Tabla1[[#All],[ID del colaborador]:[Sec. Factura]],4,FALSE),"")</f>
        <v/>
      </c>
    </row>
    <row r="28" spans="1:13" ht="31.5" x14ac:dyDescent="0.25">
      <c r="A28" s="3" t="str">
        <f>IF([1]Registro!A30&lt;&gt;"",[1]Registro!A30,"")</f>
        <v/>
      </c>
      <c r="B28" s="3" t="str">
        <f>IF([1]Registro!B30&lt;&gt;"",[1]Registro!B30,"")</f>
        <v/>
      </c>
      <c r="C28" s="3" t="str">
        <f>IF([1]Registro!D30&lt;&gt;"",[1]Registro!D30,"")</f>
        <v>Marzo</v>
      </c>
      <c r="D28" s="3" t="str">
        <f>IF([1]Registro!E30&lt;&gt;"",[1]Registro!E30,"")</f>
        <v/>
      </c>
      <c r="E28" s="3" t="str">
        <f>IF([1]Registro!F30&lt;&gt;"",[1]Registro!G30,"")</f>
        <v/>
      </c>
      <c r="F28" s="4" t="str">
        <f>IF([1]Registro!F30&lt;&gt;"",CONCATENATE("Servicio de consultoría BEE Consultoría &amp; Negocios"," ",","," ","Contrato"," ",[1]Registro!C30," ","-"," ",[1]Registro!F30," ","-"," ","Servicio de"," ",[1]Registro!D30," ","-"," ",[1]Registro!O30," ","-"," ",[1]Registro!A30," ",[1]Registro!Q30," ",[1]Registro!R30),"")</f>
        <v/>
      </c>
      <c r="G28" s="3" t="str">
        <f>IF([1]Registro!H30&lt;&gt;"",[1]Registro!H30,"")</f>
        <v/>
      </c>
      <c r="H28" s="3" t="str">
        <f>IF([1]Registro!I30&lt;&gt;"",[1]Registro!I30,"")</f>
        <v/>
      </c>
      <c r="I28" s="3" t="str">
        <f>IF([1]Registro!J30&lt;&gt;"",[1]Registro!J30,"")</f>
        <v/>
      </c>
      <c r="J28" s="3" t="str">
        <f>IF([1]Registro!K30&lt;&gt;"",[1]Registro!K30,"")</f>
        <v/>
      </c>
      <c r="K28" s="3">
        <f>IF([1]Registro!M30&lt;&gt;"",[1]Registro!M30,"")</f>
        <v>0</v>
      </c>
      <c r="L28" s="5" t="str">
        <f>IF([1]Registro!N30&lt;&gt;"",[1]Registro!N30,"")</f>
        <v>DOLARES AMERICANOS CON 00/100 CENTAVOS</v>
      </c>
      <c r="M28" s="5" t="str">
        <f>IFERROR(VLOOKUP(E28,[1]!Tabla1[[#All],[ID del colaborador]:[Sec. Factura]],4,FALSE),"")</f>
        <v/>
      </c>
    </row>
    <row r="29" spans="1:13" ht="31.5" x14ac:dyDescent="0.25">
      <c r="A29" s="3" t="str">
        <f>IF([1]Registro!A31&lt;&gt;"",[1]Registro!A31,"")</f>
        <v/>
      </c>
      <c r="B29" s="3" t="str">
        <f>IF([1]Registro!B31&lt;&gt;"",[1]Registro!B31,"")</f>
        <v/>
      </c>
      <c r="C29" s="3" t="str">
        <f>IF([1]Registro!D31&lt;&gt;"",[1]Registro!D31,"")</f>
        <v>Marzo</v>
      </c>
      <c r="D29" s="3" t="str">
        <f>IF([1]Registro!E31&lt;&gt;"",[1]Registro!E31,"")</f>
        <v/>
      </c>
      <c r="E29" s="3" t="str">
        <f>IF([1]Registro!F31&lt;&gt;"",[1]Registro!G31,"")</f>
        <v/>
      </c>
      <c r="F29" s="4" t="str">
        <f>IF([1]Registro!F31&lt;&gt;"",CONCATENATE("Servicio de consultoría BEE Consultoría &amp; Negocios"," ",","," ","Contrato"," ",[1]Registro!C31," ","-"," ",[1]Registro!F31," ","-"," ","Servicio de"," ",[1]Registro!D31," ","-"," ",[1]Registro!O31," ","-"," ",[1]Registro!A31," ",[1]Registro!Q31," ",[1]Registro!R31),"")</f>
        <v/>
      </c>
      <c r="G29" s="3" t="str">
        <f>IF([1]Registro!H31&lt;&gt;"",[1]Registro!H31,"")</f>
        <v/>
      </c>
      <c r="H29" s="3" t="str">
        <f>IF([1]Registro!I31&lt;&gt;"",[1]Registro!I31,"")</f>
        <v/>
      </c>
      <c r="I29" s="3" t="str">
        <f>IF([1]Registro!J31&lt;&gt;"",[1]Registro!J31,"")</f>
        <v/>
      </c>
      <c r="J29" s="3" t="str">
        <f>IF([1]Registro!K31&lt;&gt;"",[1]Registro!K31,"")</f>
        <v/>
      </c>
      <c r="K29" s="3">
        <f>IF([1]Registro!M31&lt;&gt;"",[1]Registro!M31,"")</f>
        <v>0</v>
      </c>
      <c r="L29" s="5" t="str">
        <f>IF([1]Registro!N31&lt;&gt;"",[1]Registro!N31,"")</f>
        <v>DOLARES AMERICANOS CON 00/100 CENTAVOS</v>
      </c>
      <c r="M29" s="5" t="str">
        <f>IFERROR(VLOOKUP(E29,[1]!Tabla1[[#All],[ID del colaborador]:[Sec. Factura]],4,FALSE),"")</f>
        <v/>
      </c>
    </row>
    <row r="30" spans="1:13" ht="31.5" x14ac:dyDescent="0.25">
      <c r="A30" s="3" t="str">
        <f>IF([1]Registro!A32&lt;&gt;"",[1]Registro!A32,"")</f>
        <v/>
      </c>
      <c r="B30" s="3" t="str">
        <f>IF([1]Registro!B32&lt;&gt;"",[1]Registro!B32,"")</f>
        <v/>
      </c>
      <c r="C30" s="3" t="str">
        <f>IF([1]Registro!D32&lt;&gt;"",[1]Registro!D32,"")</f>
        <v>Marzo</v>
      </c>
      <c r="D30" s="3" t="str">
        <f>IF([1]Registro!E32&lt;&gt;"",[1]Registro!E32,"")</f>
        <v/>
      </c>
      <c r="E30" s="3" t="str">
        <f>IF([1]Registro!F32&lt;&gt;"",[1]Registro!G32,"")</f>
        <v/>
      </c>
      <c r="F30" s="4" t="str">
        <f>IF([1]Registro!F32&lt;&gt;"",CONCATENATE("Servicio de consultoría BEE Consultoría &amp; Negocios"," ",","," ","Contrato"," ",[1]Registro!C32," ","-"," ",[1]Registro!F32," ","-"," ","Servicio de"," ",[1]Registro!D32," ","-"," ",[1]Registro!O32," ","-"," ",[1]Registro!A32," ",[1]Registro!Q32," ",[1]Registro!R32),"")</f>
        <v/>
      </c>
      <c r="G30" s="3" t="str">
        <f>IF([1]Registro!H32&lt;&gt;"",[1]Registro!H32,"")</f>
        <v/>
      </c>
      <c r="H30" s="3" t="str">
        <f>IF([1]Registro!I32&lt;&gt;"",[1]Registro!I32,"")</f>
        <v/>
      </c>
      <c r="I30" s="3" t="str">
        <f>IF([1]Registro!J32&lt;&gt;"",[1]Registro!J32,"")</f>
        <v/>
      </c>
      <c r="J30" s="3" t="str">
        <f>IF([1]Registro!K32&lt;&gt;"",[1]Registro!K32,"")</f>
        <v/>
      </c>
      <c r="K30" s="3">
        <f>IF([1]Registro!M32&lt;&gt;"",[1]Registro!M32,"")</f>
        <v>0</v>
      </c>
      <c r="L30" s="5" t="str">
        <f>IF([1]Registro!N32&lt;&gt;"",[1]Registro!N32,"")</f>
        <v>DOLARES AMERICANOS CON 00/100 CENTAVOS</v>
      </c>
      <c r="M30" s="5" t="str">
        <f>IFERROR(VLOOKUP(E30,[1]!Tabla1[[#All],[ID del colaborador]:[Sec. Factura]],4,FALSE),"")</f>
        <v/>
      </c>
    </row>
    <row r="31" spans="1:13" ht="31.5" x14ac:dyDescent="0.25">
      <c r="A31" s="3" t="str">
        <f>IF([1]Registro!A33&lt;&gt;"",[1]Registro!A33,"")</f>
        <v/>
      </c>
      <c r="B31" s="3" t="str">
        <f>IF([1]Registro!B33&lt;&gt;"",[1]Registro!B33,"")</f>
        <v/>
      </c>
      <c r="C31" s="3" t="str">
        <f>IF([1]Registro!D33&lt;&gt;"",[1]Registro!D33,"")</f>
        <v>Marzo</v>
      </c>
      <c r="D31" s="3" t="str">
        <f>IF([1]Registro!E33&lt;&gt;"",[1]Registro!E33,"")</f>
        <v/>
      </c>
      <c r="E31" s="3" t="str">
        <f>IF([1]Registro!F33&lt;&gt;"",[1]Registro!G33,"")</f>
        <v/>
      </c>
      <c r="F31" s="4" t="str">
        <f>IF([1]Registro!F33&lt;&gt;"",CONCATENATE("Servicio de consultoría BEE Consultoría &amp; Negocios"," ",","," ","Contrato"," ",[1]Registro!C33," ","-"," ",[1]Registro!F33," ","-"," ","Servicio de"," ",[1]Registro!D33," ","-"," ",[1]Registro!O33," ","-"," ",[1]Registro!A33," ",[1]Registro!Q33," ",[1]Registro!R33),"")</f>
        <v/>
      </c>
      <c r="G31" s="3" t="str">
        <f>IF([1]Registro!H33&lt;&gt;"",[1]Registro!H33,"")</f>
        <v/>
      </c>
      <c r="H31" s="3" t="str">
        <f>IF([1]Registro!I33&lt;&gt;"",[1]Registro!I33,"")</f>
        <v/>
      </c>
      <c r="I31" s="3" t="str">
        <f>IF([1]Registro!J33&lt;&gt;"",[1]Registro!J33,"")</f>
        <v/>
      </c>
      <c r="J31" s="3" t="str">
        <f>IF([1]Registro!K33&lt;&gt;"",[1]Registro!K33,"")</f>
        <v/>
      </c>
      <c r="K31" s="3">
        <f>IF([1]Registro!M33&lt;&gt;"",[1]Registro!M33,"")</f>
        <v>0</v>
      </c>
      <c r="L31" s="5" t="str">
        <f>IF([1]Registro!N33&lt;&gt;"",[1]Registro!N33,"")</f>
        <v>DOLARES AMERICANOS CON 00/100 CENTAVOS</v>
      </c>
      <c r="M31" s="5" t="str">
        <f>IFERROR(VLOOKUP(E31,[1]!Tabla1[[#All],[ID del colaborador]:[Sec. Factura]],4,FALSE),"")</f>
        <v/>
      </c>
    </row>
    <row r="32" spans="1:13" ht="31.5" x14ac:dyDescent="0.25">
      <c r="A32" s="3" t="str">
        <f>IF([1]Registro!A34&lt;&gt;"",[1]Registro!A34,"")</f>
        <v/>
      </c>
      <c r="B32" s="3" t="str">
        <f>IF([1]Registro!B34&lt;&gt;"",[1]Registro!B34,"")</f>
        <v/>
      </c>
      <c r="C32" s="3" t="str">
        <f>IF([1]Registro!D34&lt;&gt;"",[1]Registro!D34,"")</f>
        <v>Marzo</v>
      </c>
      <c r="D32" s="3" t="str">
        <f>IF([1]Registro!E34&lt;&gt;"",[1]Registro!E34,"")</f>
        <v/>
      </c>
      <c r="E32" s="3" t="str">
        <f>IF([1]Registro!F34&lt;&gt;"",[1]Registro!G34,"")</f>
        <v/>
      </c>
      <c r="F32" s="4" t="str">
        <f>IF([1]Registro!F34&lt;&gt;"",CONCATENATE("Servicio de consultoría BEE Consultoría &amp; Negocios"," ",","," ","Contrato"," ",[1]Registro!C34," ","-"," ",[1]Registro!F34," ","-"," ","Servicio de"," ",[1]Registro!D34," ","-"," ",[1]Registro!O34," ","-"," ",[1]Registro!A34," ",[1]Registro!Q34," ",[1]Registro!R34),"")</f>
        <v/>
      </c>
      <c r="G32" s="3" t="str">
        <f>IF([1]Registro!H34&lt;&gt;"",[1]Registro!H34,"")</f>
        <v/>
      </c>
      <c r="H32" s="3" t="str">
        <f>IF([1]Registro!I34&lt;&gt;"",[1]Registro!I34,"")</f>
        <v/>
      </c>
      <c r="I32" s="3" t="str">
        <f>IF([1]Registro!J34&lt;&gt;"",[1]Registro!J34,"")</f>
        <v/>
      </c>
      <c r="J32" s="3" t="str">
        <f>IF([1]Registro!K34&lt;&gt;"",[1]Registro!K34,"")</f>
        <v/>
      </c>
      <c r="K32" s="3">
        <f>IF([1]Registro!M34&lt;&gt;"",[1]Registro!M34,"")</f>
        <v>0</v>
      </c>
      <c r="L32" s="5" t="str">
        <f>IF([1]Registro!N34&lt;&gt;"",[1]Registro!N34,"")</f>
        <v>DOLARES AMERICANOS CON 00/100 CENTAVOS</v>
      </c>
      <c r="M32" s="5" t="str">
        <f>IFERROR(VLOOKUP(E32,[1]!Tabla1[[#All],[ID del colaborador]:[Sec. Factura]],4,FALSE),"")</f>
        <v/>
      </c>
    </row>
    <row r="33" spans="1:13" ht="31.5" x14ac:dyDescent="0.25">
      <c r="A33" s="3" t="str">
        <f>IF([1]Registro!A35&lt;&gt;"",[1]Registro!A35,"")</f>
        <v/>
      </c>
      <c r="B33" s="3" t="str">
        <f>IF([1]Registro!B35&lt;&gt;"",[1]Registro!B35,"")</f>
        <v/>
      </c>
      <c r="C33" s="3" t="str">
        <f>IF([1]Registro!D35&lt;&gt;"",[1]Registro!D35,"")</f>
        <v>Marzo</v>
      </c>
      <c r="D33" s="3" t="str">
        <f>IF([1]Registro!E35&lt;&gt;"",[1]Registro!E35,"")</f>
        <v/>
      </c>
      <c r="E33" s="3" t="str">
        <f>IF([1]Registro!F35&lt;&gt;"",[1]Registro!G35,"")</f>
        <v/>
      </c>
      <c r="F33" s="4" t="str">
        <f>IF([1]Registro!F35&lt;&gt;"",CONCATENATE("Servicio de consultoría BEE Consultoría &amp; Negocios"," ",","," ","Contrato"," ",[1]Registro!C35," ","-"," ",[1]Registro!F35," ","-"," ","Servicio de"," ",[1]Registro!D35," ","-"," ",[1]Registro!O35," ","-"," ",[1]Registro!A35," ",[1]Registro!Q35," ",[1]Registro!R35),"")</f>
        <v/>
      </c>
      <c r="G33" s="3" t="str">
        <f>IF([1]Registro!H35&lt;&gt;"",[1]Registro!H35,"")</f>
        <v/>
      </c>
      <c r="H33" s="3" t="str">
        <f>IF([1]Registro!I35&lt;&gt;"",[1]Registro!I35,"")</f>
        <v/>
      </c>
      <c r="I33" s="3" t="str">
        <f>IF([1]Registro!J35&lt;&gt;"",[1]Registro!J35,"")</f>
        <v/>
      </c>
      <c r="J33" s="3" t="str">
        <f>IF([1]Registro!K35&lt;&gt;"",[1]Registro!K35,"")</f>
        <v/>
      </c>
      <c r="K33" s="3">
        <f>IF([1]Registro!M35&lt;&gt;"",[1]Registro!M35,"")</f>
        <v>0</v>
      </c>
      <c r="L33" s="5" t="str">
        <f>IF([1]Registro!N35&lt;&gt;"",[1]Registro!N35,"")</f>
        <v>DOLARES AMERICANOS CON 00/100 CENTAVOS</v>
      </c>
      <c r="M33" s="5" t="str">
        <f>IFERROR(VLOOKUP(E33,[1]!Tabla1[[#All],[ID del colaborador]:[Sec. Factura]],4,FALSE),"")</f>
        <v/>
      </c>
    </row>
    <row r="34" spans="1:13" ht="31.5" x14ac:dyDescent="0.25">
      <c r="A34" s="3" t="str">
        <f>IF([1]Registro!A36&lt;&gt;"",[1]Registro!A36,"")</f>
        <v/>
      </c>
      <c r="B34" s="3" t="str">
        <f>IF([1]Registro!B36&lt;&gt;"",[1]Registro!B36,"")</f>
        <v/>
      </c>
      <c r="C34" s="3" t="str">
        <f>IF([1]Registro!D36&lt;&gt;"",[1]Registro!D36,"")</f>
        <v>Marzo</v>
      </c>
      <c r="D34" s="3" t="str">
        <f>IF([1]Registro!E36&lt;&gt;"",[1]Registro!E36,"")</f>
        <v/>
      </c>
      <c r="E34" s="3" t="str">
        <f>IF([1]Registro!F36&lt;&gt;"",[1]Registro!G36,"")</f>
        <v/>
      </c>
      <c r="F34" s="4" t="str">
        <f>IF([1]Registro!F36&lt;&gt;"",CONCATENATE("Servicio de consultoría BEE Consultoría &amp; Negocios"," ",","," ","Contrato"," ",[1]Registro!C36," ","-"," ",[1]Registro!F36," ","-"," ","Servicio de"," ",[1]Registro!D36," ","-"," ",[1]Registro!O36," ","-"," ",[1]Registro!A36," ",[1]Registro!Q36," ",[1]Registro!R36),"")</f>
        <v/>
      </c>
      <c r="G34" s="3" t="str">
        <f>IF([1]Registro!H36&lt;&gt;"",[1]Registro!H36,"")</f>
        <v/>
      </c>
      <c r="H34" s="3" t="str">
        <f>IF([1]Registro!I36&lt;&gt;"",[1]Registro!I36,"")</f>
        <v/>
      </c>
      <c r="I34" s="3" t="str">
        <f>IF([1]Registro!J36&lt;&gt;"",[1]Registro!J36,"")</f>
        <v/>
      </c>
      <c r="J34" s="3" t="str">
        <f>IF([1]Registro!K36&lt;&gt;"",[1]Registro!K36,"")</f>
        <v/>
      </c>
      <c r="K34" s="3">
        <f>IF([1]Registro!M36&lt;&gt;"",[1]Registro!M36,"")</f>
        <v>0</v>
      </c>
      <c r="L34" s="5" t="str">
        <f>IF([1]Registro!N36&lt;&gt;"",[1]Registro!N36,"")</f>
        <v>DOLARES AMERICANOS CON 00/100 CENTAVOS</v>
      </c>
      <c r="M34" s="5" t="str">
        <f>IFERROR(VLOOKUP(E34,[1]!Tabla1[[#All],[ID del colaborador]:[Sec. Factura]],4,FALSE),"")</f>
        <v/>
      </c>
    </row>
    <row r="35" spans="1:13" ht="31.5" x14ac:dyDescent="0.25">
      <c r="A35" s="3" t="str">
        <f>IF([1]Registro!A37&lt;&gt;"",[1]Registro!A37,"")</f>
        <v/>
      </c>
      <c r="B35" s="3" t="str">
        <f>IF([1]Registro!B37&lt;&gt;"",[1]Registro!B37,"")</f>
        <v/>
      </c>
      <c r="C35" s="3" t="str">
        <f>IF([1]Registro!D37&lt;&gt;"",[1]Registro!D37,"")</f>
        <v>Marzo</v>
      </c>
      <c r="D35" s="3" t="str">
        <f>IF([1]Registro!E37&lt;&gt;"",[1]Registro!E37,"")</f>
        <v/>
      </c>
      <c r="E35" s="3" t="str">
        <f>IF([1]Registro!F37&lt;&gt;"",[1]Registro!G37,"")</f>
        <v/>
      </c>
      <c r="F35" s="4" t="str">
        <f>IF([1]Registro!F37&lt;&gt;"",CONCATENATE("Servicio de consultoría BEE Consultoría &amp; Negocios"," ",","," ","Contrato"," ",[1]Registro!C37," ","-"," ",[1]Registro!F37," ","-"," ","Servicio de"," ",[1]Registro!D37," ","-"," ",[1]Registro!O37," ","-"," ",[1]Registro!A37," ",[1]Registro!Q37," ",[1]Registro!R37),"")</f>
        <v/>
      </c>
      <c r="G35" s="3" t="str">
        <f>IF([1]Registro!H37&lt;&gt;"",[1]Registro!H37,"")</f>
        <v/>
      </c>
      <c r="H35" s="3" t="str">
        <f>IF([1]Registro!I37&lt;&gt;"",[1]Registro!I37,"")</f>
        <v/>
      </c>
      <c r="I35" s="3" t="str">
        <f>IF([1]Registro!J37&lt;&gt;"",[1]Registro!J37,"")</f>
        <v/>
      </c>
      <c r="J35" s="3" t="str">
        <f>IF([1]Registro!K37&lt;&gt;"",[1]Registro!K37,"")</f>
        <v/>
      </c>
      <c r="K35" s="3">
        <f>IF([1]Registro!M37&lt;&gt;"",[1]Registro!M37,"")</f>
        <v>0</v>
      </c>
      <c r="L35" s="5" t="str">
        <f>IF([1]Registro!N37&lt;&gt;"",[1]Registro!N37,"")</f>
        <v>DOLARES AMERICANOS CON 00/100 CENTAVOS</v>
      </c>
      <c r="M35" s="5" t="str">
        <f>IFERROR(VLOOKUP(E35,[1]!Tabla1[[#All],[ID del colaborador]:[Sec. Factura]],4,FALSE),"")</f>
        <v/>
      </c>
    </row>
    <row r="36" spans="1:13" ht="31.5" x14ac:dyDescent="0.25">
      <c r="A36" s="3" t="str">
        <f>IF([1]Registro!A38&lt;&gt;"",[1]Registro!A38,"")</f>
        <v/>
      </c>
      <c r="B36" s="3" t="str">
        <f>IF([1]Registro!B38&lt;&gt;"",[1]Registro!B38,"")</f>
        <v/>
      </c>
      <c r="C36" s="3" t="str">
        <f>IF([1]Registro!D38&lt;&gt;"",[1]Registro!D38,"")</f>
        <v>Marzo</v>
      </c>
      <c r="D36" s="3" t="str">
        <f>IF([1]Registro!E38&lt;&gt;"",[1]Registro!E38,"")</f>
        <v/>
      </c>
      <c r="E36" s="3" t="str">
        <f>IF([1]Registro!F38&lt;&gt;"",[1]Registro!G38,"")</f>
        <v/>
      </c>
      <c r="F36" s="4" t="str">
        <f>IF([1]Registro!F38&lt;&gt;"",CONCATENATE("Servicio de consultoría BEE Consultoría &amp; Negocios"," ",","," ","Contrato"," ",[1]Registro!C38," ","-"," ",[1]Registro!F38," ","-"," ","Servicio de"," ",[1]Registro!D38," ","-"," ",[1]Registro!O38," ","-"," ",[1]Registro!A38," ",[1]Registro!Q38," ",[1]Registro!R38),"")</f>
        <v/>
      </c>
      <c r="G36" s="3" t="str">
        <f>IF([1]Registro!H38&lt;&gt;"",[1]Registro!H38,"")</f>
        <v/>
      </c>
      <c r="H36" s="3" t="str">
        <f>IF([1]Registro!I38&lt;&gt;"",[1]Registro!I38,"")</f>
        <v/>
      </c>
      <c r="I36" s="3" t="str">
        <f>IF([1]Registro!J38&lt;&gt;"",[1]Registro!J38,"")</f>
        <v/>
      </c>
      <c r="J36" s="3" t="str">
        <f>IF([1]Registro!K38&lt;&gt;"",[1]Registro!K38,"")</f>
        <v/>
      </c>
      <c r="K36" s="3">
        <f>IF([1]Registro!M38&lt;&gt;"",[1]Registro!M38,"")</f>
        <v>0</v>
      </c>
      <c r="L36" s="5" t="str">
        <f>IF([1]Registro!N38&lt;&gt;"",[1]Registro!N38,"")</f>
        <v>DOLARES AMERICANOS CON 00/100 CENTAVOS</v>
      </c>
      <c r="M36" s="5" t="str">
        <f>IFERROR(VLOOKUP(E36,[1]!Tabla1[[#All],[ID del colaborador]:[Sec. Factura]],4,FALSE),"")</f>
        <v/>
      </c>
    </row>
    <row r="37" spans="1:13" ht="31.5" x14ac:dyDescent="0.25">
      <c r="A37" s="3" t="str">
        <f>IF([1]Registro!A39&lt;&gt;"",[1]Registro!A39,"")</f>
        <v/>
      </c>
      <c r="B37" s="3" t="str">
        <f>IF([1]Registro!B39&lt;&gt;"",[1]Registro!B39,"")</f>
        <v/>
      </c>
      <c r="C37" s="3" t="str">
        <f>IF([1]Registro!D39&lt;&gt;"",[1]Registro!D39,"")</f>
        <v>Marzo</v>
      </c>
      <c r="D37" s="3" t="str">
        <f>IF([1]Registro!E39&lt;&gt;"",[1]Registro!E39,"")</f>
        <v/>
      </c>
      <c r="E37" s="3" t="str">
        <f>IF([1]Registro!F39&lt;&gt;"",[1]Registro!G39,"")</f>
        <v/>
      </c>
      <c r="F37" s="4" t="str">
        <f>IF([1]Registro!F39&lt;&gt;"",CONCATENATE("Servicio de consultoría BEE Consultoría &amp; Negocios"," ",","," ","Contrato"," ",[1]Registro!C39," ","-"," ",[1]Registro!F39," ","-"," ","Servicio de"," ",[1]Registro!D39," ","-"," ",[1]Registro!O39," ","-"," ",[1]Registro!A39," ",[1]Registro!Q39," ",[1]Registro!R39),"")</f>
        <v/>
      </c>
      <c r="G37" s="3" t="str">
        <f>IF([1]Registro!H39&lt;&gt;"",[1]Registro!H39,"")</f>
        <v/>
      </c>
      <c r="H37" s="3" t="str">
        <f>IF([1]Registro!I39&lt;&gt;"",[1]Registro!I39,"")</f>
        <v/>
      </c>
      <c r="I37" s="3" t="str">
        <f>IF([1]Registro!J39&lt;&gt;"",[1]Registro!J39,"")</f>
        <v/>
      </c>
      <c r="J37" s="3" t="str">
        <f>IF([1]Registro!K39&lt;&gt;"",[1]Registro!K39,"")</f>
        <v/>
      </c>
      <c r="K37" s="3">
        <f>IF([1]Registro!M39&lt;&gt;"",[1]Registro!M39,"")</f>
        <v>0</v>
      </c>
      <c r="L37" s="5" t="str">
        <f>IF([1]Registro!N39&lt;&gt;"",[1]Registro!N39,"")</f>
        <v>DOLARES AMERICANOS CON 00/100 CENTAVOS</v>
      </c>
      <c r="M37" s="5" t="str">
        <f>IFERROR(VLOOKUP(E37,[1]!Tabla1[[#All],[ID del colaborador]:[Sec. Factura]],4,FALSE),"")</f>
        <v/>
      </c>
    </row>
    <row r="38" spans="1:13" ht="31.5" x14ac:dyDescent="0.25">
      <c r="A38" s="3" t="str">
        <f>IF([1]Registro!A40&lt;&gt;"",[1]Registro!A40,"")</f>
        <v/>
      </c>
      <c r="B38" s="3" t="str">
        <f>IF([1]Registro!B40&lt;&gt;"",[1]Registro!B40,"")</f>
        <v/>
      </c>
      <c r="C38" s="3" t="str">
        <f>IF([1]Registro!D40&lt;&gt;"",[1]Registro!D40,"")</f>
        <v>Marzo</v>
      </c>
      <c r="D38" s="3" t="str">
        <f>IF([1]Registro!E40&lt;&gt;"",[1]Registro!E40,"")</f>
        <v/>
      </c>
      <c r="E38" s="3" t="str">
        <f>IF([1]Registro!F40&lt;&gt;"",[1]Registro!G40,"")</f>
        <v/>
      </c>
      <c r="F38" s="4" t="str">
        <f>IF([1]Registro!F40&lt;&gt;"",CONCATENATE("Servicio de consultoría BEE Consultoría &amp; Negocios"," ",","," ","Contrato"," ",[1]Registro!C40," ","-"," ",[1]Registro!F40," ","-"," ","Servicio de"," ",[1]Registro!D40," ","-"," ",[1]Registro!O40," ","-"," ",[1]Registro!A40," ",[1]Registro!Q40," ",[1]Registro!R40),"")</f>
        <v/>
      </c>
      <c r="G38" s="3" t="str">
        <f>IF([1]Registro!H40&lt;&gt;"",[1]Registro!H40,"")</f>
        <v/>
      </c>
      <c r="H38" s="3" t="str">
        <f>IF([1]Registro!I40&lt;&gt;"",[1]Registro!I40,"")</f>
        <v/>
      </c>
      <c r="I38" s="3" t="str">
        <f>IF([1]Registro!J40&lt;&gt;"",[1]Registro!J40,"")</f>
        <v/>
      </c>
      <c r="J38" s="3" t="str">
        <f>IF([1]Registro!K40&lt;&gt;"",[1]Registro!K40,"")</f>
        <v/>
      </c>
      <c r="K38" s="3">
        <f>IF([1]Registro!M40&lt;&gt;"",[1]Registro!M40,"")</f>
        <v>0</v>
      </c>
      <c r="L38" s="5" t="str">
        <f>IF([1]Registro!N40&lt;&gt;"",[1]Registro!N40,"")</f>
        <v>DOLARES AMERICANOS CON 00/100 CENTAVOS</v>
      </c>
      <c r="M38" s="5" t="str">
        <f>IFERROR(VLOOKUP(E38,[1]!Tabla1[[#All],[ID del colaborador]:[Sec. Factura]],4,FALSE),"")</f>
        <v/>
      </c>
    </row>
    <row r="39" spans="1:13" ht="31.5" x14ac:dyDescent="0.25">
      <c r="A39" s="3" t="str">
        <f>IF([1]Registro!A41&lt;&gt;"",[1]Registro!A41,"")</f>
        <v/>
      </c>
      <c r="B39" s="3" t="str">
        <f>IF([1]Registro!B41&lt;&gt;"",[1]Registro!B41,"")</f>
        <v/>
      </c>
      <c r="C39" s="3" t="str">
        <f>IF([1]Registro!D41&lt;&gt;"",[1]Registro!D41,"")</f>
        <v>Marzo</v>
      </c>
      <c r="D39" s="3" t="str">
        <f>IF([1]Registro!E41&lt;&gt;"",[1]Registro!E41,"")</f>
        <v/>
      </c>
      <c r="E39" s="3" t="str">
        <f>IF([1]Registro!F41&lt;&gt;"",[1]Registro!G41,"")</f>
        <v/>
      </c>
      <c r="F39" s="4" t="str">
        <f>IF([1]Registro!F41&lt;&gt;"",CONCATENATE("Servicio de consultoría BEE Consultoría &amp; Negocios"," ",","," ","Contrato"," ",[1]Registro!C41," ","-"," ",[1]Registro!F41," ","-"," ","Servicio de"," ",[1]Registro!D41," ","-"," ",[1]Registro!O41," ","-"," ",[1]Registro!A41," ",[1]Registro!Q41," ",[1]Registro!R41),"")</f>
        <v/>
      </c>
      <c r="G39" s="3" t="str">
        <f>IF([1]Registro!H41&lt;&gt;"",[1]Registro!H41,"")</f>
        <v/>
      </c>
      <c r="H39" s="3" t="str">
        <f>IF([1]Registro!I41&lt;&gt;"",[1]Registro!I41,"")</f>
        <v/>
      </c>
      <c r="I39" s="3" t="str">
        <f>IF([1]Registro!J41&lt;&gt;"",[1]Registro!J41,"")</f>
        <v/>
      </c>
      <c r="J39" s="3" t="str">
        <f>IF([1]Registro!K41&lt;&gt;"",[1]Registro!K41,"")</f>
        <v/>
      </c>
      <c r="K39" s="3">
        <f>IF([1]Registro!M41&lt;&gt;"",[1]Registro!M41,"")</f>
        <v>0</v>
      </c>
      <c r="L39" s="5" t="str">
        <f>IF([1]Registro!N41&lt;&gt;"",[1]Registro!N41,"")</f>
        <v>DOLARES AMERICANOS CON 00/100 CENTAVOS</v>
      </c>
      <c r="M39" s="5" t="str">
        <f>IFERROR(VLOOKUP(E39,[1]!Tabla1[[#All],[ID del colaborador]:[Sec. Factura]],4,FALSE),"")</f>
        <v/>
      </c>
    </row>
    <row r="40" spans="1:13" ht="31.5" x14ac:dyDescent="0.25">
      <c r="A40" s="3" t="str">
        <f>IF([1]Registro!A42&lt;&gt;"",[1]Registro!A42,"")</f>
        <v/>
      </c>
      <c r="B40" s="3" t="str">
        <f>IF([1]Registro!B42&lt;&gt;"",[1]Registro!B42,"")</f>
        <v/>
      </c>
      <c r="C40" s="3" t="str">
        <f>IF([1]Registro!D42&lt;&gt;"",[1]Registro!D42,"")</f>
        <v>Marzo</v>
      </c>
      <c r="D40" s="3" t="str">
        <f>IF([1]Registro!E42&lt;&gt;"",[1]Registro!E42,"")</f>
        <v/>
      </c>
      <c r="E40" s="3" t="str">
        <f>IF([1]Registro!F42&lt;&gt;"",[1]Registro!G42,"")</f>
        <v/>
      </c>
      <c r="F40" s="4" t="str">
        <f>IF([1]Registro!F42&lt;&gt;"",CONCATENATE("Servicio de consultoría BEE Consultoría &amp; Negocios"," ",","," ","Contrato"," ",[1]Registro!C42," ","-"," ",[1]Registro!F42," ","-"," ","Servicio de"," ",[1]Registro!D42," ","-"," ",[1]Registro!O42," ","-"," ",[1]Registro!A42," ",[1]Registro!Q42," ",[1]Registro!R42),"")</f>
        <v/>
      </c>
      <c r="G40" s="3" t="str">
        <f>IF([1]Registro!H42&lt;&gt;"",[1]Registro!H42,"")</f>
        <v/>
      </c>
      <c r="H40" s="3" t="str">
        <f>IF([1]Registro!I42&lt;&gt;"",[1]Registro!I42,"")</f>
        <v/>
      </c>
      <c r="I40" s="3" t="str">
        <f>IF([1]Registro!J42&lt;&gt;"",[1]Registro!J42,"")</f>
        <v/>
      </c>
      <c r="J40" s="3" t="str">
        <f>IF([1]Registro!K42&lt;&gt;"",[1]Registro!K42,"")</f>
        <v/>
      </c>
      <c r="K40" s="3">
        <f>IF([1]Registro!M42&lt;&gt;"",[1]Registro!M42,"")</f>
        <v>0</v>
      </c>
      <c r="L40" s="5" t="str">
        <f>IF([1]Registro!N42&lt;&gt;"",[1]Registro!N42,"")</f>
        <v>DOLARES AMERICANOS CON 00/100 CENTAVOS</v>
      </c>
      <c r="M40" s="5" t="str">
        <f>IFERROR(VLOOKUP(E40,[1]!Tabla1[[#All],[ID del colaborador]:[Sec. Factura]],4,FALSE),"")</f>
        <v/>
      </c>
    </row>
    <row r="41" spans="1:13" ht="31.5" x14ac:dyDescent="0.25">
      <c r="A41" s="3" t="str">
        <f>IF([1]Registro!A43&lt;&gt;"",[1]Registro!A43,"")</f>
        <v/>
      </c>
      <c r="B41" s="3" t="str">
        <f>IF([1]Registro!B43&lt;&gt;"",[1]Registro!B43,"")</f>
        <v/>
      </c>
      <c r="C41" s="3" t="str">
        <f>IF([1]Registro!D43&lt;&gt;"",[1]Registro!D43,"")</f>
        <v>Marzo</v>
      </c>
      <c r="D41" s="3" t="str">
        <f>IF([1]Registro!E43&lt;&gt;"",[1]Registro!E43,"")</f>
        <v/>
      </c>
      <c r="E41" s="3" t="str">
        <f>IF([1]Registro!F43&lt;&gt;"",[1]Registro!G43,"")</f>
        <v/>
      </c>
      <c r="F41" s="4" t="str">
        <f>IF([1]Registro!F43&lt;&gt;"",CONCATENATE("Servicio de consultoría BEE Consultoría &amp; Negocios"," ",","," ","Contrato"," ",[1]Registro!C43," ","-"," ",[1]Registro!F43," ","-"," ","Servicio de"," ",[1]Registro!D43," ","-"," ",[1]Registro!O43," ","-"," ",[1]Registro!A43," ",[1]Registro!Q43," ",[1]Registro!R43),"")</f>
        <v/>
      </c>
      <c r="G41" s="3" t="str">
        <f>IF([1]Registro!H43&lt;&gt;"",[1]Registro!H43,"")</f>
        <v/>
      </c>
      <c r="H41" s="3" t="str">
        <f>IF([1]Registro!I43&lt;&gt;"",[1]Registro!I43,"")</f>
        <v/>
      </c>
      <c r="I41" s="3" t="str">
        <f>IF([1]Registro!J43&lt;&gt;"",[1]Registro!J43,"")</f>
        <v/>
      </c>
      <c r="J41" s="3" t="str">
        <f>IF([1]Registro!K43&lt;&gt;"",[1]Registro!K43,"")</f>
        <v/>
      </c>
      <c r="K41" s="3">
        <f>IF([1]Registro!M43&lt;&gt;"",[1]Registro!M43,"")</f>
        <v>0</v>
      </c>
      <c r="L41" s="5" t="str">
        <f>IF([1]Registro!N43&lt;&gt;"",[1]Registro!N43,"")</f>
        <v>DOLARES AMERICANOS CON 00/100 CENTAVOS</v>
      </c>
      <c r="M41" s="5" t="str">
        <f>IFERROR(VLOOKUP(E41,[1]!Tabla1[[#All],[ID del colaborador]:[Sec. Factura]],4,FALSE),"")</f>
        <v/>
      </c>
    </row>
    <row r="42" spans="1:13" ht="31.5" x14ac:dyDescent="0.25">
      <c r="A42" s="3" t="str">
        <f>IF([1]Registro!A44&lt;&gt;"",[1]Registro!A44,"")</f>
        <v/>
      </c>
      <c r="B42" s="3" t="str">
        <f>IF([1]Registro!B44&lt;&gt;"",[1]Registro!B44,"")</f>
        <v/>
      </c>
      <c r="C42" s="3" t="str">
        <f>IF([1]Registro!D44&lt;&gt;"",[1]Registro!D44,"")</f>
        <v>Marzo</v>
      </c>
      <c r="D42" s="3" t="str">
        <f>IF([1]Registro!E44&lt;&gt;"",[1]Registro!E44,"")</f>
        <v/>
      </c>
      <c r="E42" s="3" t="str">
        <f>IF([1]Registro!F44&lt;&gt;"",[1]Registro!G44,"")</f>
        <v/>
      </c>
      <c r="F42" s="4" t="str">
        <f>IF([1]Registro!F44&lt;&gt;"",CONCATENATE("Servicio de consultoría BEE Consultoría &amp; Negocios"," ",","," ","Contrato"," ",[1]Registro!C44," ","-"," ",[1]Registro!F44," ","-"," ","Servicio de"," ",[1]Registro!D44," ","-"," ",[1]Registro!O44," ","-"," ",[1]Registro!A44," ",[1]Registro!Q44," ",[1]Registro!R44),"")</f>
        <v/>
      </c>
      <c r="G42" s="3" t="str">
        <f>IF([1]Registro!H44&lt;&gt;"",[1]Registro!H44,"")</f>
        <v/>
      </c>
      <c r="H42" s="3" t="str">
        <f>IF([1]Registro!I44&lt;&gt;"",[1]Registro!I44,"")</f>
        <v/>
      </c>
      <c r="I42" s="3" t="str">
        <f>IF([1]Registro!J44&lt;&gt;"",[1]Registro!J44,"")</f>
        <v/>
      </c>
      <c r="J42" s="3" t="str">
        <f>IF([1]Registro!K44&lt;&gt;"",[1]Registro!K44,"")</f>
        <v/>
      </c>
      <c r="K42" s="3">
        <f>IF([1]Registro!M44&lt;&gt;"",[1]Registro!M44,"")</f>
        <v>0</v>
      </c>
      <c r="L42" s="5" t="str">
        <f>IF([1]Registro!N44&lt;&gt;"",[1]Registro!N44,"")</f>
        <v>DOLARES AMERICANOS CON 00/100 CENTAVOS</v>
      </c>
      <c r="M42" s="5" t="str">
        <f>IFERROR(VLOOKUP(E42,[1]!Tabla1[[#All],[ID del colaborador]:[Sec. Factura]],4,FALSE),"")</f>
        <v/>
      </c>
    </row>
    <row r="43" spans="1:13" ht="31.5" x14ac:dyDescent="0.25">
      <c r="A43" s="3" t="str">
        <f>IF([1]Registro!A45&lt;&gt;"",[1]Registro!A45,"")</f>
        <v/>
      </c>
      <c r="B43" s="3" t="str">
        <f>IF([1]Registro!B45&lt;&gt;"",[1]Registro!B45,"")</f>
        <v/>
      </c>
      <c r="C43" s="3" t="str">
        <f>IF([1]Registro!D45&lt;&gt;"",[1]Registro!D45,"")</f>
        <v>Marzo</v>
      </c>
      <c r="D43" s="3" t="str">
        <f>IF([1]Registro!E45&lt;&gt;"",[1]Registro!E45,"")</f>
        <v/>
      </c>
      <c r="E43" s="3" t="str">
        <f>IF([1]Registro!F45&lt;&gt;"",[1]Registro!G45,"")</f>
        <v/>
      </c>
      <c r="F43" s="4" t="str">
        <f>IF([1]Registro!F45&lt;&gt;"",CONCATENATE("Servicio de consultoría BEE Consultoría &amp; Negocios"," ",","," ","Contrato"," ",[1]Registro!C45," ","-"," ",[1]Registro!F45," ","-"," ","Servicio de"," ",[1]Registro!D45," ","-"," ",[1]Registro!O45," ","-"," ",[1]Registro!A45," ",[1]Registro!Q45," ",[1]Registro!R45),"")</f>
        <v/>
      </c>
      <c r="G43" s="3" t="str">
        <f>IF([1]Registro!H45&lt;&gt;"",[1]Registro!H45,"")</f>
        <v/>
      </c>
      <c r="H43" s="3" t="str">
        <f>IF([1]Registro!I45&lt;&gt;"",[1]Registro!I45,"")</f>
        <v/>
      </c>
      <c r="I43" s="3" t="str">
        <f>IF([1]Registro!J45&lt;&gt;"",[1]Registro!J45,"")</f>
        <v/>
      </c>
      <c r="J43" s="3" t="str">
        <f>IF([1]Registro!K45&lt;&gt;"",[1]Registro!K45,"")</f>
        <v/>
      </c>
      <c r="K43" s="3">
        <f>IF([1]Registro!M45&lt;&gt;"",[1]Registro!M45,"")</f>
        <v>0</v>
      </c>
      <c r="L43" s="5" t="str">
        <f>IF([1]Registro!N45&lt;&gt;"",[1]Registro!N45,"")</f>
        <v>DOLARES AMERICANOS CON 00/100 CENTAVOS</v>
      </c>
      <c r="M43" s="5" t="str">
        <f>IFERROR(VLOOKUP(E43,[1]!Tabla1[[#All],[ID del colaborador]:[Sec. Factura]],4,FALSE),"")</f>
        <v/>
      </c>
    </row>
    <row r="44" spans="1:13" ht="31.5" x14ac:dyDescent="0.25">
      <c r="A44" s="3" t="str">
        <f>IF([1]Registro!A46&lt;&gt;"",[1]Registro!A46,"")</f>
        <v/>
      </c>
      <c r="B44" s="3" t="str">
        <f>IF([1]Registro!B46&lt;&gt;"",[1]Registro!B46,"")</f>
        <v/>
      </c>
      <c r="C44" s="3" t="str">
        <f>IF([1]Registro!D46&lt;&gt;"",[1]Registro!D46,"")</f>
        <v>Marzo</v>
      </c>
      <c r="D44" s="3" t="str">
        <f>IF([1]Registro!E46&lt;&gt;"",[1]Registro!E46,"")</f>
        <v/>
      </c>
      <c r="E44" s="3" t="str">
        <f>IF([1]Registro!F46&lt;&gt;"",[1]Registro!G46,"")</f>
        <v/>
      </c>
      <c r="F44" s="4" t="str">
        <f>IF([1]Registro!F46&lt;&gt;"",CONCATENATE("Servicio de consultoría BEE Consultoría &amp; Negocios"," ",","," ","Contrato"," ",[1]Registro!C46," ","-"," ",[1]Registro!F46," ","-"," ","Servicio de"," ",[1]Registro!D46," ","-"," ",[1]Registro!O46," ","-"," ",[1]Registro!A46," ",[1]Registro!Q46," ",[1]Registro!R46),"")</f>
        <v/>
      </c>
      <c r="G44" s="3" t="str">
        <f>IF([1]Registro!H46&lt;&gt;"",[1]Registro!H46,"")</f>
        <v/>
      </c>
      <c r="H44" s="3" t="str">
        <f>IF([1]Registro!I46&lt;&gt;"",[1]Registro!I46,"")</f>
        <v/>
      </c>
      <c r="I44" s="3" t="str">
        <f>IF([1]Registro!J46&lt;&gt;"",[1]Registro!J46,"")</f>
        <v/>
      </c>
      <c r="J44" s="3" t="str">
        <f>IF([1]Registro!K46&lt;&gt;"",[1]Registro!K46,"")</f>
        <v/>
      </c>
      <c r="K44" s="3">
        <f>IF([1]Registro!M46&lt;&gt;"",[1]Registro!M46,"")</f>
        <v>0</v>
      </c>
      <c r="L44" s="5" t="str">
        <f>IF([1]Registro!N46&lt;&gt;"",[1]Registro!N46,"")</f>
        <v>DOLARES AMERICANOS CON 00/100 CENTAVOS</v>
      </c>
      <c r="M44" s="5" t="str">
        <f>IFERROR(VLOOKUP(E44,[1]!Tabla1[[#All],[ID del colaborador]:[Sec. Factura]],4,FALSE),"")</f>
        <v/>
      </c>
    </row>
    <row r="45" spans="1:13" ht="31.5" x14ac:dyDescent="0.25">
      <c r="A45" s="3" t="str">
        <f>IF([1]Registro!A47&lt;&gt;"",[1]Registro!A47,"")</f>
        <v/>
      </c>
      <c r="B45" s="3" t="str">
        <f>IF([1]Registro!B47&lt;&gt;"",[1]Registro!B47,"")</f>
        <v/>
      </c>
      <c r="C45" s="3" t="str">
        <f>IF([1]Registro!D47&lt;&gt;"",[1]Registro!D47,"")</f>
        <v>Marzo</v>
      </c>
      <c r="D45" s="3" t="str">
        <f>IF([1]Registro!E47&lt;&gt;"",[1]Registro!E47,"")</f>
        <v/>
      </c>
      <c r="E45" s="3" t="str">
        <f>IF([1]Registro!F47&lt;&gt;"",[1]Registro!G47,"")</f>
        <v/>
      </c>
      <c r="F45" s="4" t="str">
        <f>IF([1]Registro!F47&lt;&gt;"",CONCATENATE("Servicio de consultoría BEE Consultoría &amp; Negocios"," ",","," ","Contrato"," ",[1]Registro!C47," ","-"," ",[1]Registro!F47," ","-"," ","Servicio de"," ",[1]Registro!D47," ","-"," ",[1]Registro!O47," ","-"," ",[1]Registro!A47," ",[1]Registro!Q47," ",[1]Registro!R47),"")</f>
        <v/>
      </c>
      <c r="G45" s="3" t="str">
        <f>IF([1]Registro!H47&lt;&gt;"",[1]Registro!H47,"")</f>
        <v/>
      </c>
      <c r="H45" s="3" t="str">
        <f>IF([1]Registro!I47&lt;&gt;"",[1]Registro!I47,"")</f>
        <v/>
      </c>
      <c r="I45" s="3" t="str">
        <f>IF([1]Registro!J47&lt;&gt;"",[1]Registro!J47,"")</f>
        <v/>
      </c>
      <c r="J45" s="3" t="str">
        <f>IF([1]Registro!K47&lt;&gt;"",[1]Registro!K47,"")</f>
        <v/>
      </c>
      <c r="K45" s="3">
        <f>IF([1]Registro!M47&lt;&gt;"",[1]Registro!M47,"")</f>
        <v>0</v>
      </c>
      <c r="L45" s="5" t="str">
        <f>IF([1]Registro!N47&lt;&gt;"",[1]Registro!N47,"")</f>
        <v>DOLARES AMERICANOS CON 00/100 CENTAVOS</v>
      </c>
      <c r="M45" s="5" t="str">
        <f>IFERROR(VLOOKUP(E45,[1]!Tabla1[[#All],[ID del colaborador]:[Sec. Factura]],4,FALSE),"")</f>
        <v/>
      </c>
    </row>
    <row r="46" spans="1:13" ht="31.5" x14ac:dyDescent="0.25">
      <c r="A46" s="3" t="str">
        <f>IF([1]Registro!A48&lt;&gt;"",[1]Registro!A48,"")</f>
        <v/>
      </c>
      <c r="B46" s="3" t="str">
        <f>IF([1]Registro!B48&lt;&gt;"",[1]Registro!B48,"")</f>
        <v/>
      </c>
      <c r="C46" s="3" t="str">
        <f>IF([1]Registro!D48&lt;&gt;"",[1]Registro!D48,"")</f>
        <v>Marzo</v>
      </c>
      <c r="D46" s="3" t="str">
        <f>IF([1]Registro!E48&lt;&gt;"",[1]Registro!E48,"")</f>
        <v/>
      </c>
      <c r="E46" s="3" t="str">
        <f>IF([1]Registro!F48&lt;&gt;"",[1]Registro!G48,"")</f>
        <v/>
      </c>
      <c r="F46" s="4" t="str">
        <f>IF([1]Registro!F48&lt;&gt;"",CONCATENATE("Servicio de consultoría BEE Consultoría &amp; Negocios"," ",","," ","Contrato"," ",[1]Registro!C48," ","-"," ",[1]Registro!F48," ","-"," ","Servicio de"," ",[1]Registro!D48," ","-"," ",[1]Registro!O48," ","-"," ",[1]Registro!A48," ",[1]Registro!Q48," ",[1]Registro!R48),"")</f>
        <v/>
      </c>
      <c r="G46" s="3" t="str">
        <f>IF([1]Registro!H48&lt;&gt;"",[1]Registro!H48,"")</f>
        <v/>
      </c>
      <c r="H46" s="3" t="str">
        <f>IF([1]Registro!I48&lt;&gt;"",[1]Registro!I48,"")</f>
        <v/>
      </c>
      <c r="I46" s="3" t="str">
        <f>IF([1]Registro!J48&lt;&gt;"",[1]Registro!J48,"")</f>
        <v/>
      </c>
      <c r="J46" s="3" t="str">
        <f>IF([1]Registro!K48&lt;&gt;"",[1]Registro!K48,"")</f>
        <v/>
      </c>
      <c r="K46" s="3">
        <f>IF([1]Registro!M48&lt;&gt;"",[1]Registro!M48,"")</f>
        <v>0</v>
      </c>
      <c r="L46" s="5" t="str">
        <f>IF([1]Registro!N48&lt;&gt;"",[1]Registro!N48,"")</f>
        <v>DOLARES AMERICANOS CON 00/100 CENTAVOS</v>
      </c>
      <c r="M46" s="5" t="str">
        <f>IFERROR(VLOOKUP(E46,[1]!Tabla1[[#All],[ID del colaborador]:[Sec. Factura]],4,FALSE),"")</f>
        <v/>
      </c>
    </row>
    <row r="47" spans="1:13" ht="31.5" x14ac:dyDescent="0.25">
      <c r="A47" s="3" t="str">
        <f>IF([1]Registro!A49&lt;&gt;"",[1]Registro!A49,"")</f>
        <v/>
      </c>
      <c r="B47" s="3" t="str">
        <f>IF([1]Registro!B49&lt;&gt;"",[1]Registro!B49,"")</f>
        <v/>
      </c>
      <c r="C47" s="3" t="str">
        <f>IF([1]Registro!D49&lt;&gt;"",[1]Registro!D49,"")</f>
        <v>Marzo</v>
      </c>
      <c r="D47" s="3" t="str">
        <f>IF([1]Registro!E49&lt;&gt;"",[1]Registro!E49,"")</f>
        <v/>
      </c>
      <c r="E47" s="3" t="str">
        <f>IF([1]Registro!F49&lt;&gt;"",[1]Registro!G49,"")</f>
        <v/>
      </c>
      <c r="F47" s="4" t="str">
        <f>IF([1]Registro!F49&lt;&gt;"",CONCATENATE("Servicio de consultoría BEE Consultoría &amp; Negocios"," ",","," ","Contrato"," ",[1]Registro!C49," ","-"," ",[1]Registro!F49," ","-"," ","Servicio de"," ",[1]Registro!D49," ","-"," ",[1]Registro!O49," ","-"," ",[1]Registro!A49," ",[1]Registro!Q49," ",[1]Registro!R49),"")</f>
        <v/>
      </c>
      <c r="G47" s="3" t="str">
        <f>IF([1]Registro!H49&lt;&gt;"",[1]Registro!H49,"")</f>
        <v/>
      </c>
      <c r="H47" s="3" t="str">
        <f>IF([1]Registro!I49&lt;&gt;"",[1]Registro!I49,"")</f>
        <v/>
      </c>
      <c r="I47" s="3" t="str">
        <f>IF([1]Registro!J49&lt;&gt;"",[1]Registro!J49,"")</f>
        <v/>
      </c>
      <c r="J47" s="3" t="str">
        <f>IF([1]Registro!K49&lt;&gt;"",[1]Registro!K49,"")</f>
        <v/>
      </c>
      <c r="K47" s="3">
        <f>IF([1]Registro!M49&lt;&gt;"",[1]Registro!M49,"")</f>
        <v>0</v>
      </c>
      <c r="L47" s="5" t="str">
        <f>IF([1]Registro!N49&lt;&gt;"",[1]Registro!N49,"")</f>
        <v>DOLARES AMERICANOS CON 00/100 CENTAVOS</v>
      </c>
      <c r="M47" s="5" t="str">
        <f>IFERROR(VLOOKUP(E47,[1]!Tabla1[[#All],[ID del colaborador]:[Sec. Factura]],4,FALSE),"")</f>
        <v/>
      </c>
    </row>
    <row r="48" spans="1:13" ht="31.5" x14ac:dyDescent="0.25">
      <c r="A48" s="3" t="str">
        <f>IF([1]Registro!A50&lt;&gt;"",[1]Registro!A50,"")</f>
        <v/>
      </c>
      <c r="B48" s="3" t="str">
        <f>IF([1]Registro!B50&lt;&gt;"",[1]Registro!B50,"")</f>
        <v/>
      </c>
      <c r="C48" s="3" t="str">
        <f>IF([1]Registro!D50&lt;&gt;"",[1]Registro!D50,"")</f>
        <v>Marzo</v>
      </c>
      <c r="D48" s="3" t="str">
        <f>IF([1]Registro!E50&lt;&gt;"",[1]Registro!E50,"")</f>
        <v/>
      </c>
      <c r="E48" s="3" t="str">
        <f>IF([1]Registro!F50&lt;&gt;"",[1]Registro!G50,"")</f>
        <v/>
      </c>
      <c r="F48" s="4" t="str">
        <f>IF([1]Registro!F50&lt;&gt;"",CONCATENATE("Servicio de consultoría BEE Consultoría &amp; Negocios"," ",","," ","Contrato"," ",[1]Registro!C50," ","-"," ",[1]Registro!F50," ","-"," ","Servicio de"," ",[1]Registro!D50," ","-"," ",[1]Registro!O50," ","-"," ",[1]Registro!A50," ",[1]Registro!Q50," ",[1]Registro!R50),"")</f>
        <v/>
      </c>
      <c r="G48" s="3" t="str">
        <f>IF([1]Registro!H50&lt;&gt;"",[1]Registro!H50,"")</f>
        <v/>
      </c>
      <c r="H48" s="3" t="str">
        <f>IF([1]Registro!I50&lt;&gt;"",[1]Registro!I50,"")</f>
        <v/>
      </c>
      <c r="I48" s="3" t="str">
        <f>IF([1]Registro!J50&lt;&gt;"",[1]Registro!J50,"")</f>
        <v/>
      </c>
      <c r="J48" s="3" t="str">
        <f>IF([1]Registro!K50&lt;&gt;"",[1]Registro!K50,"")</f>
        <v/>
      </c>
      <c r="K48" s="3">
        <f>IF([1]Registro!M50&lt;&gt;"",[1]Registro!M50,"")</f>
        <v>0</v>
      </c>
      <c r="L48" s="5" t="str">
        <f>IF([1]Registro!N50&lt;&gt;"",[1]Registro!N50,"")</f>
        <v>DOLARES AMERICANOS CON 00/100 CENTAVOS</v>
      </c>
      <c r="M48" s="5" t="str">
        <f>IFERROR(VLOOKUP(E48,[1]!Tabla1[[#All],[ID del colaborador]:[Sec. Factura]],4,FALSE),"")</f>
        <v/>
      </c>
    </row>
    <row r="49" spans="1:13" ht="31.5" x14ac:dyDescent="0.25">
      <c r="A49" s="3" t="str">
        <f>IF([1]Registro!A51&lt;&gt;"",[1]Registro!A51,"")</f>
        <v/>
      </c>
      <c r="B49" s="3" t="str">
        <f>IF([1]Registro!B51&lt;&gt;"",[1]Registro!B51,"")</f>
        <v/>
      </c>
      <c r="C49" s="3" t="str">
        <f>IF([1]Registro!D51&lt;&gt;"",[1]Registro!D51,"")</f>
        <v>Marzo</v>
      </c>
      <c r="D49" s="3" t="str">
        <f>IF([1]Registro!E51&lt;&gt;"",[1]Registro!E51,"")</f>
        <v/>
      </c>
      <c r="E49" s="3" t="str">
        <f>IF([1]Registro!F51&lt;&gt;"",[1]Registro!G51,"")</f>
        <v/>
      </c>
      <c r="F49" s="4" t="str">
        <f>IF([1]Registro!F51&lt;&gt;"",CONCATENATE("Servicio de consultoría BEE Consultoría &amp; Negocios"," ",","," ","Contrato"," ",[1]Registro!C51," ","-"," ",[1]Registro!F51," ","-"," ","Servicio de"," ",[1]Registro!D51," ","-"," ",[1]Registro!O51," ","-"," ",[1]Registro!A51," ",[1]Registro!Q51," ",[1]Registro!R51),"")</f>
        <v/>
      </c>
      <c r="G49" s="3" t="str">
        <f>IF([1]Registro!H51&lt;&gt;"",[1]Registro!H51,"")</f>
        <v/>
      </c>
      <c r="H49" s="3" t="str">
        <f>IF([1]Registro!I51&lt;&gt;"",[1]Registro!I51,"")</f>
        <v/>
      </c>
      <c r="I49" s="3" t="str">
        <f>IF([1]Registro!J51&lt;&gt;"",[1]Registro!J51,"")</f>
        <v/>
      </c>
      <c r="J49" s="3" t="str">
        <f>IF([1]Registro!K51&lt;&gt;"",[1]Registro!K51,"")</f>
        <v/>
      </c>
      <c r="K49" s="3">
        <f>IF([1]Registro!M51&lt;&gt;"",[1]Registro!M51,"")</f>
        <v>0</v>
      </c>
      <c r="L49" s="5" t="str">
        <f>IF([1]Registro!N51&lt;&gt;"",[1]Registro!N51,"")</f>
        <v>DOLARES AMERICANOS CON 00/100 CENTAVOS</v>
      </c>
      <c r="M49" s="5" t="str">
        <f>IFERROR(VLOOKUP(E49,[1]!Tabla1[[#All],[ID del colaborador]:[Sec. Factura]],4,FALSE),"")</f>
        <v/>
      </c>
    </row>
    <row r="50" spans="1:13" ht="31.5" x14ac:dyDescent="0.25">
      <c r="A50" s="3" t="str">
        <f>IF([1]Registro!A52&lt;&gt;"",[1]Registro!A52,"")</f>
        <v/>
      </c>
      <c r="B50" s="3" t="str">
        <f>IF([1]Registro!B52&lt;&gt;"",[1]Registro!B52,"")</f>
        <v/>
      </c>
      <c r="C50" s="3" t="str">
        <f>IF([1]Registro!D52&lt;&gt;"",[1]Registro!D52,"")</f>
        <v>Marzo</v>
      </c>
      <c r="D50" s="3" t="str">
        <f>IF([1]Registro!E52&lt;&gt;"",[1]Registro!E52,"")</f>
        <v/>
      </c>
      <c r="E50" s="3" t="str">
        <f>IF([1]Registro!F52&lt;&gt;"",[1]Registro!G52,"")</f>
        <v/>
      </c>
      <c r="F50" s="4" t="str">
        <f>IF([1]Registro!F52&lt;&gt;"",CONCATENATE("Servicio de consultoría BEE Consultoría &amp; Negocios"," ",","," ","Contrato"," ",[1]Registro!C52," ","-"," ",[1]Registro!F52," ","-"," ","Servicio de"," ",[1]Registro!D52," ","-"," ",[1]Registro!O52," ","-"," ",[1]Registro!A52," ",[1]Registro!Q52," ",[1]Registro!R52),"")</f>
        <v/>
      </c>
      <c r="G50" s="3" t="str">
        <f>IF([1]Registro!H52&lt;&gt;"",[1]Registro!H52,"")</f>
        <v/>
      </c>
      <c r="H50" s="3" t="str">
        <f>IF([1]Registro!I52&lt;&gt;"",[1]Registro!I52,"")</f>
        <v/>
      </c>
      <c r="I50" s="3" t="str">
        <f>IF([1]Registro!J52&lt;&gt;"",[1]Registro!J52,"")</f>
        <v/>
      </c>
      <c r="J50" s="3" t="str">
        <f>IF([1]Registro!K52&lt;&gt;"",[1]Registro!K52,"")</f>
        <v/>
      </c>
      <c r="K50" s="3">
        <f>IF([1]Registro!M52&lt;&gt;"",[1]Registro!M52,"")</f>
        <v>0</v>
      </c>
      <c r="L50" s="5" t="str">
        <f>IF([1]Registro!N52&lt;&gt;"",[1]Registro!N52,"")</f>
        <v>DOLARES AMERICANOS CON 00/100 CENTAVOS</v>
      </c>
      <c r="M50" s="5" t="str">
        <f>IFERROR(VLOOKUP(E50,[1]!Tabla1[[#All],[ID del colaborador]:[Sec. Factura]],4,FALSE),"")</f>
        <v/>
      </c>
    </row>
    <row r="51" spans="1:13" ht="31.5" x14ac:dyDescent="0.25">
      <c r="A51" s="3" t="str">
        <f>IF([1]Registro!A53&lt;&gt;"",[1]Registro!A53,"")</f>
        <v/>
      </c>
      <c r="B51" s="3" t="str">
        <f>IF([1]Registro!B53&lt;&gt;"",[1]Registro!B53,"")</f>
        <v/>
      </c>
      <c r="C51" s="3" t="str">
        <f>IF([1]Registro!D53&lt;&gt;"",[1]Registro!D53,"")</f>
        <v>Marzo</v>
      </c>
      <c r="D51" s="3" t="str">
        <f>IF([1]Registro!E53&lt;&gt;"",[1]Registro!E53,"")</f>
        <v/>
      </c>
      <c r="E51" s="3" t="str">
        <f>IF([1]Registro!F53&lt;&gt;"",[1]Registro!G53,"")</f>
        <v/>
      </c>
      <c r="F51" s="4" t="str">
        <f>IF([1]Registro!F53&lt;&gt;"",CONCATENATE("Servicio de consultoría BEE Consultoría &amp; Negocios"," ",","," ","Contrato"," ",[1]Registro!C53," ","-"," ",[1]Registro!F53," ","-"," ","Servicio de"," ",[1]Registro!D53," ","-"," ",[1]Registro!O53," ","-"," ",[1]Registro!A53," ",[1]Registro!Q53," ",[1]Registro!R53),"")</f>
        <v/>
      </c>
      <c r="G51" s="3" t="str">
        <f>IF([1]Registro!H53&lt;&gt;"",[1]Registro!H53,"")</f>
        <v/>
      </c>
      <c r="H51" s="3" t="str">
        <f>IF([1]Registro!I53&lt;&gt;"",[1]Registro!I53,"")</f>
        <v/>
      </c>
      <c r="I51" s="3" t="str">
        <f>IF([1]Registro!J53&lt;&gt;"",[1]Registro!J53,"")</f>
        <v/>
      </c>
      <c r="J51" s="3" t="str">
        <f>IF([1]Registro!K53&lt;&gt;"",[1]Registro!K53,"")</f>
        <v/>
      </c>
      <c r="K51" s="3">
        <f>IF([1]Registro!M53&lt;&gt;"",[1]Registro!M53,"")</f>
        <v>0</v>
      </c>
      <c r="L51" s="5" t="str">
        <f>IF([1]Registro!N53&lt;&gt;"",[1]Registro!N53,"")</f>
        <v>DOLARES AMERICANOS CON 00/100 CENTAVOS</v>
      </c>
      <c r="M51" s="5" t="str">
        <f>IFERROR(VLOOKUP(E51,[1]!Tabla1[[#All],[ID del colaborador]:[Sec. Factura]],4,FALSE),"")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 Granada Ramírez</dc:creator>
  <cp:lastModifiedBy>Luisa Fernanda  Granada Ramírez</cp:lastModifiedBy>
  <dcterms:created xsi:type="dcterms:W3CDTF">2026-06-24T16:31:39Z</dcterms:created>
  <dcterms:modified xsi:type="dcterms:W3CDTF">2026-06-24T16:31:51Z</dcterms:modified>
</cp:coreProperties>
</file>