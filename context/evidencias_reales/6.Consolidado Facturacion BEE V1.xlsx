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ee\ProcesoFacturacion\Ejemplo\"/>
    </mc:Choice>
  </mc:AlternateContent>
  <xr:revisionPtr revIDLastSave="0" documentId="13_ncr:1_{B3AE3C8B-BD1F-4968-82E3-7F770154B02F}" xr6:coauthVersionLast="47" xr6:coauthVersionMax="47" xr10:uidLastSave="{00000000-0000-0000-0000-000000000000}"/>
  <bookViews>
    <workbookView xWindow="-120" yWindow="-120" windowWidth="20730" windowHeight="11040" xr2:uid="{7F89FFF3-E5B9-B24F-ADD8-5EE10EBB38B3}"/>
  </bookViews>
  <sheets>
    <sheet name="CONSOLIDADO FACT 2026" sheetId="11" r:id="rId1"/>
    <sheet name="INDICADORES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1" l="1"/>
  <c r="T4" i="11"/>
  <c r="U4" i="11" s="1"/>
  <c r="V4" i="11" s="1"/>
  <c r="M13" i="11"/>
  <c r="N13" i="11" s="1"/>
  <c r="M14" i="11"/>
  <c r="N14" i="11" s="1"/>
  <c r="M6" i="11"/>
  <c r="N6" i="11" s="1"/>
  <c r="U6" i="11"/>
  <c r="V6" i="11" s="1"/>
  <c r="Y6" i="11"/>
  <c r="S3" i="11"/>
  <c r="I26" i="11"/>
  <c r="J14" i="11"/>
  <c r="J12" i="11"/>
  <c r="M12" i="11" s="1"/>
  <c r="N12" i="11" s="1"/>
  <c r="J11" i="11"/>
  <c r="M11" i="11" s="1"/>
  <c r="N11" i="11" s="1"/>
  <c r="J10" i="11"/>
  <c r="M10" i="11" s="1"/>
  <c r="N10" i="11" s="1"/>
  <c r="M8" i="11"/>
  <c r="N8" i="11" s="1"/>
  <c r="M7" i="11"/>
  <c r="N7" i="11" s="1"/>
  <c r="M5" i="11"/>
  <c r="N5" i="11" s="1"/>
  <c r="M3" i="11"/>
  <c r="N3" i="11" s="1"/>
  <c r="J9" i="11"/>
  <c r="M9" i="11" s="1"/>
  <c r="N9" i="11" s="1"/>
  <c r="J4" i="11"/>
  <c r="M4" i="11" s="1"/>
  <c r="N4" i="11" s="1"/>
  <c r="T3" i="11" l="1"/>
  <c r="N26" i="11"/>
  <c r="M26" i="11"/>
  <c r="J26" i="11"/>
  <c r="U5" i="11"/>
  <c r="V5" i="11" s="1"/>
  <c r="Y5" i="11"/>
  <c r="N27" i="11" l="1"/>
  <c r="X3" i="11" l="1"/>
  <c r="S7" i="11" l="1"/>
  <c r="Y3" i="11"/>
  <c r="Y7" i="11" s="1"/>
  <c r="D18" i="10"/>
  <c r="X7" i="11" l="1"/>
  <c r="T7" i="11" l="1"/>
  <c r="U3" i="11"/>
  <c r="U7" i="11" l="1"/>
  <c r="V7" i="11" s="1"/>
  <c r="V3" i="11"/>
  <c r="A11" i="10" l="1"/>
  <c r="C40" i="10"/>
  <c r="D5" i="10" l="1"/>
  <c r="D15" i="10" s="1"/>
  <c r="D19" i="10" s="1"/>
  <c r="F40" i="10" s="1"/>
  <c r="C17" i="10"/>
  <c r="C15" i="10" l="1"/>
  <c r="C19" i="10" l="1"/>
  <c r="E15" i="10"/>
  <c r="D20" i="10" l="1"/>
  <c r="E40" i="10"/>
  <c r="F41" i="10" s="1"/>
  <c r="E19" i="10"/>
  <c r="F19" i="10"/>
  <c r="D40" i="10" l="1"/>
  <c r="D41" i="10" l="1"/>
  <c r="E4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tc={319D826F-8D21-6B40-B4F4-6DBE81530F63}</author>
  </authors>
  <commentList>
    <comment ref="E3" authorId="0" shapeId="0" xr:uid="{319D826F-8D21-6B40-B4F4-6DBE81530F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CONFIRMAR SI DEBE REEMITIRSE INCLUYENDO EL CAPEX
</t>
      </text>
    </comment>
  </commentList>
</comments>
</file>

<file path=xl/sharedStrings.xml><?xml version="1.0" encoding="utf-8"?>
<sst xmlns="http://schemas.openxmlformats.org/spreadsheetml/2006/main" count="111" uniqueCount="77">
  <si>
    <t>SEC. FACTURA</t>
  </si>
  <si>
    <t>DESCRIPCION</t>
  </si>
  <si>
    <t>MES PRESTACION DEL SERVICIO</t>
  </si>
  <si>
    <t>MONEDA</t>
  </si>
  <si>
    <t>ESTADO</t>
  </si>
  <si>
    <t>USD</t>
  </si>
  <si>
    <t>CLIENTE</t>
  </si>
  <si>
    <t>FECHA ENVIO A CLIENTE</t>
  </si>
  <si>
    <t>VALOR UNIT. USD</t>
  </si>
  <si>
    <t>MARZO</t>
  </si>
  <si>
    <t>ABRIL</t>
  </si>
  <si>
    <t>MAYO</t>
  </si>
  <si>
    <t>COP</t>
  </si>
  <si>
    <t>JUNIO</t>
  </si>
  <si>
    <t>DOC MESA DINERO</t>
  </si>
  <si>
    <t>VALOR RECIBIDO</t>
  </si>
  <si>
    <t>VALOR FACTURADO</t>
  </si>
  <si>
    <t>VALOR RETENIDO</t>
  </si>
  <si>
    <t>% RETENCION</t>
  </si>
  <si>
    <t>JULIO</t>
  </si>
  <si>
    <t>AGOSTO</t>
  </si>
  <si>
    <t>TRM NEGOCIACION</t>
  </si>
  <si>
    <t>SEPTIEMBRE</t>
  </si>
  <si>
    <t>OCTUBRE</t>
  </si>
  <si>
    <t>NOVIEMBRE</t>
  </si>
  <si>
    <t>DICIEMBRE</t>
  </si>
  <si>
    <t>VALOR TOTAL USD</t>
  </si>
  <si>
    <t>ANULADO</t>
  </si>
  <si>
    <t>FECHA NEG</t>
  </si>
  <si>
    <t>TOTAL FAC</t>
  </si>
  <si>
    <t>TOTAL BANISTMO</t>
  </si>
  <si>
    <t>TOTAL SISTECREDITO</t>
  </si>
  <si>
    <t>TOTAL CAJA MORELIA</t>
  </si>
  <si>
    <t>TOTAL NUBIT</t>
  </si>
  <si>
    <t>TALENTOS FACTURALES</t>
  </si>
  <si>
    <t>TOTAL HC</t>
  </si>
  <si>
    <t>NO RECIBIDO</t>
  </si>
  <si>
    <t>TOTAL FACTURACION</t>
  </si>
  <si>
    <t>DELTA CRECIMIENTO</t>
  </si>
  <si>
    <t>BANISTMO</t>
  </si>
  <si>
    <t>FECHA NOTIF REC.</t>
  </si>
  <si>
    <t>MES FACTURADO</t>
  </si>
  <si>
    <t>PEDIDOS DE COMPRA</t>
  </si>
  <si>
    <t>TOTALES</t>
  </si>
  <si>
    <t>FACTURAS PAGADAS</t>
  </si>
  <si>
    <t>Op_C106254RBK022426</t>
  </si>
  <si>
    <t>TRM DIAN</t>
  </si>
  <si>
    <t>MONTO COP REPORTADO DIAN</t>
  </si>
  <si>
    <t>MONTO COP ESPERADO</t>
  </si>
  <si>
    <t>IMPUESTO TRANSFERENCIAS</t>
  </si>
  <si>
    <t>BEE679</t>
  </si>
  <si>
    <t>PCC-2026-01067</t>
  </si>
  <si>
    <t>BEE681</t>
  </si>
  <si>
    <t>PCC-2026-01230</t>
  </si>
  <si>
    <t>NO EMITIR</t>
  </si>
  <si>
    <t>ENVIADO</t>
  </si>
  <si>
    <t>SIN EMITIR</t>
  </si>
  <si>
    <t>BEE700</t>
  </si>
  <si>
    <t>BEE701</t>
  </si>
  <si>
    <t>BEE702</t>
  </si>
  <si>
    <t>BEE703</t>
  </si>
  <si>
    <t>Servicio de consultoria BEE Consultoria &amp; Negocios, contrato BI-VSC-15479-2022-001 - Daniel Diaz - Servicio del 01 al 31 de Marzo- Carmen Luisa Fernandez. Pedido de Compra: PCC-2026-01067
CAPEX: Implementación de repositorios en región alterna en la nube (Región 2)</t>
  </si>
  <si>
    <t>BEE644 BEE681</t>
  </si>
  <si>
    <t>PAGADA</t>
  </si>
  <si>
    <t>Servicio de consultoria BEE Consultoria &amp; Negocios, contrato BI-VSC-15479-2022-001 - Octavio Suarez - Servicio del 01 al 31 de Marzo - Fernando Jaramillo - . Pedido de Compra: PCC-2026-01230</t>
  </si>
  <si>
    <t>Servicio de consultoria BEE Consultoria &amp; Negocios, contrato BI-VSC-15479-2022-001 - Kevin Joel Monteros - Servicio del 01 al 17 de Marzo - Fernando Jaramilloa - . Pedido de Compra: PCC-2026-01230</t>
  </si>
  <si>
    <t>Servicio de consultoria BEE Consultoria &amp; Negocios, contrato BI-VSC-15479-2022-001 - Kevin Ocampo - Servicio del 01 al 31 de Marzo- Fernando Jaramillo. Pedido de Compra: PCC-2026-01230</t>
  </si>
  <si>
    <t>Servicio de consultoria BEE Consultoria &amp; Negocios, contrato BI-VSC-15479-2022-001 - Jimena Salazar Ruiz - Servicio del 01 al 31 de Marzo Fernando Jaramillo - . Pedido de Compra: PCC-2026-01230</t>
  </si>
  <si>
    <t>Servicio de consultoria BEE Consultoria &amp; Negocios, contrato BI-VSC-15479-2022-001 - Alexander Lara - Servicio del 01 al 31 de Marzo- Fernando Jaramillo. Pedido de Compra: PCC-2026-01230</t>
  </si>
  <si>
    <t>Servicio de consultoria BEE Consultoria &amp; Negocios, contrato BI-VSC-15479-2022-001 - Jonathan Guzman - Servicio del 02 al 31 de Marzo - Carmen Bernal - . Pedido de Compra: NO RECIBIDO</t>
  </si>
  <si>
    <t>Servicio de consultoria BEE Consultoria &amp; Negocios, contrato BI-VSC-15479-2022-001 - Alejandra Muñoz - Servicio del 13 al 30 de Abril - Carmen luisa Jimenez - . Pedido de Compra: NO RECIBIDO
CAPEX: 796007 EVC-717008-EV1-2026 Interoperabilidad Yappy</t>
  </si>
  <si>
    <t>Servicio de consultoria BEE Consultoria &amp; Negocios, contrato BI-VSC-15479-2022-001 - Nicolas Gutierrez Arcila - Servicio del 01 al 30 de Abril- Sergio Fernandez -. Pedido de Compra: NO RECIBIDO
CAPEX: EVC-717008-EV1-2026 Interoperabilidad Yappy - Onboarding entrega 1</t>
  </si>
  <si>
    <t>Servicio de consultoria BEE Consultoria &amp; Negocios, contrato BI-VSC-15479-2022-001 - Pedro Perez - Servicio del 01 al 30 de Abril - Juan Hidalgo - . Pedido de Compra: PCC-2026-01521
CAPEX: EVC-717008-EV1-2026 Interoperabilidad Yappy - Onboarding entrega 1</t>
  </si>
  <si>
    <t>Servicio de consultoria BEE Consultoria &amp; Negocios, contrato BI-VSC-15479-2022-001 - Sara Castro - Servicio del 01 al 30 de Abril- Juan Hidalgo. Pedido de Compra: NO RECIBIDO
CAPEX: EVC-717008-EV1-2026 Interoperabilidad Yappy - Onboarding entrega 1</t>
  </si>
  <si>
    <t>Servicio de consultoria BEE Consultoria &amp; Negocios, contrato BI-VSC-15479-2022-001 - Pablo Franco - Servicio del 1 al 30 de Abril - Juan Hidalgo - . Pedido de Compra: PCC-2026-01521
CAPEX: EVC004-EV-1-2026-Mostrar detalle de saldos retenidos en BLE</t>
  </si>
  <si>
    <t>PCC-2026-01521</t>
  </si>
  <si>
    <t>Op_C106254RBK022427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</si>
</sst>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\ * #,##0_-;\-&quot;$&quot;\ * #,##0_-;_-&quot;$&quot;\ * &quot;-&quot;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(&quot;$&quot;* #,##0_);_(&quot;$&quot;* \(#,##0\);_(&quot;$&quot;* &quot;-&quot;_);_(@_)"/>
    <numFmt numFmtId="167" formatCode="_-&quot;$&quot;* #,##0.00_-;\-&quot;$&quot;* #,##0.00_-;_-&quot;$&quot;* &quot;-&quot;_-;_-@_-"/>
    <numFmt numFmtId="168" formatCode="_(&quot;$&quot;* #,##0.00_);_(&quot;$&quot;* \(#,##0.00\);_(&quot;$&quot;* &quot;-&quot;_);_(@_)"/>
    <numFmt numFmtId="169" formatCode="&quot;$&quot;#,##0.00;[Red]&quot;$&quot;#,##0.0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  <font>
      <sz val="9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81">
    <xf numFmtId="0" fontId="0" fillId="0" borderId="0" xfId="0"/>
    <xf numFmtId="166" fontId="0" fillId="0" borderId="0" xfId="1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0" xfId="2" applyNumberFormat="1" applyFont="1"/>
    <xf numFmtId="166" fontId="3" fillId="2" borderId="0" xfId="1" applyFont="1" applyFill="1" applyAlignment="1">
      <alignment horizontal="center" vertical="justify" wrapText="1"/>
    </xf>
    <xf numFmtId="167" fontId="3" fillId="2" borderId="0" xfId="1" applyNumberFormat="1" applyFont="1" applyFill="1" applyAlignment="1">
      <alignment horizontal="center" vertical="justify" wrapText="1"/>
    </xf>
    <xf numFmtId="17" fontId="3" fillId="2" borderId="0" xfId="0" applyNumberFormat="1" applyFont="1" applyFill="1" applyAlignment="1">
      <alignment horizontal="center" vertical="justify" wrapText="1"/>
    </xf>
    <xf numFmtId="0" fontId="7" fillId="2" borderId="0" xfId="0" applyFont="1" applyFill="1"/>
    <xf numFmtId="10" fontId="0" fillId="0" borderId="1" xfId="2" applyNumberFormat="1" applyFont="1" applyBorder="1"/>
    <xf numFmtId="14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0" borderId="0" xfId="0" applyNumberFormat="1"/>
    <xf numFmtId="168" fontId="3" fillId="2" borderId="0" xfId="1" applyNumberFormat="1" applyFont="1" applyFill="1" applyAlignment="1">
      <alignment horizontal="center" vertical="justify" wrapText="1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wrapText="1"/>
    </xf>
    <xf numFmtId="0" fontId="0" fillId="0" borderId="0" xfId="1" applyNumberFormat="1" applyFont="1"/>
    <xf numFmtId="166" fontId="0" fillId="0" borderId="0" xfId="0" applyNumberFormat="1"/>
    <xf numFmtId="9" fontId="0" fillId="0" borderId="0" xfId="2" applyFont="1"/>
    <xf numFmtId="3" fontId="0" fillId="0" borderId="0" xfId="1" applyNumberFormat="1" applyFont="1"/>
    <xf numFmtId="167" fontId="5" fillId="2" borderId="0" xfId="1" applyNumberFormat="1" applyFont="1" applyFill="1"/>
    <xf numFmtId="0" fontId="10" fillId="2" borderId="0" xfId="0" applyFont="1" applyFill="1"/>
    <xf numFmtId="167" fontId="5" fillId="2" borderId="0" xfId="1" applyNumberFormat="1" applyFont="1" applyFill="1" applyAlignment="1"/>
    <xf numFmtId="166" fontId="11" fillId="2" borderId="0" xfId="0" applyNumberFormat="1" applyFont="1" applyFill="1"/>
    <xf numFmtId="10" fontId="11" fillId="2" borderId="0" xfId="2" applyNumberFormat="1" applyFont="1" applyFill="1"/>
    <xf numFmtId="169" fontId="0" fillId="0" borderId="1" xfId="1" applyNumberFormat="1" applyFont="1" applyBorder="1"/>
    <xf numFmtId="168" fontId="11" fillId="2" borderId="0" xfId="0" applyNumberFormat="1" applyFont="1" applyFill="1"/>
    <xf numFmtId="169" fontId="0" fillId="0" borderId="1" xfId="0" applyNumberFormat="1" applyBorder="1"/>
    <xf numFmtId="0" fontId="1" fillId="0" borderId="0" xfId="0" applyFont="1" applyAlignment="1">
      <alignment horizontal="left" indent="5"/>
    </xf>
    <xf numFmtId="0" fontId="0" fillId="4" borderId="1" xfId="0" applyFill="1" applyBorder="1"/>
    <xf numFmtId="0" fontId="7" fillId="2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14" fontId="3" fillId="2" borderId="0" xfId="0" applyNumberFormat="1" applyFont="1" applyFill="1" applyAlignment="1">
      <alignment horizontal="center" vertical="justify" wrapText="1"/>
    </xf>
    <xf numFmtId="14" fontId="0" fillId="0" borderId="0" xfId="0" applyNumberFormat="1" applyAlignment="1">
      <alignment horizontal="center"/>
    </xf>
    <xf numFmtId="166" fontId="2" fillId="2" borderId="0" xfId="1" applyFont="1" applyFill="1"/>
    <xf numFmtId="10" fontId="2" fillId="2" borderId="0" xfId="2" applyNumberFormat="1" applyFont="1" applyFill="1"/>
    <xf numFmtId="168" fontId="8" fillId="3" borderId="1" xfId="1" applyNumberFormat="1" applyFont="1" applyFill="1" applyBorder="1" applyAlignment="1"/>
    <xf numFmtId="14" fontId="0" fillId="3" borderId="1" xfId="0" applyNumberFormat="1" applyFill="1" applyBorder="1" applyAlignment="1">
      <alignment horizontal="center"/>
    </xf>
    <xf numFmtId="166" fontId="5" fillId="2" borderId="0" xfId="1" applyFont="1" applyFill="1" applyAlignment="1"/>
    <xf numFmtId="166" fontId="0" fillId="0" borderId="0" xfId="1" applyFont="1" applyAlignment="1">
      <alignment horizontal="center"/>
    </xf>
    <xf numFmtId="164" fontId="5" fillId="2" borderId="0" xfId="1" applyNumberFormat="1" applyFont="1" applyFill="1" applyAlignment="1"/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/>
    </xf>
    <xf numFmtId="168" fontId="8" fillId="5" borderId="1" xfId="1" applyNumberFormat="1" applyFont="1" applyFill="1" applyBorder="1" applyAlignment="1"/>
    <xf numFmtId="0" fontId="0" fillId="5" borderId="1" xfId="0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168" fontId="9" fillId="3" borderId="1" xfId="1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/>
    </xf>
    <xf numFmtId="168" fontId="8" fillId="6" borderId="1" xfId="1" applyNumberFormat="1" applyFont="1" applyFill="1" applyBorder="1" applyAlignment="1"/>
    <xf numFmtId="0" fontId="9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/>
    </xf>
    <xf numFmtId="168" fontId="9" fillId="6" borderId="1" xfId="1" applyNumberFormat="1" applyFont="1" applyFill="1" applyBorder="1" applyAlignment="1"/>
    <xf numFmtId="168" fontId="9" fillId="5" borderId="1" xfId="1" applyNumberFormat="1" applyFont="1" applyFill="1" applyBorder="1" applyAlignment="1"/>
    <xf numFmtId="14" fontId="0" fillId="6" borderId="1" xfId="0" applyNumberFormat="1" applyFill="1" applyBorder="1" applyAlignment="1">
      <alignment horizontal="center"/>
    </xf>
    <xf numFmtId="168" fontId="9" fillId="6" borderId="2" xfId="1" applyNumberFormat="1" applyFont="1" applyFill="1" applyBorder="1" applyAlignment="1">
      <alignment horizontal="center"/>
    </xf>
    <xf numFmtId="168" fontId="9" fillId="6" borderId="4" xfId="1" applyNumberFormat="1" applyFont="1" applyFill="1" applyBorder="1" applyAlignment="1">
      <alignment horizontal="center"/>
    </xf>
    <xf numFmtId="168" fontId="9" fillId="6" borderId="3" xfId="1" applyNumberFormat="1" applyFont="1" applyFill="1" applyBorder="1" applyAlignment="1">
      <alignment horizontal="center"/>
    </xf>
    <xf numFmtId="14" fontId="0" fillId="6" borderId="2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7" fontId="0" fillId="6" borderId="2" xfId="0" applyNumberFormat="1" applyFill="1" applyBorder="1" applyAlignment="1">
      <alignment horizontal="center"/>
    </xf>
    <xf numFmtId="167" fontId="0" fillId="6" borderId="4" xfId="0" applyNumberFormat="1" applyFill="1" applyBorder="1" applyAlignment="1">
      <alignment horizontal="center"/>
    </xf>
    <xf numFmtId="167" fontId="0" fillId="6" borderId="3" xfId="0" applyNumberForma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6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14" fontId="0" fillId="6" borderId="3" xfId="0" applyNumberFormat="1" applyFill="1" applyBorder="1" applyAlignment="1">
      <alignment horizontal="center"/>
    </xf>
    <xf numFmtId="0" fontId="6" fillId="6" borderId="1" xfId="0" applyFont="1" applyFill="1" applyBorder="1" applyAlignment="1">
      <alignment wrapText="1"/>
    </xf>
    <xf numFmtId="0" fontId="0" fillId="0" borderId="1" xfId="0" applyBorder="1"/>
    <xf numFmtId="0" fontId="6" fillId="6" borderId="1" xfId="0" applyFont="1" applyFill="1" applyBorder="1" applyAlignment="1">
      <alignment horizontal="center"/>
    </xf>
    <xf numFmtId="168" fontId="8" fillId="6" borderId="1" xfId="3" applyNumberFormat="1" applyFont="1" applyFill="1" applyBorder="1" applyAlignment="1"/>
    <xf numFmtId="168" fontId="9" fillId="6" borderId="1" xfId="3" applyNumberFormat="1" applyFont="1" applyFill="1" applyBorder="1" applyAlignment="1"/>
  </cellXfs>
  <cellStyles count="4">
    <cellStyle name="Moneda [0]" xfId="1" builtinId="7"/>
    <cellStyle name="Moneda [0] 2" xfId="3" xr:uid="{C87911AA-2A29-4AD8-8ABB-EBE47CFE4843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INGRESOS POR FACTURACION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INDICADORES!$D$2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486646884272996E-2"/>
                  <c:y val="4.11840411840411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64-C04E-A35B-28FC06A8D612}"/>
                </c:ext>
              </c:extLst>
            </c:dLbl>
            <c:dLbl>
              <c:idx val="1"/>
              <c:layout>
                <c:manualLayout>
                  <c:x val="-3.6795252225519312E-2"/>
                  <c:y val="-4.6332046332046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64-C04E-A35B-28FC06A8D612}"/>
                </c:ext>
              </c:extLst>
            </c:dLbl>
            <c:dLbl>
              <c:idx val="2"/>
              <c:layout>
                <c:manualLayout>
                  <c:x val="-2.8486646884272996E-2"/>
                  <c:y val="-5.1480051480051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64-C04E-A35B-28FC06A8D612}"/>
                </c:ext>
              </c:extLst>
            </c:dLbl>
            <c:dLbl>
              <c:idx val="3"/>
              <c:layout>
                <c:manualLayout>
                  <c:x val="-4.0356083086053457E-2"/>
                  <c:y val="5.40540540540540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364-C04E-A35B-28FC06A8D612}"/>
                </c:ext>
              </c:extLst>
            </c:dLbl>
            <c:dLbl>
              <c:idx val="4"/>
              <c:layout>
                <c:manualLayout>
                  <c:x val="-3.5608308605341289E-2"/>
                  <c:y val="4.8906048906048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364-C04E-A35B-28FC06A8D612}"/>
                </c:ext>
              </c:extLst>
            </c:dLbl>
            <c:dLbl>
              <c:idx val="5"/>
              <c:layout>
                <c:manualLayout>
                  <c:x val="-2.3738872403560832E-2"/>
                  <c:y val="5.6628056628056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364-C04E-A35B-28FC06A8D612}"/>
                </c:ext>
              </c:extLst>
            </c:dLbl>
            <c:dLbl>
              <c:idx val="6"/>
              <c:layout>
                <c:manualLayout>
                  <c:x val="-1.7804154302670624E-2"/>
                  <c:y val="6.94980694980694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364-C04E-A35B-28FC06A8D612}"/>
                </c:ext>
              </c:extLst>
            </c:dLbl>
            <c:dLbl>
              <c:idx val="7"/>
              <c:layout>
                <c:manualLayout>
                  <c:x val="-3.9169139465875372E-2"/>
                  <c:y val="-3.8610038610038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364-C04E-A35B-28FC06A8D612}"/>
                </c:ext>
              </c:extLst>
            </c:dLbl>
            <c:dLbl>
              <c:idx val="8"/>
              <c:layout>
                <c:manualLayout>
                  <c:x val="-2.8486646884272996E-2"/>
                  <c:y val="-3.8610038610038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364-C04E-A35B-28FC06A8D612}"/>
                </c:ext>
              </c:extLst>
            </c:dLbl>
            <c:dLbl>
              <c:idx val="9"/>
              <c:layout>
                <c:manualLayout>
                  <c:x val="-2.967359050445104E-2"/>
                  <c:y val="-3.8610038610038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364-C04E-A35B-28FC06A8D612}"/>
                </c:ext>
              </c:extLst>
            </c:dLbl>
            <c:dLbl>
              <c:idx val="10"/>
              <c:layout>
                <c:manualLayout>
                  <c:x val="-2.8486646884272996E-2"/>
                  <c:y val="-4.118404118404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364-C04E-A35B-28FC06A8D612}"/>
                </c:ext>
              </c:extLst>
            </c:dLbl>
            <c:dLbl>
              <c:idx val="11"/>
              <c:layout>
                <c:manualLayout>
                  <c:x val="-2.0178041543026708E-2"/>
                  <c:y val="-4.3758043758043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364-C04E-A35B-28FC06A8D6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INDICADORES!$B$3:$B$14</c:f>
              <c:strCache>
                <c:ptCount val="12"/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INDICADORES!$D$3:$D$14</c:f>
              <c:numCache>
                <c:formatCode>_("$"* #,##0_);_("$"* \(#,##0\);_("$"* "-"_);_(@_)</c:formatCode>
                <c:ptCount val="12"/>
                <c:pt idx="2">
                  <c:v>116323.91476190501</c:v>
                </c:pt>
                <c:pt idx="3">
                  <c:v>100812.19095238097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64-C04E-A35B-28FC06A8D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302847"/>
        <c:axId val="422869439"/>
      </c:lineChart>
      <c:catAx>
        <c:axId val="75930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2869439"/>
        <c:crosses val="autoZero"/>
        <c:auto val="1"/>
        <c:lblAlgn val="ctr"/>
        <c:lblOffset val="100"/>
        <c:noMultiLvlLbl val="0"/>
      </c:catAx>
      <c:valAx>
        <c:axId val="42286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93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INGRESOS POR FACTURACION 2024 vs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INDICADORES!$C$2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INDICADORES!$B$3:$B$14</c:f>
              <c:strCache>
                <c:ptCount val="12"/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INDICADORES!$C$3:$C$14</c:f>
              <c:numCache>
                <c:formatCode>_("$"* #,##0_);_("$"* \(#,##0\);_("$"* "-"_);_(@_)</c:formatCode>
                <c:ptCount val="12"/>
                <c:pt idx="2">
                  <c:v>72537.17</c:v>
                </c:pt>
                <c:pt idx="3">
                  <c:v>64707.452464285714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E-B34C-A569-2DBA529302E9}"/>
            </c:ext>
          </c:extLst>
        </c:ser>
        <c:ser>
          <c:idx val="1"/>
          <c:order val="1"/>
          <c:tx>
            <c:strRef>
              <c:f>INDICADORES!$D$2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INDICADORES!$B$3:$B$14</c:f>
              <c:strCache>
                <c:ptCount val="12"/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INDICADORES!$D$3:$D$14</c:f>
              <c:numCache>
                <c:formatCode>_("$"* #,##0_);_("$"* \(#,##0\);_("$"* "-"_);_(@_)</c:formatCode>
                <c:ptCount val="12"/>
                <c:pt idx="2">
                  <c:v>116323.91476190501</c:v>
                </c:pt>
                <c:pt idx="3">
                  <c:v>100812.19095238097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E-B34C-A569-2DBA52930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896079"/>
        <c:axId val="621272783"/>
      </c:lineChart>
      <c:catAx>
        <c:axId val="60889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1272783"/>
        <c:crosses val="autoZero"/>
        <c:auto val="1"/>
        <c:lblAlgn val="ctr"/>
        <c:lblOffset val="100"/>
        <c:noMultiLvlLbl val="0"/>
      </c:catAx>
      <c:valAx>
        <c:axId val="6212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889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EVOLUCION FACTURACION (USD) 2022 A 2025</a:t>
            </a:r>
            <a:endParaRPr lang="es-CO" sz="24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INDICADORES!$B$40</c:f>
              <c:strCache>
                <c:ptCount val="1"/>
                <c:pt idx="0">
                  <c:v>TOTAL FACTURACION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INDICADORES!$C$39:$F$39</c:f>
              <c:numCache>
                <c:formatCode>#,##0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INDICADORES!$C$40:$F$40</c:f>
              <c:numCache>
                <c:formatCode>_("$"* #,##0_);_("$"* \(#,##0\);_("$"*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265094.28100087109</c:v>
                </c:pt>
                <c:pt idx="3">
                  <c:v>270164.67571428599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0-2F48-A9FD-9A8E4EBCC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4840223"/>
        <c:axId val="619577839"/>
      </c:barChart>
      <c:lineChart>
        <c:grouping val="standard"/>
        <c:varyColors val="0"/>
        <c:ser>
          <c:idx val="1"/>
          <c:order val="1"/>
          <c:tx>
            <c:strRef>
              <c:f>INDICADORES!$B$41</c:f>
              <c:strCache>
                <c:ptCount val="1"/>
                <c:pt idx="0">
                  <c:v>DELTA CRECIMIENTO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INDICADORES!$C$39:$F$39</c:f>
              <c:numCache>
                <c:formatCode>#,##0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INDICADORES!$C$41:$F$41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1.9126760088039131E-2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0-2F48-A9FD-9A8E4EBCC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232255"/>
        <c:axId val="630389119"/>
      </c:lineChart>
      <c:catAx>
        <c:axId val="604840223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9577839"/>
        <c:crosses val="autoZero"/>
        <c:auto val="1"/>
        <c:lblAlgn val="ctr"/>
        <c:lblOffset val="100"/>
        <c:noMultiLvlLbl val="0"/>
      </c:catAx>
      <c:valAx>
        <c:axId val="61957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40223"/>
        <c:crosses val="autoZero"/>
        <c:crossBetween val="between"/>
      </c:valAx>
      <c:valAx>
        <c:axId val="63038911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232255"/>
        <c:crosses val="max"/>
        <c:crossBetween val="between"/>
      </c:valAx>
      <c:catAx>
        <c:axId val="630232255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630389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EVOLUCION TALENTOS BILLABLE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INDICADORES!$E$2</c:f>
              <c:strCache>
                <c:ptCount val="1"/>
                <c:pt idx="0">
                  <c:v>TALENTOS FACTURALES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INDICADORES!$B$3:$B$14</c:f>
              <c:strCache>
                <c:ptCount val="12"/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INDICADORES!$E$3:$E$14</c:f>
              <c:numCache>
                <c:formatCode>General</c:formatCode>
                <c:ptCount val="12"/>
                <c:pt idx="2">
                  <c:v>25</c:v>
                </c:pt>
                <c:pt idx="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4-7A44-AB39-7414136CA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469168"/>
        <c:axId val="303890416"/>
      </c:lineChart>
      <c:catAx>
        <c:axId val="32346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3890416"/>
        <c:crosses val="autoZero"/>
        <c:auto val="1"/>
        <c:lblAlgn val="ctr"/>
        <c:lblOffset val="100"/>
        <c:noMultiLvlLbl val="0"/>
      </c:catAx>
      <c:valAx>
        <c:axId val="30389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346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</xdr:colOff>
      <xdr:row>29</xdr:row>
      <xdr:rowOff>44450</xdr:rowOff>
    </xdr:from>
    <xdr:to>
      <xdr:col>22</xdr:col>
      <xdr:colOff>152400</xdr:colOff>
      <xdr:row>56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96FD51-E14B-6981-B908-359BFF44B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6350</xdr:colOff>
      <xdr:row>19</xdr:row>
      <xdr:rowOff>196850</xdr:rowOff>
    </xdr:from>
    <xdr:to>
      <xdr:col>5</xdr:col>
      <xdr:colOff>800100</xdr:colOff>
      <xdr:row>36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3D8A6D-8217-D034-D392-B2E6A820D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812800</xdr:colOff>
      <xdr:row>43</xdr:row>
      <xdr:rowOff>6350</xdr:rowOff>
    </xdr:from>
    <xdr:to>
      <xdr:col>5</xdr:col>
      <xdr:colOff>850900</xdr:colOff>
      <xdr:row>56</xdr:row>
      <xdr:rowOff>107950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5FA2C75-D44B-90A3-7226-16ADC1AD7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57727</xdr:colOff>
      <xdr:row>19</xdr:row>
      <xdr:rowOff>181263</xdr:rowOff>
    </xdr:from>
    <xdr:to>
      <xdr:col>11</xdr:col>
      <xdr:colOff>1778002</xdr:colOff>
      <xdr:row>34</xdr:row>
      <xdr:rowOff>92364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AC19E0-5A0E-1031-FE28-977FADE4E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CTAVIO HOYOS FLOREZ" id="{F8CA86AF-E4EC-C240-8309-C318473FBBF2}" userId="daebe4384e63f306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6-04-09T22:48:24.53" personId="{F8CA86AF-E4EC-C240-8309-C318473FBBF2}" id="{319D826F-8D21-6B40-B4F4-6DBE81530F63}">
    <text xml:space="preserve">CONFIRMAR SI DEBE REEMITIRSE INCLUYENDO EL CAPEX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66F5-EEF5-8742-9178-742CBF0E522C}">
  <sheetPr codeName="Hoja8"/>
  <dimension ref="B2:Z28"/>
  <sheetViews>
    <sheetView tabSelected="1" workbookViewId="0">
      <selection activeCell="A4" sqref="A4"/>
    </sheetView>
  </sheetViews>
  <sheetFormatPr baseColWidth="10" defaultRowHeight="15.75" x14ac:dyDescent="0.25"/>
  <cols>
    <col min="2" max="2" width="18.875" style="2" customWidth="1"/>
    <col min="3" max="3" width="17.5" style="35" customWidth="1"/>
    <col min="6" max="6" width="15.875" bestFit="1" customWidth="1"/>
    <col min="7" max="7" width="67.375" customWidth="1"/>
    <col min="9" max="10" width="20.375" bestFit="1" customWidth="1"/>
    <col min="11" max="11" width="15.875" style="2" bestFit="1" customWidth="1"/>
    <col min="12" max="12" width="15.875" style="2" customWidth="1"/>
    <col min="13" max="13" width="36" style="41" bestFit="1" customWidth="1"/>
    <col min="14" max="14" width="26.375" bestFit="1" customWidth="1"/>
    <col min="15" max="15" width="14.625" bestFit="1" customWidth="1"/>
    <col min="16" max="16" width="16.875" style="2" bestFit="1" customWidth="1"/>
    <col min="17" max="17" width="21" bestFit="1" customWidth="1"/>
    <col min="18" max="18" width="17.125" customWidth="1"/>
    <col min="19" max="19" width="18.375" bestFit="1" customWidth="1"/>
    <col min="20" max="20" width="14.5" bestFit="1" customWidth="1"/>
    <col min="21" max="21" width="13" bestFit="1" customWidth="1"/>
    <col min="22" max="22" width="12.375" bestFit="1" customWidth="1"/>
    <col min="24" max="24" width="16.875" customWidth="1"/>
    <col min="25" max="25" width="20" bestFit="1" customWidth="1"/>
    <col min="26" max="26" width="34.625" bestFit="1" customWidth="1"/>
  </cols>
  <sheetData>
    <row r="2" spans="2:26" ht="56.25" x14ac:dyDescent="0.25">
      <c r="B2" s="8" t="s">
        <v>2</v>
      </c>
      <c r="C2" s="34" t="s">
        <v>7</v>
      </c>
      <c r="D2" s="8" t="s">
        <v>6</v>
      </c>
      <c r="E2" s="8" t="s">
        <v>0</v>
      </c>
      <c r="F2" s="8" t="s">
        <v>42</v>
      </c>
      <c r="G2" s="8" t="s">
        <v>1</v>
      </c>
      <c r="H2" s="8" t="s">
        <v>3</v>
      </c>
      <c r="I2" s="15" t="s">
        <v>8</v>
      </c>
      <c r="J2" s="15" t="s">
        <v>26</v>
      </c>
      <c r="K2" s="7" t="s">
        <v>4</v>
      </c>
      <c r="L2" s="15" t="s">
        <v>46</v>
      </c>
      <c r="M2" s="6" t="s">
        <v>47</v>
      </c>
      <c r="N2" s="7" t="s">
        <v>48</v>
      </c>
      <c r="P2" s="7" t="s">
        <v>41</v>
      </c>
      <c r="Q2" s="7" t="s">
        <v>14</v>
      </c>
      <c r="R2" s="7" t="s">
        <v>40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28</v>
      </c>
      <c r="X2" s="7" t="s">
        <v>21</v>
      </c>
      <c r="Y2" s="7" t="s">
        <v>12</v>
      </c>
      <c r="Z2" s="7" t="s">
        <v>44</v>
      </c>
    </row>
    <row r="3" spans="2:26" ht="63" x14ac:dyDescent="0.25">
      <c r="B3" s="12" t="s">
        <v>9</v>
      </c>
      <c r="C3" s="39">
        <v>46125</v>
      </c>
      <c r="D3" s="12" t="s">
        <v>39</v>
      </c>
      <c r="E3" s="47" t="s">
        <v>50</v>
      </c>
      <c r="F3" s="16" t="s">
        <v>51</v>
      </c>
      <c r="G3" s="17" t="s">
        <v>61</v>
      </c>
      <c r="H3" s="12" t="s">
        <v>5</v>
      </c>
      <c r="I3" s="38">
        <v>1300</v>
      </c>
      <c r="J3" s="48">
        <v>0</v>
      </c>
      <c r="K3" s="48" t="s">
        <v>27</v>
      </c>
      <c r="L3" s="48"/>
      <c r="M3" s="48">
        <f t="shared" ref="M3:M9" si="0">L3*J3</f>
        <v>0</v>
      </c>
      <c r="N3" s="48">
        <f t="shared" ref="N3:N14" si="1">M3*87.5%</f>
        <v>0</v>
      </c>
      <c r="P3" s="4" t="s">
        <v>9</v>
      </c>
      <c r="Q3" s="3" t="s">
        <v>45</v>
      </c>
      <c r="R3" s="11">
        <v>46136</v>
      </c>
      <c r="S3" s="27">
        <f>5678.4</f>
        <v>5678.4</v>
      </c>
      <c r="T3" s="27">
        <f>SUM(J3:J9)</f>
        <v>6550</v>
      </c>
      <c r="U3" s="27">
        <f>T3-S3</f>
        <v>871.60000000000036</v>
      </c>
      <c r="V3" s="10">
        <f>U3/T3</f>
        <v>0.13306870229007639</v>
      </c>
      <c r="W3" s="11">
        <v>46084</v>
      </c>
      <c r="X3" s="3">
        <f>3791.3</f>
        <v>3791.3</v>
      </c>
      <c r="Y3" s="29">
        <f>X3*S3</f>
        <v>21528517.919999998</v>
      </c>
      <c r="Z3" s="3" t="s">
        <v>62</v>
      </c>
    </row>
    <row r="4" spans="2:26" ht="47.25" x14ac:dyDescent="0.25">
      <c r="B4" s="63" t="s">
        <v>9</v>
      </c>
      <c r="C4" s="60">
        <v>46125</v>
      </c>
      <c r="D4" s="63" t="s">
        <v>39</v>
      </c>
      <c r="E4" s="64" t="s">
        <v>52</v>
      </c>
      <c r="F4" s="64" t="s">
        <v>53</v>
      </c>
      <c r="G4" s="49" t="s">
        <v>64</v>
      </c>
      <c r="H4" s="50" t="s">
        <v>5</v>
      </c>
      <c r="I4" s="51">
        <v>1250</v>
      </c>
      <c r="J4" s="57">
        <f>SUM(I4:I8)</f>
        <v>6550</v>
      </c>
      <c r="K4" s="63" t="s">
        <v>63</v>
      </c>
      <c r="L4" s="57"/>
      <c r="M4" s="57">
        <f t="shared" si="0"/>
        <v>0</v>
      </c>
      <c r="N4" s="57">
        <f t="shared" si="1"/>
        <v>0</v>
      </c>
      <c r="P4" s="4" t="s">
        <v>10</v>
      </c>
      <c r="Q4" s="77" t="s">
        <v>76</v>
      </c>
      <c r="R4" s="11">
        <v>46148</v>
      </c>
      <c r="S4" s="27">
        <v>4138.63</v>
      </c>
      <c r="T4" s="27">
        <f>SUM(J10:J14)</f>
        <v>4729.87</v>
      </c>
      <c r="U4" s="27">
        <f>T4-S4</f>
        <v>591.23999999999978</v>
      </c>
      <c r="V4" s="10">
        <f>U4/T4</f>
        <v>0.12500132138938275</v>
      </c>
      <c r="W4" s="11"/>
      <c r="X4" s="77"/>
      <c r="Y4" s="29">
        <f>X4*S4</f>
        <v>0</v>
      </c>
      <c r="Z4" s="77"/>
    </row>
    <row r="5" spans="2:26" ht="47.25" x14ac:dyDescent="0.25">
      <c r="B5" s="61"/>
      <c r="C5" s="61"/>
      <c r="D5" s="61"/>
      <c r="E5" s="65"/>
      <c r="F5" s="65"/>
      <c r="G5" s="52" t="s">
        <v>66</v>
      </c>
      <c r="H5" s="53" t="s">
        <v>5</v>
      </c>
      <c r="I5" s="51">
        <v>1350</v>
      </c>
      <c r="J5" s="58"/>
      <c r="K5" s="61"/>
      <c r="L5" s="58"/>
      <c r="M5" s="58">
        <f t="shared" si="0"/>
        <v>0</v>
      </c>
      <c r="N5" s="58">
        <f t="shared" si="1"/>
        <v>0</v>
      </c>
      <c r="P5" s="4"/>
      <c r="Q5" s="3"/>
      <c r="R5" s="11"/>
      <c r="S5" s="27"/>
      <c r="T5" s="27"/>
      <c r="U5" s="27">
        <f t="shared" ref="U4:U6" si="2">T5-S5</f>
        <v>0</v>
      </c>
      <c r="V5" s="10" t="e">
        <f t="shared" ref="V4:V6" si="3">U5/T5</f>
        <v>#DIV/0!</v>
      </c>
      <c r="W5" s="3"/>
      <c r="X5" s="3"/>
      <c r="Y5" s="29">
        <f t="shared" ref="Y4:Y6" si="4">X5*S5</f>
        <v>0</v>
      </c>
      <c r="Z5" s="3"/>
    </row>
    <row r="6" spans="2:26" ht="47.25" x14ac:dyDescent="0.25">
      <c r="B6" s="61"/>
      <c r="C6" s="61"/>
      <c r="D6" s="61"/>
      <c r="E6" s="65"/>
      <c r="F6" s="65"/>
      <c r="G6" s="49" t="s">
        <v>65</v>
      </c>
      <c r="H6" s="50" t="s">
        <v>5</v>
      </c>
      <c r="I6" s="51">
        <v>1250</v>
      </c>
      <c r="J6" s="58"/>
      <c r="K6" s="61"/>
      <c r="L6" s="58"/>
      <c r="M6" s="58">
        <f t="shared" si="0"/>
        <v>0</v>
      </c>
      <c r="N6" s="58">
        <f t="shared" si="1"/>
        <v>0</v>
      </c>
      <c r="P6" s="4"/>
      <c r="Q6" s="3"/>
      <c r="R6" s="11"/>
      <c r="S6" s="27"/>
      <c r="T6" s="27"/>
      <c r="U6" s="27">
        <f t="shared" si="2"/>
        <v>0</v>
      </c>
      <c r="V6" s="10" t="e">
        <f t="shared" si="3"/>
        <v>#DIV/0!</v>
      </c>
      <c r="W6" s="3"/>
      <c r="X6" s="3"/>
      <c r="Y6" s="29">
        <f t="shared" si="4"/>
        <v>0</v>
      </c>
      <c r="Z6" s="3"/>
    </row>
    <row r="7" spans="2:26" ht="51" x14ac:dyDescent="0.5">
      <c r="B7" s="61"/>
      <c r="C7" s="61"/>
      <c r="D7" s="61"/>
      <c r="E7" s="65"/>
      <c r="F7" s="65"/>
      <c r="G7" s="49" t="s">
        <v>67</v>
      </c>
      <c r="H7" s="50" t="s">
        <v>5</v>
      </c>
      <c r="I7" s="51">
        <v>1450</v>
      </c>
      <c r="J7" s="58"/>
      <c r="K7" s="61"/>
      <c r="L7" s="58"/>
      <c r="M7" s="58">
        <f t="shared" si="0"/>
        <v>0</v>
      </c>
      <c r="N7" s="58">
        <f t="shared" si="1"/>
        <v>0</v>
      </c>
      <c r="P7" s="69" t="s">
        <v>43</v>
      </c>
      <c r="Q7" s="69"/>
      <c r="R7" s="69"/>
      <c r="S7" s="28">
        <f>SUM(S3:S3)</f>
        <v>5678.4</v>
      </c>
      <c r="T7" s="25">
        <f>SUM(T3:T3)</f>
        <v>6550</v>
      </c>
      <c r="U7" s="25">
        <f>SUM(U3:U3)</f>
        <v>871.60000000000036</v>
      </c>
      <c r="V7" s="26">
        <f>U7/T7</f>
        <v>0.13306870229007639</v>
      </c>
      <c r="X7" s="25">
        <f>Y7/S7</f>
        <v>3791.2999999999997</v>
      </c>
      <c r="Y7" s="25">
        <f>SUM(Y3:Y3)</f>
        <v>21528517.919999998</v>
      </c>
    </row>
    <row r="8" spans="2:26" ht="47.25" x14ac:dyDescent="0.25">
      <c r="B8" s="62"/>
      <c r="C8" s="62"/>
      <c r="D8" s="62"/>
      <c r="E8" s="66"/>
      <c r="F8" s="66"/>
      <c r="G8" s="49" t="s">
        <v>68</v>
      </c>
      <c r="H8" s="50" t="s">
        <v>5</v>
      </c>
      <c r="I8" s="51">
        <v>1250</v>
      </c>
      <c r="J8" s="59"/>
      <c r="K8" s="62"/>
      <c r="L8" s="59"/>
      <c r="M8" s="59">
        <f t="shared" si="0"/>
        <v>0</v>
      </c>
      <c r="N8" s="59">
        <f t="shared" si="1"/>
        <v>0</v>
      </c>
      <c r="T8" s="19"/>
    </row>
    <row r="9" spans="2:26" ht="47.25" x14ac:dyDescent="0.25">
      <c r="B9" s="46" t="s">
        <v>9</v>
      </c>
      <c r="C9" s="46"/>
      <c r="D9" s="46" t="s">
        <v>39</v>
      </c>
      <c r="E9" s="44" t="s">
        <v>54</v>
      </c>
      <c r="F9" s="44" t="s">
        <v>36</v>
      </c>
      <c r="G9" s="43" t="s">
        <v>69</v>
      </c>
      <c r="H9" s="44" t="s">
        <v>5</v>
      </c>
      <c r="I9" s="45">
        <v>0</v>
      </c>
      <c r="J9" s="55">
        <f t="shared" ref="J9" si="5">I9</f>
        <v>0</v>
      </c>
      <c r="K9" s="46" t="s">
        <v>56</v>
      </c>
      <c r="L9" s="55"/>
      <c r="M9" s="55">
        <f t="shared" si="0"/>
        <v>0</v>
      </c>
      <c r="N9" s="55">
        <f t="shared" si="1"/>
        <v>0</v>
      </c>
    </row>
    <row r="10" spans="2:26" ht="63" x14ac:dyDescent="0.25">
      <c r="B10" s="53" t="s">
        <v>10</v>
      </c>
      <c r="C10" s="56">
        <v>46125</v>
      </c>
      <c r="D10" s="53" t="s">
        <v>39</v>
      </c>
      <c r="E10" s="50" t="s">
        <v>57</v>
      </c>
      <c r="F10" s="50" t="s">
        <v>36</v>
      </c>
      <c r="G10" s="72" t="s">
        <v>70</v>
      </c>
      <c r="H10" s="50" t="s">
        <v>5</v>
      </c>
      <c r="I10" s="51">
        <v>1254</v>
      </c>
      <c r="J10" s="54">
        <f>I10</f>
        <v>1254</v>
      </c>
      <c r="K10" s="53" t="s">
        <v>55</v>
      </c>
      <c r="L10" s="54"/>
      <c r="M10" s="54">
        <f t="shared" ref="M10:M14" si="6">L10*J10</f>
        <v>0</v>
      </c>
      <c r="N10" s="54">
        <f t="shared" si="1"/>
        <v>0</v>
      </c>
    </row>
    <row r="11" spans="2:26" ht="63" x14ac:dyDescent="0.25">
      <c r="B11" s="53" t="s">
        <v>10</v>
      </c>
      <c r="C11" s="56">
        <v>46125</v>
      </c>
      <c r="D11" s="53" t="s">
        <v>39</v>
      </c>
      <c r="E11" s="50" t="s">
        <v>58</v>
      </c>
      <c r="F11" s="50" t="s">
        <v>36</v>
      </c>
      <c r="G11" s="72" t="s">
        <v>71</v>
      </c>
      <c r="H11" s="50" t="s">
        <v>5</v>
      </c>
      <c r="I11" s="51">
        <v>780.67</v>
      </c>
      <c r="J11" s="54">
        <f>I11</f>
        <v>780.67</v>
      </c>
      <c r="K11" s="53" t="s">
        <v>55</v>
      </c>
      <c r="L11" s="54"/>
      <c r="M11" s="54">
        <f t="shared" si="6"/>
        <v>0</v>
      </c>
      <c r="N11" s="54">
        <f t="shared" si="1"/>
        <v>0</v>
      </c>
    </row>
    <row r="12" spans="2:26" ht="63" x14ac:dyDescent="0.25">
      <c r="B12" s="63" t="s">
        <v>10</v>
      </c>
      <c r="C12" s="60">
        <v>46125</v>
      </c>
      <c r="D12" s="63" t="s">
        <v>39</v>
      </c>
      <c r="E12" s="67" t="s">
        <v>59</v>
      </c>
      <c r="F12" s="67" t="s">
        <v>75</v>
      </c>
      <c r="G12" s="72" t="s">
        <v>72</v>
      </c>
      <c r="H12" s="50" t="s">
        <v>5</v>
      </c>
      <c r="I12" s="51">
        <v>838.08</v>
      </c>
      <c r="J12" s="54">
        <f>I12</f>
        <v>838.08</v>
      </c>
      <c r="K12" s="53" t="s">
        <v>55</v>
      </c>
      <c r="L12" s="54"/>
      <c r="M12" s="54">
        <f t="shared" si="6"/>
        <v>0</v>
      </c>
      <c r="N12" s="54">
        <f t="shared" si="1"/>
        <v>0</v>
      </c>
    </row>
    <row r="13" spans="2:26" s="70" customFormat="1" ht="63" x14ac:dyDescent="0.25">
      <c r="B13" s="62"/>
      <c r="C13" s="75"/>
      <c r="D13" s="62"/>
      <c r="E13" s="68"/>
      <c r="F13" s="68"/>
      <c r="G13" s="76" t="s">
        <v>74</v>
      </c>
      <c r="H13" s="78" t="s">
        <v>5</v>
      </c>
      <c r="I13" s="79">
        <v>1200</v>
      </c>
      <c r="J13" s="80">
        <v>1200</v>
      </c>
      <c r="K13" s="73" t="s">
        <v>55</v>
      </c>
      <c r="L13" s="54"/>
      <c r="M13" s="54">
        <f t="shared" ref="M13:M14" si="7">L13*J13</f>
        <v>0</v>
      </c>
      <c r="N13" s="54">
        <f t="shared" ref="N13:N14" si="8">M13*87.5%</f>
        <v>0</v>
      </c>
      <c r="P13" s="71"/>
    </row>
    <row r="14" spans="2:26" ht="63" x14ac:dyDescent="0.25">
      <c r="B14" s="53" t="s">
        <v>10</v>
      </c>
      <c r="C14" s="56">
        <v>46125</v>
      </c>
      <c r="D14" s="53" t="s">
        <v>39</v>
      </c>
      <c r="E14" s="50" t="s">
        <v>60</v>
      </c>
      <c r="F14" s="50" t="s">
        <v>36</v>
      </c>
      <c r="G14" s="74" t="s">
        <v>73</v>
      </c>
      <c r="H14" s="53" t="s">
        <v>5</v>
      </c>
      <c r="I14" s="51">
        <v>657.12</v>
      </c>
      <c r="J14" s="54">
        <f t="shared" ref="J14" si="9">I14</f>
        <v>657.12</v>
      </c>
      <c r="K14" s="53" t="s">
        <v>55</v>
      </c>
      <c r="L14" s="54"/>
      <c r="M14" s="54">
        <f t="shared" si="7"/>
        <v>0</v>
      </c>
      <c r="N14" s="54">
        <f t="shared" si="8"/>
        <v>0</v>
      </c>
    </row>
    <row r="26" spans="7:14" ht="26.25" x14ac:dyDescent="0.4">
      <c r="G26" s="22" t="s">
        <v>43</v>
      </c>
      <c r="H26" s="23"/>
      <c r="I26" s="24">
        <f>SUM(I3:I24)</f>
        <v>12579.87</v>
      </c>
      <c r="J26" s="24">
        <f>SUM(J3:J24)</f>
        <v>11279.87</v>
      </c>
      <c r="M26" s="40">
        <f>SUM(M3:M24)</f>
        <v>0</v>
      </c>
      <c r="N26" s="42">
        <f>SUM(N3:N24)</f>
        <v>0</v>
      </c>
    </row>
    <row r="27" spans="7:14" ht="21" x14ac:dyDescent="0.35">
      <c r="M27" s="36" t="s">
        <v>49</v>
      </c>
      <c r="N27" s="37" t="e">
        <f>(M26-N26)/M26</f>
        <v>#DIV/0!</v>
      </c>
    </row>
    <row r="28" spans="7:14" x14ac:dyDescent="0.25">
      <c r="N28" s="14"/>
    </row>
  </sheetData>
  <mergeCells count="16">
    <mergeCell ref="P7:R7"/>
    <mergeCell ref="C12:C13"/>
    <mergeCell ref="B12:B13"/>
    <mergeCell ref="D12:D13"/>
    <mergeCell ref="E12:E13"/>
    <mergeCell ref="F12:F13"/>
    <mergeCell ref="C4:C8"/>
    <mergeCell ref="B4:B8"/>
    <mergeCell ref="K4:K8"/>
    <mergeCell ref="D4:D8"/>
    <mergeCell ref="E4:E8"/>
    <mergeCell ref="F4:F8"/>
    <mergeCell ref="J4:J8"/>
    <mergeCell ref="L4:L8"/>
    <mergeCell ref="M4:M8"/>
    <mergeCell ref="N4:N8"/>
  </mergeCells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C60C-D179-A54E-AB1A-EFD0FD61E69E}">
  <sheetPr codeName="Hoja7"/>
  <dimension ref="A2:N41"/>
  <sheetViews>
    <sheetView topLeftCell="D2" zoomScale="110" workbookViewId="0">
      <selection activeCell="E14" sqref="E14"/>
    </sheetView>
  </sheetViews>
  <sheetFormatPr baseColWidth="10" defaultRowHeight="15.75" x14ac:dyDescent="0.25"/>
  <cols>
    <col min="2" max="2" width="20.5" customWidth="1"/>
    <col min="3" max="3" width="19.5" style="1" bestFit="1" customWidth="1"/>
    <col min="4" max="4" width="11.5" style="1" bestFit="1" customWidth="1"/>
    <col min="5" max="5" width="20.5" bestFit="1" customWidth="1"/>
    <col min="6" max="6" width="11.5" bestFit="1" customWidth="1"/>
    <col min="8" max="8" width="24.375" bestFit="1" customWidth="1"/>
    <col min="10" max="10" width="10.875" style="2"/>
    <col min="12" max="12" width="27.375" bestFit="1" customWidth="1"/>
    <col min="16" max="16" width="36.5" bestFit="1" customWidth="1"/>
  </cols>
  <sheetData>
    <row r="2" spans="1:14" x14ac:dyDescent="0.25">
      <c r="C2" s="18">
        <v>2025</v>
      </c>
      <c r="D2" s="18">
        <v>2026</v>
      </c>
      <c r="E2" t="s">
        <v>34</v>
      </c>
      <c r="F2" t="s">
        <v>35</v>
      </c>
    </row>
    <row r="3" spans="1:14" x14ac:dyDescent="0.25">
      <c r="H3" s="9"/>
      <c r="I3" s="9"/>
      <c r="J3" s="32"/>
      <c r="L3" s="9"/>
      <c r="M3" s="9"/>
      <c r="N3" s="32"/>
    </row>
    <row r="4" spans="1:14" x14ac:dyDescent="0.25">
      <c r="H4" s="3"/>
      <c r="I4" s="4"/>
      <c r="J4" s="4"/>
      <c r="L4" s="33"/>
      <c r="M4" s="4"/>
      <c r="N4" s="4"/>
    </row>
    <row r="5" spans="1:14" x14ac:dyDescent="0.25">
      <c r="B5" t="s">
        <v>9</v>
      </c>
      <c r="C5" s="1">
        <v>72537.17</v>
      </c>
      <c r="D5" s="1">
        <f>125155.914761905-4416*2</f>
        <v>116323.91476190501</v>
      </c>
      <c r="E5">
        <v>25</v>
      </c>
      <c r="F5">
        <v>25</v>
      </c>
      <c r="H5" s="31"/>
      <c r="I5" s="13"/>
      <c r="J5" s="13"/>
      <c r="L5" s="33"/>
      <c r="M5" s="4"/>
      <c r="N5" s="4"/>
    </row>
    <row r="6" spans="1:14" x14ac:dyDescent="0.25">
      <c r="B6" t="s">
        <v>10</v>
      </c>
      <c r="C6" s="1">
        <v>64707.452464285714</v>
      </c>
      <c r="D6" s="1">
        <v>100812.19095238097</v>
      </c>
      <c r="E6">
        <v>24</v>
      </c>
      <c r="F6">
        <v>25</v>
      </c>
      <c r="H6" s="3"/>
      <c r="I6" s="4"/>
      <c r="J6" s="4"/>
      <c r="L6" s="33"/>
      <c r="M6" s="4"/>
      <c r="N6" s="4"/>
    </row>
    <row r="7" spans="1:14" x14ac:dyDescent="0.25">
      <c r="B7" t="s">
        <v>11</v>
      </c>
      <c r="H7" s="3"/>
      <c r="I7" s="4"/>
      <c r="J7" s="4"/>
      <c r="L7" s="33"/>
      <c r="M7" s="4"/>
      <c r="N7" s="4"/>
    </row>
    <row r="8" spans="1:14" x14ac:dyDescent="0.25">
      <c r="B8" t="s">
        <v>13</v>
      </c>
      <c r="H8" s="3"/>
      <c r="I8" s="4"/>
      <c r="J8" s="4"/>
      <c r="L8" s="33"/>
      <c r="M8" s="4"/>
      <c r="N8" s="4"/>
    </row>
    <row r="9" spans="1:14" x14ac:dyDescent="0.25">
      <c r="B9" t="s">
        <v>19</v>
      </c>
      <c r="H9" s="3"/>
      <c r="I9" s="4"/>
      <c r="J9" s="4"/>
      <c r="L9" s="33"/>
      <c r="M9" s="4"/>
      <c r="N9" s="4"/>
    </row>
    <row r="10" spans="1:14" x14ac:dyDescent="0.25">
      <c r="B10" t="s">
        <v>20</v>
      </c>
      <c r="H10" s="3"/>
      <c r="I10" s="4"/>
      <c r="J10" s="4"/>
      <c r="L10" s="33"/>
      <c r="M10" s="4"/>
      <c r="N10" s="4"/>
    </row>
    <row r="11" spans="1:14" x14ac:dyDescent="0.25">
      <c r="A11" s="19">
        <f>D11+D12+D13+D14</f>
        <v>0</v>
      </c>
      <c r="B11" t="s">
        <v>22</v>
      </c>
      <c r="H11" s="3"/>
      <c r="I11" s="4"/>
      <c r="J11" s="4"/>
      <c r="L11" s="33"/>
      <c r="M11" s="4"/>
      <c r="N11" s="4"/>
    </row>
    <row r="12" spans="1:14" x14ac:dyDescent="0.25">
      <c r="B12" t="s">
        <v>23</v>
      </c>
      <c r="H12" s="3"/>
      <c r="I12" s="4"/>
      <c r="J12" s="4"/>
      <c r="L12" s="33"/>
      <c r="M12" s="4"/>
      <c r="N12" s="4"/>
    </row>
    <row r="13" spans="1:14" x14ac:dyDescent="0.25">
      <c r="B13" t="s">
        <v>24</v>
      </c>
      <c r="H13" s="3"/>
      <c r="I13" s="4"/>
      <c r="J13" s="4"/>
      <c r="L13" s="33"/>
      <c r="M13" s="4"/>
      <c r="N13" s="4"/>
    </row>
    <row r="14" spans="1:14" x14ac:dyDescent="0.25">
      <c r="B14" t="s">
        <v>25</v>
      </c>
      <c r="H14" s="3"/>
      <c r="I14" s="4"/>
      <c r="J14" s="4"/>
      <c r="L14" s="33"/>
      <c r="M14" s="4"/>
      <c r="N14" s="4"/>
    </row>
    <row r="15" spans="1:14" x14ac:dyDescent="0.25">
      <c r="B15" t="s">
        <v>30</v>
      </c>
      <c r="C15" s="1">
        <f>SUM(C3:C14)</f>
        <v>137244.6224642857</v>
      </c>
      <c r="D15" s="1">
        <f>SUM(D3:D14)</f>
        <v>217136.10571428598</v>
      </c>
      <c r="E15" s="20">
        <f>(D15-C15)/C15</f>
        <v>0.58211011707063376</v>
      </c>
      <c r="H15" s="31"/>
      <c r="I15" s="13"/>
      <c r="J15" s="13"/>
      <c r="L15" s="33"/>
      <c r="M15" s="4"/>
      <c r="N15" s="4"/>
    </row>
    <row r="16" spans="1:14" x14ac:dyDescent="0.25">
      <c r="B16" t="s">
        <v>31</v>
      </c>
      <c r="C16" s="1">
        <v>63853.658536585368</v>
      </c>
      <c r="H16" s="3"/>
      <c r="I16" s="4"/>
      <c r="J16" s="4"/>
      <c r="L16" s="33"/>
      <c r="M16" s="4"/>
      <c r="N16" s="4"/>
    </row>
    <row r="17" spans="2:14" x14ac:dyDescent="0.25">
      <c r="B17" t="s">
        <v>32</v>
      </c>
      <c r="C17" s="1">
        <f>63996</f>
        <v>63996</v>
      </c>
      <c r="L17" s="33"/>
      <c r="M17" s="4"/>
      <c r="N17" s="4"/>
    </row>
    <row r="18" spans="2:14" x14ac:dyDescent="0.25">
      <c r="B18" t="s">
        <v>33</v>
      </c>
      <c r="C18" s="1">
        <v>0</v>
      </c>
      <c r="D18" s="1">
        <f>53028.57</f>
        <v>53028.57</v>
      </c>
      <c r="L18" s="33"/>
      <c r="M18" s="4"/>
      <c r="N18" s="4"/>
    </row>
    <row r="19" spans="2:14" x14ac:dyDescent="0.25">
      <c r="B19" t="s">
        <v>29</v>
      </c>
      <c r="C19" s="1">
        <f>C15+C16+C17+C18</f>
        <v>265094.28100087109</v>
      </c>
      <c r="D19" s="1">
        <f>D15+D16+D17+D18</f>
        <v>270164.67571428599</v>
      </c>
      <c r="E19" s="20">
        <f>(D19-C19)/C19</f>
        <v>1.9126760088039131E-2</v>
      </c>
      <c r="F19" s="19">
        <f>D19-C19</f>
        <v>5070.3947134148912</v>
      </c>
      <c r="H19" s="30"/>
      <c r="L19" s="33"/>
      <c r="M19" s="4"/>
      <c r="N19" s="4"/>
    </row>
    <row r="20" spans="2:14" x14ac:dyDescent="0.25">
      <c r="D20" s="5">
        <f>D18/C19</f>
        <v>0.20003664281171629</v>
      </c>
      <c r="H20" s="30"/>
    </row>
    <row r="21" spans="2:14" x14ac:dyDescent="0.25">
      <c r="H21" s="30"/>
    </row>
    <row r="22" spans="2:14" x14ac:dyDescent="0.25">
      <c r="H22" s="30"/>
    </row>
    <row r="23" spans="2:14" x14ac:dyDescent="0.25">
      <c r="H23" s="30"/>
    </row>
    <row r="24" spans="2:14" x14ac:dyDescent="0.25">
      <c r="H24" s="30"/>
    </row>
    <row r="25" spans="2:14" x14ac:dyDescent="0.25">
      <c r="H25" s="30"/>
    </row>
    <row r="26" spans="2:14" x14ac:dyDescent="0.25">
      <c r="H26" s="30"/>
    </row>
    <row r="39" spans="2:6" x14ac:dyDescent="0.25">
      <c r="C39" s="21">
        <v>2022</v>
      </c>
      <c r="D39" s="21">
        <v>2023</v>
      </c>
      <c r="E39" s="21">
        <v>2024</v>
      </c>
      <c r="F39" s="21">
        <v>2025</v>
      </c>
    </row>
    <row r="40" spans="2:6" x14ac:dyDescent="0.25">
      <c r="B40" t="s">
        <v>37</v>
      </c>
      <c r="C40" s="1" t="e">
        <f>#REF!</f>
        <v>#REF!</v>
      </c>
      <c r="D40" s="1" t="e">
        <f>#REF!</f>
        <v>#REF!</v>
      </c>
      <c r="E40" s="1">
        <f>C19</f>
        <v>265094.28100087109</v>
      </c>
      <c r="F40" s="19">
        <f>D19</f>
        <v>270164.67571428599</v>
      </c>
    </row>
    <row r="41" spans="2:6" x14ac:dyDescent="0.25">
      <c r="B41" t="s">
        <v>38</v>
      </c>
      <c r="C41" s="20">
        <v>0</v>
      </c>
      <c r="D41" s="20" t="e">
        <f t="shared" ref="D41:E41" si="0">(D40-C40)/C40</f>
        <v>#REF!</v>
      </c>
      <c r="E41" s="20" t="e">
        <f t="shared" si="0"/>
        <v>#REF!</v>
      </c>
      <c r="F41" s="20">
        <f>(F40-E40)/E40</f>
        <v>1.9126760088039131E-2</v>
      </c>
    </row>
  </sheetData>
  <sortState xmlns:xlrd2="http://schemas.microsoft.com/office/spreadsheetml/2017/richdata2" ref="L4:M12">
    <sortCondition ref="M4:M12"/>
    <sortCondition ref="L4:L12"/>
  </sortState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 FACT 2026</vt:lpstr>
      <vt:lpstr>INDICADORES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Luisa Fernanda  Granada Ramírez</cp:lastModifiedBy>
  <cp:revision/>
  <dcterms:created xsi:type="dcterms:W3CDTF">2023-04-24T18:50:45Z</dcterms:created>
  <dcterms:modified xsi:type="dcterms:W3CDTF">2026-06-04T17:06:04Z</dcterms:modified>
  <cp:category/>
  <cp:contentStatus/>
</cp:coreProperties>
</file>