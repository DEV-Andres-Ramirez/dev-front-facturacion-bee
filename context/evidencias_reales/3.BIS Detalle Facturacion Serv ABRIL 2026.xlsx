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1"/>
  </bookViews>
  <sheets>
    <sheet r:id="rId1" sheetId="1" name="DICIEMBRE"/>
    <sheet r:id="rId2" sheetId="2" name="NOVIEMBRE"/>
    <sheet r:id="rId3" sheetId="3" name="OCTUBRE"/>
    <sheet r:id="rId4" sheetId="4" name="SEPTIEMBRE"/>
    <sheet r:id="rId5" sheetId="5" name="AGOSTO"/>
    <sheet r:id="rId6" sheetId="6" name="JUNIO"/>
    <sheet r:id="rId7" sheetId="7" name="JULIO"/>
    <sheet r:id="rId8" sheetId="8" name="MAYO"/>
    <sheet r:id="rId9" sheetId="9" name="ABRIL"/>
    <sheet r:id="rId10" sheetId="10" name="MARZO"/>
    <sheet r:id="rId11" sheetId="11" name="FEBRERO ENV"/>
    <sheet r:id="rId12" sheetId="12" name="ABRIL 2026"/>
    <sheet r:id="rId13" sheetId="13" name="ORDENES DE COMPRA"/>
  </sheets>
  <definedNames>
    <definedName name="_xlnm._FilterDatabase" localSheetId="11">'ABRIL 2026'!$A$3:$W$9</definedName>
    <definedName name="_xlnm._FilterDatabase" localSheetId="1">NOVIEMBRE!$A$3:$U$41</definedName>
  </definedNames>
  <calcPr fullCalcOnLoad="1"/>
</workbook>
</file>

<file path=xl/sharedStrings.xml><?xml version="1.0" encoding="utf-8"?>
<sst xmlns="http://schemas.openxmlformats.org/spreadsheetml/2006/main" count="1272" uniqueCount="600">
  <si>
    <t>PEDIDOS DE COMPRA</t>
  </si>
  <si>
    <t>TALENTOS</t>
  </si>
  <si>
    <t>ENERO</t>
  </si>
  <si>
    <t>FEBRERO</t>
  </si>
  <si>
    <t>MARZO</t>
  </si>
  <si>
    <t>ABRIL</t>
  </si>
  <si>
    <t>Pedro Perez</t>
  </si>
  <si>
    <t>PCC-2026-02464</t>
  </si>
  <si>
    <t>PCC-2026-02914</t>
  </si>
  <si>
    <t>PCC-2026-03701</t>
  </si>
  <si>
    <t>PCC-2026-01521</t>
  </si>
  <si>
    <t>Sara Castro</t>
  </si>
  <si>
    <t>PCC-2026-03705</t>
  </si>
  <si>
    <t>Nicolas Gutierrez Arcila</t>
  </si>
  <si>
    <t>NO APLICA</t>
  </si>
  <si>
    <t>ULTIMA MES ANT</t>
  </si>
  <si>
    <t>BEE699</t>
  </si>
  <si>
    <t>CLIENTE</t>
  </si>
  <si>
    <t>SEC. FACTURA</t>
  </si>
  <si>
    <t>DESCRIPCION</t>
  </si>
  <si>
    <t>MONEDA</t>
  </si>
  <si>
    <t>MONTO A FACTURAR</t>
  </si>
  <si>
    <t>VALOR TOTAL FACTURA</t>
  </si>
  <si>
    <t>VALOR EN LETRAS</t>
  </si>
  <si>
    <t>TARIFA MENSUAL</t>
  </si>
  <si>
    <t>DIAS NOVEDAD</t>
  </si>
  <si>
    <t xml:space="preserve">Tarifa Hora recurso </t>
  </si>
  <si>
    <t>AJUSTE</t>
  </si>
  <si>
    <t>TARIFA MES</t>
  </si>
  <si>
    <t>TARIFA HORA</t>
  </si>
  <si>
    <t>TARIFA HORA EXTRA</t>
  </si>
  <si>
    <t>BANISTMO</t>
  </si>
  <si>
    <t>BEE700</t>
  </si>
  <si>
    <t>NO RECIBIDO</t>
  </si>
  <si>
    <t>Servicio de consultoria BEE Consultoria &amp; Negocios, contrato BI-VSC-15479-2022-001 - Alejandra Muñoz - Servicio del 13 al 30 de Abril - Carmen luisa Jimenez - . Pedido de Compra: NO RECIBIDO
CAPEX: 796007 EVC-717008-EV1-2026 Interoperabilidad Yappy</t>
  </si>
  <si>
    <t>USD</t>
  </si>
  <si>
    <t>TRES MIL DOSCIENTOS UN DOLARES AMERICANOS CON 92/100</t>
  </si>
  <si>
    <t>TRES MIL OCHOSCIENTOS CINCUENTA DOLARES AMERICANOS CON 00/100</t>
  </si>
  <si>
    <t>Servicio de consultoria BEE Consultoria &amp; Negocios, contrato BI-VSC-15479-2022-001 - Nicolas Gutierrez Arcila - Servicio del 01 al 30 de Abril- Sergio Fernandez -. Pedido de Compra: NO RECIBIDO
CAPEX: EVC-717008-EV1-2026 Interoperabilidad Yappy - Onboarding entrega 1</t>
  </si>
  <si>
    <t>CUATRO MIL TRESCIENTOS SEIS DOLARES AMERICANOS CON 04/100</t>
  </si>
  <si>
    <t>TRES MIL OCHOSCIENTOS SETENTA Y SEIS DOLARES AMERICANOS CON 64/100</t>
  </si>
  <si>
    <t>BEE702</t>
  </si>
  <si>
    <t>Servicio de consultoria BEE Consultoria &amp; Negocios, contrato BI-VSC-15479-2022-001 - Pedro Perez - Servicio del 01 al 30 de Abril - Juan Hidalgo - . Pedido de Compra: PCC-2026-01521
CAPEX: EVC-717008-EV1-2026 Interoperabilidad Yappy - Onboarding entrega 1</t>
  </si>
  <si>
    <t>CUATRO MIL CIEN DOLARES AMERICANOS CON 00/100</t>
  </si>
  <si>
    <t>Servicio de consultoria BEE Consultoria &amp; Negocios, contrato BI-VSC-15479-2022-001 - Pablo Franco - Servicio del 1 al 30 de Abril - Juan Hidalgo - . Pedido de Compra: PCC-2026-01521
CAPEX: EVC004-EV-1-2026-Mostrar detalle de saldos retenidos en BLE</t>
  </si>
  <si>
    <t>CUATRO MIL DOSCIENTOS DOLARES AMERICANOS CON 00/100</t>
  </si>
  <si>
    <t>BEE703</t>
  </si>
  <si>
    <t>Servicio de consultoria BEE Consultoria &amp; Negocios, contrato BI-VSC-15479-2022-001 - Sara Castro - Servicio del 01 al 30 de Abril- Juan Hidalgo. Pedido de Compra: NO RECIBIDO
CAPEX: EVC-717008-EV1-2026 Interoperabilidad Yappy - Onboarding entrega 1</t>
  </si>
  <si>
    <t>BEE704</t>
  </si>
  <si>
    <t>Servicio de consultoria BEE Consultoria &amp; Negocios, contrato BI-VSC-15479-2022-001 - Fernando Hurtado - Servicio del 01 al 30 de Abril - Sergio Fernandez, Pedido de Compra: NO RECIBIDO</t>
  </si>
  <si>
    <t>CUATRO MIL SEISCIENTOS TREINTA Y SIETE DOLARES AMERICANOS CON 27/100</t>
  </si>
  <si>
    <t>BEE705</t>
  </si>
  <si>
    <t>PCC-2026-01534</t>
  </si>
  <si>
    <t>Servicio de consultoria BEE Consultoria &amp; Negocios, contrato BI-VSC-15479-2022-001 - Diego Ramirez- Servicio del 01 al 30 de Abril - Sergio Fernandez, Pedido de Compra: PCC-2026-01534</t>
  </si>
  <si>
    <t>TOTALES</t>
  </si>
  <si>
    <t>ABRIL AGREGAR</t>
  </si>
  <si>
    <t>Andres David Ramirez Albarracin</t>
  </si>
  <si>
    <t>Estiward Alexander Duque Cortes</t>
  </si>
  <si>
    <t>Byron Andres Idrovo Campana</t>
  </si>
  <si>
    <t>Alexander Fabricio Castro</t>
  </si>
  <si>
    <t>David Jose Velasquez Gonzalez</t>
  </si>
  <si>
    <t>SIN COBRO EN ABRIL</t>
  </si>
  <si>
    <t>PEDIDO DE COMPRA</t>
  </si>
  <si>
    <t>TALENTO</t>
  </si>
  <si>
    <t>VALOR UNITARIO</t>
  </si>
  <si>
    <t>CORRECTO</t>
  </si>
  <si>
    <t>DIFERENCIA</t>
  </si>
  <si>
    <t>PCC-2024-00850</t>
  </si>
  <si>
    <t>BEE233</t>
  </si>
  <si>
    <t>Nicolas Ortiz</t>
  </si>
  <si>
    <t>Servicio de consultoria BEE Consultoria &amp; Negocios, contrato BI-VSC-15479-2022-001 - Nicolas Ortiz - Servicio del 01 al 29 de Febrero -  Sandra Milena Valencia Tafur. Pedido de Compra: PCC-2024-00850</t>
  </si>
  <si>
    <t>PCC-2024-00932</t>
  </si>
  <si>
    <t>BEE234</t>
  </si>
  <si>
    <t>Fredy Herrera</t>
  </si>
  <si>
    <t>Servicio de consultoria BEE Consultoria &amp; Negocios, contrato BI-VSC-15479-2022-001 - Fredy Herrera -  Servicio del 01 al 29 de Febrero - Tomas Kan Chu Lopez. Pedido de Compra: PCC-2024-00932</t>
  </si>
  <si>
    <t>CINCO MIL CUATROSCIENTOS NOVENTA Y SIETE DOLARES AMERICANOS CON 53/100</t>
  </si>
  <si>
    <t>PCC-2024-00964</t>
  </si>
  <si>
    <t>BEE235</t>
  </si>
  <si>
    <t>Jose Luiz Torres</t>
  </si>
  <si>
    <t>Servicio de consultoria BEE Consultoria &amp; Negocios, contrato BI-VSC-15479-2022-001 - Jose Luis Torres  - Servicio del 01 al 29 de Febrero  - Tomas Kam Chu Lopez. Pedido de Compra: PCC-2024-00964</t>
  </si>
  <si>
    <t>CUATRO MIL CUATROSCIENTOS DIEZ Y SEIS DOLARES AMERICANOS CON 45/100</t>
  </si>
  <si>
    <t>PENDIENTE FACTURAR CON SERV MARZO</t>
  </si>
  <si>
    <t>PCC-2024-01046</t>
  </si>
  <si>
    <t>BEE236</t>
  </si>
  <si>
    <t>Edison Zapata</t>
  </si>
  <si>
    <t>Servicio de consultoria BEE Consultoria &amp; Negocios, contrato BI-VSC-15479-2022-001 - EDISON ZAPATA - Servicio del 15 al 29 de Febrero - Cindy Lisbeth Goff. Pedido de Compra: PCC-2024-01046</t>
  </si>
  <si>
    <t>NUEVE MIL DOSCIENTOS SETENTA Y CUATRO DOLARES AMERICANOS CON 54/100</t>
  </si>
  <si>
    <t>Luis Fernando Monroy</t>
  </si>
  <si>
    <t>Servicio de consultoria BEE Consultoria &amp; Negocios, contrato BI-VSC-15479-2022-001 - LUIS FERNANDO MONROY - 01 al 29 de Febrero - Cindy Lisbeth Goff. Pedido de Compra:PCC-2024-01046</t>
  </si>
  <si>
    <t>PCC-2024-00971</t>
  </si>
  <si>
    <t>BEE237</t>
  </si>
  <si>
    <t>Laura Valentina Acosta</t>
  </si>
  <si>
    <t>Servicio de consultoria BEE Consultoria &amp; Negocios, contrato BI-VSC-15479-2022-001 - Laura Valentina Acosta - Servicio del 01 al 29 de Febrero - Tomas Kan Chu Lopez, Pedido de Compra: PCC-2024-00971</t>
  </si>
  <si>
    <t>PCC-2024-00892</t>
  </si>
  <si>
    <t>BEE238</t>
  </si>
  <si>
    <t>Jose Luis Acosta</t>
  </si>
  <si>
    <t>Servicio de consultoria BEE Consultoria &amp; Negocios, contrato BI-VSC-15479-2022-001 - Jose Luis Acosta - Servicio del 01 al 29 de Febrero - Luis Alberto Urrutia. Pedido de Compra: PCC-2024-00892</t>
  </si>
  <si>
    <t>DIEZ Y SEIS MIL CUATROSCIENTOS NOVENTA Y DOS DOLARES AMERICANOS CON 59/100</t>
  </si>
  <si>
    <t>Victor Medina</t>
  </si>
  <si>
    <t>Servicio de consultoria BEE Consultoria &amp; Negocios, contrato BI-VSC-15479-2022-001 - Victor Medina - Servicio del 01 al  29  de Febrero - Luis Alberto Urrutia. Pedido de Compra: PCC-2024-00892</t>
  </si>
  <si>
    <t>Nelson Rodriguez</t>
  </si>
  <si>
    <t>Servicio de consultoria BEE Consultoria &amp; Negocios, contrato BI-VSC-15479-2022-001 - Nelson Rodriguez - Servicio del 01 al 29 de Febrero - Luis Alberto Urrutia. Pedido de Compra: PCC-2024-00892</t>
  </si>
  <si>
    <t>PCC-2024-00902</t>
  </si>
  <si>
    <t>BEE239</t>
  </si>
  <si>
    <t>Wbeimar Peña</t>
  </si>
  <si>
    <t>Servicio de consultoria BEE Consultoria &amp; Negocios, contrato BI-VSC-15479-2022-001 - Wbeimar Peña - Servicio del 01 al 29 de Febrero - Luis Alberto Urrutia. Pedido de Compra: PCC-2024-00902</t>
  </si>
  <si>
    <t>DIEZ MIL NOVESCIENTOS NOVENTA Y CINCO DOLARES AMERICANOS CON 6/100</t>
  </si>
  <si>
    <t>Jhon Sebastian Briceño</t>
  </si>
  <si>
    <t>Servicio de consultoria BEE Consultoria &amp; Negocios, contrato BI-VSC-15479-2022-001 - John Sebastian Briceño - Servicio del 01 al 29 de Febrero - Luis Alberto Urrutia. Pedido de Compra: PCC-2024-00902</t>
  </si>
  <si>
    <t>PCC-2024-00999</t>
  </si>
  <si>
    <t>BEE240</t>
  </si>
  <si>
    <t>Victor Daniel Perez</t>
  </si>
  <si>
    <t>Servicio de consultoria BEE Consultoria &amp; Negocios, contrato BI-VSC-15479-2022-001 - Victor Daniel Perez Diaz - Servicio del 01 al 29 de Febrero - Tomas Kan Chu. Pedido de Compra: PCC-2024-00999</t>
  </si>
  <si>
    <t>PCC-2024-01072</t>
  </si>
  <si>
    <t>BEE241</t>
  </si>
  <si>
    <t>Juan Esteban Valencia</t>
  </si>
  <si>
    <t>Servicio de consultoria BEE Consultoria &amp; Negocios, contrato BI-VSC-15479-2022-001 - Juan Esteban Valencia - Servicio del 15 al 29 de Febrero - Tomas Kan Chu. Pedido de Compra: PCC-2024-01072</t>
  </si>
  <si>
    <t>DOS MIL CUATROSCIENTOS VEINTINUEVE DOLARES AMERICANOS CON 5/100</t>
  </si>
  <si>
    <t>ok</t>
  </si>
  <si>
    <t>PCC-2024-01437</t>
  </si>
  <si>
    <t>BEE251</t>
  </si>
  <si>
    <t>Servicio de consultoria BEE Consultoria &amp; Negocios, contrato BI-VSC-15479-2022-001 - Nicolas Ortiz - Servicio del 01 al 31 de Marzo -  Sandra Milena Valencia Tafur. Pedido de Compra: PCC-2024-01437</t>
  </si>
  <si>
    <t>PCC-2024-01524</t>
  </si>
  <si>
    <t>BEE252</t>
  </si>
  <si>
    <t>Servicio de consultoria BEE Consultoria &amp; Negocios, contrato BI-VSC-15479-2022-001 - Fredy Herrera -  Servicio del 01 al 31 de Marzo - Marla Cristina Hurtado Barrera. Pedido de Compra: PCC-2024-01524</t>
  </si>
  <si>
    <t>PCC-2024-01552</t>
  </si>
  <si>
    <t>BEE253</t>
  </si>
  <si>
    <t>Servicio de consultoria BEE Consultoria &amp; Negocios, contrato BI-VSC-15479-2022-001 - Jose Luis Torres  - Servicio del 01 al 31 de Marzo  - Harold Alfonso Ballesteros Chanis. Pedido de Compra: PCC-2024-01552</t>
  </si>
  <si>
    <t>CUATRO MIL OCHOCIENTOS CINCUENTA Y OCHO DOLARES AMERICANOS CON 09/100</t>
  </si>
  <si>
    <t>Ajuste tarifa 2024 mes de Febrero 2024 - JOSE LUIS TORRES</t>
  </si>
  <si>
    <t>PCC-2024-01639</t>
  </si>
  <si>
    <t>BEE254</t>
  </si>
  <si>
    <t>Servicio de consultoria BEE Consultoria &amp; Negocios, contrato BI-VSC-15479-2022-001 - EDISON ZAPATA - Servicio del 15 al 31 de Marzo - Cindy Lisbeth Goff. Pedido de Compra: PCC-2024-01639</t>
  </si>
  <si>
    <t>Servicio de consultoria BEE Consultoria &amp; Negocios, contrato BI-VSC-15479-2022-001 - LUIS FERNANDO MONROY - 01 al 31 de Marzo - Cindy Lisbeth Goff. Pedido de Compra:PCC-2024-01639</t>
  </si>
  <si>
    <t>PCC-2024-01444</t>
  </si>
  <si>
    <t>BEE255</t>
  </si>
  <si>
    <t>Servicio de consultoria BEE Consultoria &amp; Negocios, contrato BI-VSC-15479-2022-001 - Laura Valentina Acosta - Servicio del 01 al 31 de Marzo - Jorge Ernesto Rodriguez Rodriguez, Pedido de Compra: PCC-2024-01444</t>
  </si>
  <si>
    <t>PCC-2024-01772</t>
  </si>
  <si>
    <t>BEE256</t>
  </si>
  <si>
    <t>Servicio de consultoria BEE Consultoria &amp; Negocios, contrato BI-VSC-15479-2022-001 - Jose Luis Acosta - Servicio del 01 al 31 de Marzo - Luis Alberto Urrutia. Pedido de Compra: PCC-2024-01772</t>
  </si>
  <si>
    <t>VEINTI TRES MIL TRESCIENTOS SESENTA Y DOS DOLARES AMERICANOS CON 87/100</t>
  </si>
  <si>
    <t xml:space="preserve">Servicio de consultoria BEE Consultoria &amp; Negocios, contrato BI-VSC-15479-2022-001 - Victor Medina - Servicio del 01 al  31  de Marzo - Luis Alberto Urrutia. Pedido de Compra: PCC-2024-01772. </t>
  </si>
  <si>
    <t xml:space="preserve">Servicio de consultoria BEE Consultoria &amp; Negocios, contrato BI-VSC-15479-2022-001 - Victor Medina - Horas extras meses Enero y Febrero 2024, equivalentes a 88 horas (30% recargo sobre el valor hora) - Luis Alberto Urrutia. Pedido de Compra: PCC-2024-01772. </t>
  </si>
  <si>
    <t>Servicio de consultoria BEE Consultoria &amp; Negocios, contrato BI-VSC-15479-2022-001 - Nelson Rodriguez - Servicio del 01 al 31 de Marzo - Luis Alberto Urrutia. Pedido de Compra: PCC-2024-01772. INCLUYE 73,5 HRS EXTRA EJECUTADAS DURANTE ENERO Y FEBRERO</t>
  </si>
  <si>
    <t>Servicio de consultoria BEE Consultoria &amp; Negocios, contrato BI-VSC-15479-2022-001 - Nelson Rodriguez - Horas extras meses Enero y Febrero 2024, equivalentes a 73,5 horas (30% recargo sobre el valor hora)- Luis Alberto Urrutia. Pedido de Compra: PCC-2024-01772. INCLUYE 73,5 HRS EXTRA EJECUTADAS DURANTE ENERO Y FEBRERO</t>
  </si>
  <si>
    <t>PCC-2024-01661</t>
  </si>
  <si>
    <t>BEE257</t>
  </si>
  <si>
    <t>Servicio de consultoria BEE Consultoria &amp; Negocios, contrato BI-VSC-15479-2022-001 - Wbeimar Peña - Servicio del 01 al 31 de Marzo - Luis Alberto Urrutia. Pedido de Compra: PCC-2024-01661</t>
  </si>
  <si>
    <t>Servicio de consultoria BEE Consultoria &amp; Negocios, contrato BI-VSC-15479-2022-001 - John Sebastian Briceño - Servicio del 01 al 31 de Marzo - Luis Alberto Urrutia. Pedido de Compra: PCC-2024-01661</t>
  </si>
  <si>
    <t>PCC-2024-01506</t>
  </si>
  <si>
    <t>BEE258</t>
  </si>
  <si>
    <t>Servicio de consultoria BEE Consultoria &amp; Negocios, contrato BI-VSC-15479-2022-001 - Victor Daniel Perez Diaz - Servicio del 01 al 31 de Marzo - Zoraida Del Carmen Perez Bernal. Pedido de Compra: PCC-2024-01506</t>
  </si>
  <si>
    <t>PCC-2024-01479</t>
  </si>
  <si>
    <t>BEE259</t>
  </si>
  <si>
    <t>Servicio de consultoria BEE Consultoria &amp; Negocios, contrato BI-VSC-15479-2022-001 - Juan Esteban Valencia - Servicio del 01 al 31 de Marzo - Marla Cristina Hurtado Barrera. Pedido de Compra: PCC-2024-01479</t>
  </si>
  <si>
    <t>OK</t>
  </si>
  <si>
    <t>PCC-2024-02242</t>
  </si>
  <si>
    <t>BEE263</t>
  </si>
  <si>
    <t>Servicio de consultoria BEE Consultoria &amp; Negocios, contrato BI-VSC-15479-2022-001 - Nicolas Ortiz - Servicio del 01 al 30 de Abril -  Sandra Milena Valencia Tafur. Pedido de Compra: PCC-2024-02242</t>
  </si>
  <si>
    <t>TRES MIL SETESCIENTOS CINCUENTA Y CUATRO DOLARES AMERICANOS CON 7/100</t>
  </si>
  <si>
    <t>PCC-2024-02159</t>
  </si>
  <si>
    <t>BEE264</t>
  </si>
  <si>
    <t>Servicio de consultoria BEE Consultoria &amp; Negocios, contrato BI-VSC-15479-2022-001 - Fredy Herrera -  Servicio del 01 al 30 de Abril - Marla Cristina Hurtado Barrera. Pedido de Compra:  PCC-2024-02159</t>
  </si>
  <si>
    <t>PCC-2024-02052</t>
  </si>
  <si>
    <t>BEE265</t>
  </si>
  <si>
    <t>Servicio de consultoria BEE Consultoria &amp; Negocios, contrato BI-VSC-15479-2022-001 - Jose Luis Torres  - Servicio del 01 al 30 de Abril  - Harold Alfonso Ballesteros Chanis. Pedido de Compra:  PCC-2024-02052</t>
  </si>
  <si>
    <t>BEE266</t>
  </si>
  <si>
    <t>Servicio de consultoria BEE Consultoria &amp; Negocios, contrato BI-VSC-15479-2022-001 - EDISON ZAPATA - Servicio del 01 al 30 de Abril - Cindy Lisbeth Goff. Pedido de Compra: PCC-2024-02242</t>
  </si>
  <si>
    <t>Servicio de consultoria BEE Consultoria &amp; Negocios, contrato BI-VSC-15479-2022-001 - LUIS FERNANDO MONROY - 01 al 30 de Abril - Cindy Lisbeth Goff. Pedido de Compra: PCC-2024-02242</t>
  </si>
  <si>
    <t>PCC-2024-02233</t>
  </si>
  <si>
    <t>BEE267</t>
  </si>
  <si>
    <t>Servicio de consultoria BEE Consultoria &amp; Negocios, contrato BI-VSC-15479-2022-001 - Laura Valentina Acosta - Servicio del 01 al 30 de Abril - Luis Afranio Arauz Acosta, Pedido de Compra: PCC-2024-02233</t>
  </si>
  <si>
    <t>PCC-2024-02075</t>
  </si>
  <si>
    <t>BEE268</t>
  </si>
  <si>
    <t>Servicio de consultoria BEE Consultoria &amp; Negocios, contrato BI-VSC-15479-2022-001 - Jose Luis Acosta - Servicio del 01 al 30 de Abril - Luis Alberto Urrutia. Pedido de Compra: PCC-2024-02075</t>
  </si>
  <si>
    <t>DIEZ Y SEIS MIL SETESCIENTOS CUARENTA Y SIETE DOLARES AMERICANOS CON 83/100</t>
  </si>
  <si>
    <t>Servicio de consultoria BEE Consultoria &amp; Negocios, contrato BI-VSC-15479-2022-001 - Victor Medina - Servicio del 01 al  30  de Abril - Luis Alberto Urrutia. Pedido de Compra: PCC-2024-02075</t>
  </si>
  <si>
    <t>Servicio de consultoria BEE Consultoria &amp; Negocios, contrato BI-VSC-15479-2022-001 - Victor Medina - Horas extras meses ABRL 2024, equivalentes a 6 horas (30% recargo sobre el valor hora) - Luis Alberto Urrutia. Pedido de Compra: PCC-2024-02075</t>
  </si>
  <si>
    <t>Servicio de consultoria BEE Consultoria &amp; Negocios, contrato BI-VSC-15479-2022-001 - Nelson Rodriguez - Servicio del 01 al 30 de Abril - Luis Alberto Urrutia. Pedido de Compra: PCC-2024-02075</t>
  </si>
  <si>
    <t xml:space="preserve"> PCC-2024-02017</t>
  </si>
  <si>
    <t>BEE269</t>
  </si>
  <si>
    <t>Servicio de consultoria BEE Consultoria &amp; Negocios, contrato BI-VSC-15479-2022-001 - Wbeimar Peña - Servicio del 01 al 30 de Abril - Luis Alberto Urrutia. Pedido de Compra:  PCC-2024-02017</t>
  </si>
  <si>
    <t>Servicio de consultoria BEE Consultoria &amp; Negocios, contrato BI-VSC-15479-2022-001 - John Sebastian Briceño - Servicio del 01 al 30 de Abril - Luis Alberto Urrutia. Pedido de Compra:  PCC-2024-02017</t>
  </si>
  <si>
    <t>PCC-2024-02140</t>
  </si>
  <si>
    <t>BEE270</t>
  </si>
  <si>
    <t>Servicio de consultoria BEE Consultoria &amp; Negocios, contrato BI-VSC-15479-2022-001 - Victor Daniel Perez Diaz - Servicio del 01 al 30 de Abril - Cindy Lisbeth Goff. Pedido de Compra: PCC-2024-02140</t>
  </si>
  <si>
    <t>DOS MIL DOSCIENTOS SESENTA Y TRES DOLARES AMERICANOS CON 44/100</t>
  </si>
  <si>
    <t>BEE271</t>
  </si>
  <si>
    <t>Servicio de consultoria BEE Consultoria &amp; Negocios, contrato BI-VSC-15479-2022-001 - Victor Daniel Perez Diaz - Servicio del 01 al 30 de Abril - Maria Cristina Hurtado Becerra. Pedido de Compra: PCC-2024-02140</t>
  </si>
  <si>
    <t>PCC-2024-02183</t>
  </si>
  <si>
    <t>BEE272</t>
  </si>
  <si>
    <t>Servicio de consultoria BEE Consultoria &amp; Negocios, contrato BI-VSC-15479-2022-001 - Juan Esteban Valencia - Servicio del 01 al 14 de Abril - Edith Olaine Guerrero Vergara. Pedido de Compra: PCC-2024-02183</t>
  </si>
  <si>
    <t>DOS MIL DOSCIENTOS OCHO DOLARES AMERICANOS CON 0/100</t>
  </si>
  <si>
    <t>BEE273</t>
  </si>
  <si>
    <t>Servicio de consultoria BEE Consultoria &amp; Negocios, contrato BI-VSC-15479-2022-001 - Juan Esteban Valencia - Servicio del 15 al 30 de Abril - Edith Olaine Guerrero Vergara.. Pedido de Compra: PCC-2024-02183</t>
  </si>
  <si>
    <t>DOS MIL CUATOSCIENTOS VEINTINUEVE DOLARES AMERICANOS CON 0/100</t>
  </si>
  <si>
    <t>PCC-2024-02803</t>
  </si>
  <si>
    <t>BEE280</t>
  </si>
  <si>
    <t>Servicio de consultoria BEE Consultoria &amp; Negocios, contrato BI-VSC-15479-2022-001 - Nicolas Ortiz - Servicio del 01 al 31 de Mayo -  Cindy Lisbeth Goff. Pedido de Compra: PCC-2024-02803</t>
  </si>
  <si>
    <t>PCC-2024-02756</t>
  </si>
  <si>
    <t>BEE281</t>
  </si>
  <si>
    <t>Servicio de consultoria BEE Consultoria &amp; Negocios, contrato BI-VSC-15479-2022-001 - Fredy Herrera -  Servicio del 01 al 31 de Mayo ( VACACIONES DEL 10 AL 28 DE MAYO))- Edith Olaine Gonzalez Vergara. Pedido de Compra:  PCC-2024-02756</t>
  </si>
  <si>
    <t>DOS MIL NOVENTA Y CUATRO DOLARES AMERICANOS CON 30/100</t>
  </si>
  <si>
    <t>PCC-2024-02787</t>
  </si>
  <si>
    <t>BEE282</t>
  </si>
  <si>
    <t>Servicio de consultoria BEE Consultoria &amp; Negocios, contrato BI-VSC-15479-2022-001 - Jose Luis Torres  - Servicio del 01 al 31 de Mayo  - Harold Alfonso Ballesteros Chanis. Pedido de Compra:  PCC-2024-02787</t>
  </si>
  <si>
    <t>PCC-2024-02602</t>
  </si>
  <si>
    <t>BEE283</t>
  </si>
  <si>
    <t>Servicio de consultoria BEE Consultoria &amp; Negocios, contrato BI-VSC-15479-2022-001 - EDISON ZAPATA - Servicio del 01 al 31 de Mayo - Cindy Lisbeth Goff. Pedido de Compra: PCC-2024-02602</t>
  </si>
  <si>
    <t>Servicio de consultoria BEE Consultoria &amp; Negocios, contrato BI-VSC-15479-2022-001 - LUIS FERNANDO MONROY - 01 al 31 de Mayo - Cindy Lisbeth Goff. Pedido de Compra: PCC-2024-02602</t>
  </si>
  <si>
    <t>PCC-2024-02735</t>
  </si>
  <si>
    <t>BEE284</t>
  </si>
  <si>
    <t>Servicio de consultoria BEE Consultoria &amp; Negocios, contrato BI-VSC-15479-2022-001 - Laura Valentina Acosta - Servicio del 01 al 31 de Mayo - Luis Afranio Arauz Acosta, Pedido de Compra: PCC-2024-02735</t>
  </si>
  <si>
    <t>PCC-2024-02876</t>
  </si>
  <si>
    <t>BEE285</t>
  </si>
  <si>
    <t>Servicio de consultoria BEE Consultoria &amp; Negocios, contrato BI-VSC-15479-2022-001 - Jose Luis Acosta - Servicio del 01 al 31 de Mayo (Incapacidad  7,8,9 de Mayo) - Luis Alberto Urrutia. Pedido de Compra: PCC-2024-02876</t>
  </si>
  <si>
    <t>QUINCE MIL SETESCIENTOS SIETE DOLARES AMERICANOS CON 31/100</t>
  </si>
  <si>
    <t>Servicio de consultoria BEE Consultoria &amp; Negocios, contrato BI-VSC-15479-2022-001 - Victor Medina - Servicio del 01 al  31  de Mayo - Luis Alberto Urrutia. Pedido de Compra: PCC-2024-02876</t>
  </si>
  <si>
    <t>Servicio de consultoria BEE Consultoria &amp; Negocios, contrato BI-VSC-15479-2022-001 - Nelson Rodriguez - Servicio del 01 al 31 de Mayo - Luis Alberto Urrutia. Pedido de Compra: PCC-2024-02876</t>
  </si>
  <si>
    <t>PCC-2024-02908</t>
  </si>
  <si>
    <t>BEE286</t>
  </si>
  <si>
    <t>Servicio de consultoria BEE Consultoria &amp; Negocios, contrato BI-VSC-15479-2022-001 - Wbeimar Peña - Servicio del 01 al 31 de Mayo - Luis Alberto Urrutia. Pedido de Compra:  PCC-2024-02908</t>
  </si>
  <si>
    <t>Servicio de consultoria BEE Consultoria &amp; Negocios, contrato BI-VSC-15479-2022-001 - John Sebastian Briceño - Servicio del 01 al 31 de Mayo - Luis Alberto Urrutia. Pedido de Compra: PCC-2024-02908</t>
  </si>
  <si>
    <t>PCC-2024-02631</t>
  </si>
  <si>
    <t>BEE287</t>
  </si>
  <si>
    <t>Servicio de consultoria BEE Consultoria &amp; Negocios, contrato BI-VSC-15479-2022-001 - Victor Daniel Perez Diaz - Servicio del 01 al 31 de Mayo - Cindy Lisbeth Goff. Pedido de Compra: PCC-2024-02631</t>
  </si>
  <si>
    <t>DOS MIL TRESCIENTOS DIEZ Y OCHO DOLARES AMERICANOS CON 64/100</t>
  </si>
  <si>
    <t>BEE288</t>
  </si>
  <si>
    <t>Servicio de consultoria BEE Consultoria &amp; Negocios, contrato BI-VSC-15479-2022-001 - Victor Daniel Perez Diaz - Servicio del 01 al 31 de Mayo - Marla Cristina Hurtado Barrera. Pedido de Compra: PCC-2024-02631</t>
  </si>
  <si>
    <t>PENDIENTE</t>
  </si>
  <si>
    <t>BEE289</t>
  </si>
  <si>
    <t>Juan Bello</t>
  </si>
  <si>
    <t>Servicio de consultoria BEE Consultoria &amp; Negocios, contrato BI-VSC-15479-2022-001 - Juan Bello - Servicio del 10 al 28 de Mayo - Edith Olaine Gonzalez Vergara. Pedido de Compra: NO RECIBIDO</t>
  </si>
  <si>
    <t>TRES MIL CUATROSCIENTOS TRES DOLARES AMERICANOS CON 23/100</t>
  </si>
  <si>
    <t>BEE290</t>
  </si>
  <si>
    <t>Edwin Misael Ramirez</t>
  </si>
  <si>
    <t>Servicio de consultoria BEE Consultoria &amp; Negocios, contrato BI-VSC-15479-2022-001 - Edwin Misael Ramirez - Servicio del 07 al 31 de Mayo - Cindy Lisbeth Goff. Pedido de Compra: PCC-2024-02803</t>
  </si>
  <si>
    <t>TRES MIL TRESCIENTOS VEINTI DOS DOLARES AMERICANOS CON 96/100</t>
  </si>
  <si>
    <t>PCC-2024-02732</t>
  </si>
  <si>
    <t>BEE291</t>
  </si>
  <si>
    <t>Servicio de consultoria BEE Consultoria &amp; Negocios, contrato BI-VSC-15479-2022-001 - Juan Esteban Valencia - Servicio del 01 al 31 de Mayo - Edith Olaine Gonzalez Vergara. Pedido de Compra: PCC-2024-02732</t>
  </si>
  <si>
    <t>PCC-2024-03948</t>
  </si>
  <si>
    <t>BEE306</t>
  </si>
  <si>
    <t>Servicio de consultoria BEE Consultoria &amp; Negocios, contrato BI-VSC-15479-2022-001 - Nicolas Ortiz - Servicio del 01 al 31 de Julio (Vacaciones del 8 al 12 de Julio)-  Cindy Lisbeth Goff. Pedido de Compra:  PCC-2024-03948</t>
  </si>
  <si>
    <t>SIETE MIL CUATROCIENTOS NUEVE DOLARES CON 91/100</t>
  </si>
  <si>
    <t>Servicio de consultoria BEE Consultoria &amp; Negocios, contrato BI-VSC-15479-2022-001 - Edwin Misael Ramirez - Servicio del 01 al 31 de Julio - Cindy Lisbeth Goff. Pedido de Compra:  PCC-2024-03948</t>
  </si>
  <si>
    <t>PCC-2024-03761</t>
  </si>
  <si>
    <t>BEE307</t>
  </si>
  <si>
    <t>Servicio de consultoria BEE Consultoria &amp; Negocios, contrato BI-VSC-15479-2022-001 - Fredy Herrera -  Servicio del 01 al 31 de Julio - Edith Olaine Gonzalez Vergara. Pedido de Compra:  PCC-2024-03761</t>
  </si>
  <si>
    <t>PCC-2024-03878</t>
  </si>
  <si>
    <t>BEE308</t>
  </si>
  <si>
    <t>Servicio de consultoria BEE Consultoria &amp; Negocios, contrato BI-VSC-15479-2022-001 - Jose Luis Torres  - Servicio del 01 al 31 de Julio  - Fany Filomena Ballis. Pedido de Compra:  PCC-2024-03878</t>
  </si>
  <si>
    <t>BEE309</t>
  </si>
  <si>
    <t>Servicio de consultoria BEE Consultoria &amp; Negocios, contrato BI-VSC-15479-2022-001 - EDISON ZAPATA - Servicio del 01 al 31 de Julio (Vacaciones 25 y 26 de julio)- Cindy Lisbeth Goff. Pedido de Compra: PCC-2024-03948</t>
  </si>
  <si>
    <t>CINCO MIL TRESCIENTOS DOLARES AMERICANOS CON 14/100</t>
  </si>
  <si>
    <t>Servicio de consultoria BEE Consultoria &amp; Negocios, contrato BI-VSC-15479-2022-001 - LUIS FERNANDO MONROY - Servicio del 01 al 05 de Julio - Cindy Lisbeth Goff. Pedido de Compra: PCC-2024-03948</t>
  </si>
  <si>
    <t>PCC-2024-03884</t>
  </si>
  <si>
    <t>BEE310</t>
  </si>
  <si>
    <t>Servicio de consultoria BEE Consultoria &amp; Negocios, contrato BI-VSC-15479-2022-001 - Laura Valentina Acosta - Servicio del 01 al 31 de Julio - Luis Afranio Arauz Acosta, Pedido de Compra: PCC-2024-03884</t>
  </si>
  <si>
    <t>PCC-2024-04021</t>
  </si>
  <si>
    <t>BEE311</t>
  </si>
  <si>
    <t>Servicio de consultoria BEE Consultoria &amp; Negocios, contrato BI-VSC-15479-2022-001 - Jose Luis Acosta - Servicio del 01 al 31 de Julio - Luis Alberto Urrutia. Pedido de Compra: PCC-2024-04021</t>
  </si>
  <si>
    <t>QUINCE MIL CIENTO OCHENTA Y TRES DOLARES AMERICANOS CON 79/100</t>
  </si>
  <si>
    <t>Servicio de consultoria BEE Consultoria &amp; Negocios, contrato BI-VSC-15479-2022-001 - Victor Medina - Servicio del 01 al  31  de Julio (Vacaciones del 22 al 26 de julio)- Luis Alberto Urrutia. Pedido de Compra:  PCC-2024-04021</t>
  </si>
  <si>
    <t>Servicio de consultoria BEE Consultoria &amp; Negocios, contrato BI-VSC-15479-2022-001 - Nelson Rodriguez - Servicio del 01 al 31 de Julio - Luis Alberto Urrutia. Pedido de Compra: PCC-2024-04021</t>
  </si>
  <si>
    <t>PCC-2024-04022</t>
  </si>
  <si>
    <t>BEE312</t>
  </si>
  <si>
    <t>Servicio de consultoria BEE Consultoria &amp; Negocios, contrato BI-VSC-15479-2022-001 - Wbeimar Peña - Servicio del 01 al 31 de Julio - Luis Alberto Urrutia. Pedido de Compra: PCC-2024-04022</t>
  </si>
  <si>
    <t>DIEZ MIL NOVESCIENTOS NOVENTA Y CINCO DOLARES AMERICANOS CON 06/100</t>
  </si>
  <si>
    <t>Servicio de consultoria BEE Consultoria &amp; Negocios, contrato BI-VSC-15479-2022-001 - John Sebastian Briceño - Servicio del 01 al 31 de Julio - Luis Alberto Urrutia. Pedido de Compra: PCC-2024-04022</t>
  </si>
  <si>
    <t>PCC-2024-03913</t>
  </si>
  <si>
    <t>BEE313</t>
  </si>
  <si>
    <t>Servicio de consultoria BEE Consultoria &amp; Negocios, contrato BI-VSC-15479-2022-001 - Victor Daniel Perez Diaz - Servicio del 01 al 31 de Julio - Cindy Lisbeth Goff. Pedido de Compra: PCC-2024-03913</t>
  </si>
  <si>
    <t>Servicio de consultoria BEE Consultoria &amp; Negocios, contrato BI-VSC-15479-2022-001 - Victor Daniel Perez Diaz - Servicio del 01 al 31 de Julio - Cindy Lisbeth Goff. Pedido de Compra:  PCC-2024-03913</t>
  </si>
  <si>
    <t>PCC-2024-03763</t>
  </si>
  <si>
    <t>BEE314</t>
  </si>
  <si>
    <t>Servicio de consultoria BEE Consultoria &amp; Negocios, contrato BI-VSC-15479-2022-001 - Juan Esteban Valencia - Servicio del 01 al 31 de Julio - Edith Olaine Gonzalez Vergara. Pedido de Compra: PCC-2024-03763</t>
  </si>
  <si>
    <t>PCC-2024-03971</t>
  </si>
  <si>
    <t>BEE315</t>
  </si>
  <si>
    <t>Anyela Julieth Castillo</t>
  </si>
  <si>
    <t>Servicio de consultoria BEE Consultoria &amp; Negocios, contrato BI-VSC-15479-2022-001 - Anyela Julieth Castillo - Servicio del 02 al 31 de Julio - ZORAYDA DEL CARMEN PEREZ BERNAL. Pedido de Compra: PCC-2024-03971</t>
  </si>
  <si>
    <t>TRES MIL SEISCIENTOS SESENTA Y SEIS DOLARES AMERICANOS CON 67/100</t>
  </si>
  <si>
    <t>PCC-2024-03931</t>
  </si>
  <si>
    <t>BEE316</t>
  </si>
  <si>
    <t>Jonathan Alexander Mena</t>
  </si>
  <si>
    <t>Servicio de consultoria BEE Consultoria &amp; Negocios, contrato BI-VSC-15479-2022-001 - Jonathan Alexander Mena - Servicio del 02 al 31 de Julio - ZORAYDA DEL CARMEN PEREZ BERNAL. Pedido de Compra: PCC-2024-03931</t>
  </si>
  <si>
    <t>CUATRO MIL DOSCIENTOS SEIS DOLARES AMERICANOS CON 14/100</t>
  </si>
  <si>
    <t>PCC-2024-03219</t>
  </si>
  <si>
    <t>BEE294</t>
  </si>
  <si>
    <t>Servicio de consultoria BEE Consultoria &amp; Negocios, contrato BI-VSC-15479-2022-001 - Nicolas Ortiz - Servicio del 01 al 30 de Junio -  Cindy Lisbeth Goff. Pedido de Compra:  PCC-2024-03219</t>
  </si>
  <si>
    <t>OCHO MIL QUINIENTOS TRECE DOLARES AMERICANOS CON 91/100</t>
  </si>
  <si>
    <t>Servicio de consultoria BEE Consultoria &amp; Negocios, contrato BI-VSC-15479-2022-001 - Edwin Misael Ramirez - Servicio del 01 al 30 de Junio - Cindy Lisbeth Goff. Pedido de Compra:  PCC-2024-03219</t>
  </si>
  <si>
    <t>PCC-2024-02937</t>
  </si>
  <si>
    <t>BEE295</t>
  </si>
  <si>
    <t>Servicio de consultoria BEE Consultoria &amp; Negocios, contrato BI-VSC-15479-2022-001 - Fredy Herrera -  Servicio del 01 al 30 de Junio - Edith Olaine Gonzalez Vergara. Pedido de Compra:  PCC-2024-02937</t>
  </si>
  <si>
    <t>PCC-2024-03276</t>
  </si>
  <si>
    <t>BEE296</t>
  </si>
  <si>
    <t>Servicio de consultoria BEE Consultoria &amp; Negocios, contrato BI-VSC-15479-2022-001 - Jose Luis Torres  - Servicio del 01 al 30 de Junio  - Fany Filomena Ballis. Pedido de Compra:  PCC-2024-03276</t>
  </si>
  <si>
    <t>PCC-2024-02992</t>
  </si>
  <si>
    <t>BEE297</t>
  </si>
  <si>
    <t>Servicio de consultoria BEE Consultoria &amp; Negocios, contrato BI-VSC-15479-2022-001 - EDISON ZAPATA - Servicio del 01 al 30 de Junio - Cindy Lisbeth Goff. Pedido de Compra: PCC-2024-02992</t>
  </si>
  <si>
    <t>Servicio de consultoria BEE Consultoria &amp; Negocios, contrato BI-VSC-15479-2022-001 - LUIS FERNANDO MONROY - 01 al 30 de Junio - Cindy Lisbeth Goff. Pedido de Compra: PCC-2024-02992</t>
  </si>
  <si>
    <t>PCC-2024-03334</t>
  </si>
  <si>
    <t>BEE298</t>
  </si>
  <si>
    <t>Servicio de consultoria BEE Consultoria &amp; Negocios, contrato BI-VSC-15479-2022-001 - Laura Valentina Acosta - Servicio del 01 al 30 de Junio - Luis Afranio Arauz Acosta, Pedido de Compra: PCC-2024-03334</t>
  </si>
  <si>
    <t>PCC-2024-03228</t>
  </si>
  <si>
    <t>BEE299</t>
  </si>
  <si>
    <t>Servicio de consultoria BEE Consultoria &amp; Negocios, contrato BI-VSC-15479-2022-001 - Jose Luis Acosta - Servicio del 01 al 30 de Junio - Luis Alberto Urrutia. Pedido de Compra: PCC-2024-03228</t>
  </si>
  <si>
    <t>Servicio de consultoria BEE Consultoria &amp; Negocios, contrato BI-VSC-15479-2022-001 - Victor Medina - Servicio del 01 al  30  de Junio - Luis Alberto Urrutia. Pedido de Compra:  PCC-2024-03228</t>
  </si>
  <si>
    <t>Servicio de consultoria BEE Consultoria &amp; Negocios, contrato BI-VSC-15479-2022-001 - Nelson Rodriguez - Servicio del 01 al 30 de Junio - Luis Alberto Urrutia. Pedido de Compra: PCC-2024-03228</t>
  </si>
  <si>
    <t>PCC-2024-03260</t>
  </si>
  <si>
    <t>BEE300</t>
  </si>
  <si>
    <t>Servicio de consultoria BEE Consultoria &amp; Negocios, contrato BI-VSC-15479-2022-001 - Wbeimar Peña - Servicio del 01 al 30 de Junio - Luis Alberto Urrutia. Pedido de Compra: PCC-2024-03260</t>
  </si>
  <si>
    <t>SEIS MIL DOSCIENTOS OCHENTA Y DOS DOLARES AMERICANOS CON 89/100</t>
  </si>
  <si>
    <t>Servicio de consultoria BEE Consultoria &amp; Negocios, contrato BI-VSC-15479-2022-001 - John Sebastian Briceño - Vacaciones del 4 al 26 de junio - Luis Alberto Urrutia. Pedido de Compra: PCC-2024-03260</t>
  </si>
  <si>
    <t>PCC-2024-03134</t>
  </si>
  <si>
    <t>BEE301</t>
  </si>
  <si>
    <t>Servicio de consultoria BEE Consultoria &amp; Negocios, contrato BI-VSC-15479-2022-001 - Victor Daniel Perez Diaz - Servicio del 01 al 30 de Junio - Cindy Lisbeth Goff. Pedido de Compra: PCC-2024-03134</t>
  </si>
  <si>
    <t>Servicio de consultoria BEE Consultoria &amp; Negocios, contrato BI-VSC-15479-2022-001 - Victor Daniel Perez Diaz - Servicio del 01 al 30 de Junio - Cindy Lisbeth Goff. Pedido de Compra:  PCC-2024-03134</t>
  </si>
  <si>
    <t xml:space="preserve">NO RECIBIDO </t>
  </si>
  <si>
    <t>BEE302</t>
  </si>
  <si>
    <t>Servicio de consultoria BEE Consultoria &amp; Negocios, contrato BI-VSC-15479-2022-001 - Juan Bello - Servicio del 4 al 26 de Junio - Luis Alberto Urrutia. Pedido de Compra: NO RECIBIDO</t>
  </si>
  <si>
    <t>CUATRO MIL SETESCIENTOS DOCE DOLARES AMERICANOS 17/100</t>
  </si>
  <si>
    <t>PCC-2024-02938</t>
  </si>
  <si>
    <t>BEE303</t>
  </si>
  <si>
    <t>Servicio de consultoria BEE Consultoria &amp; Negocios, contrato BI-VSC-15479-2022-001 - Juan Esteban Valencia - Servicio del 01 al 30 de Junio - Edith Olaine Gonzalez Vergara. Pedido de Compra: PCC-2024-02938</t>
  </si>
  <si>
    <t>BEE318</t>
  </si>
  <si>
    <t>PCC-2024-04389</t>
  </si>
  <si>
    <t>Servicio de consultoria BEE Consultoria &amp; Negocios, contrato BI-VSC-15479-2022-001 - Nicolas Ortiz - Servicio del 01 al 31 de Agosto -  Cindy Lisbeth Goff. Pedido de Compra:  PCC-2024-04389</t>
  </si>
  <si>
    <t>TRECE MIL DOSCIENTOS VEINTIDOS DOLARES AMERICANOS CON 95/100</t>
  </si>
  <si>
    <t>Servicio de consultoria BEE Consultoria &amp; Negocios, contrato BI-VSC-15479-2022-001 - Nicolas Ortiz - Horas Extas Agosto 2024 -  Cindy Lisbeth Goff. Pedido de Compra:  PCC-2024-04389</t>
  </si>
  <si>
    <t>Servicio de consultoria BEE Consultoria &amp; Negocios, contrato BI-VSC-15479-2022-001 - Edwin Misael Ramirez - Servicio del 01 al 31 de Agosto - Cindy Lisbeth Goff. Pedido de Compra:  PCC-2024-04389</t>
  </si>
  <si>
    <t>Servicio de consultoria BEE Consultoria &amp; Negocios, contrato BI-VSC-15479-2022-001 - EDISON ZAPATA - Servicio del 01 al 31 de Agosto - Cindy Lisbeth Goff. Pedido de Compra: PCC-2024-04389</t>
  </si>
  <si>
    <t>BEE319</t>
  </si>
  <si>
    <t>PCC-2024-04255</t>
  </si>
  <si>
    <t>Servicio de consultoria BEE Consultoria &amp; Negocios, contrato BI-VSC-15479-2022-001 - Fredy Herrera -  Servicio del 01 al 15 de Agosto - Edith Olaine Gonzalez Vergara. Pedido de Compra:  PCC-2024-04255</t>
  </si>
  <si>
    <t>DOS MIL OCHOSCIENTOS SETENTA Y NUEVE DOLARES AMERICANOS CON 66/100</t>
  </si>
  <si>
    <t>BEE320</t>
  </si>
  <si>
    <t>PCC-2024-04616</t>
  </si>
  <si>
    <t>Servicio de consultoria BEE Consultoria &amp; Negocios, contrato BI-VSC-15479-2022-001 - Fredy Herrera -  Servicio del 16 al 31 de Agosto - Edith Olaine Gonzalez Vergara. Pedido de Compra:  PCC-2024-04616</t>
  </si>
  <si>
    <t>DOS MIL SEISCIENTOS DIEZ Y SIETE DOLARES AMERICANOS CON 87/100</t>
  </si>
  <si>
    <t>BEE321</t>
  </si>
  <si>
    <t>PCC-2024-04564</t>
  </si>
  <si>
    <t>Servicio de consultoria BEE Consultoria &amp; Negocios, contrato BI-VSC-15479-2022-001 - Jose Luis Torres  - Servicio del 01 al 31 de Agosto  - Fany Filomena Ballis. Pedido de Compra:  PCC-2024-04564</t>
  </si>
  <si>
    <t>BEE322</t>
  </si>
  <si>
    <t>PCC-2024-04496</t>
  </si>
  <si>
    <t>Servicio de consultoria BEE Consultoria &amp; Negocios, contrato BI-VSC-15479-2022-001 - Laura Valentina Acosta - Servicio del 01 al 31 de Agosto - Luis Afranio Arauz Acosta, Pedido de Compra: PCC-2024-04496</t>
  </si>
  <si>
    <t>BEE323</t>
  </si>
  <si>
    <t>PCC-2024-04425</t>
  </si>
  <si>
    <t>Servicio de consultoria BEE Consultoria &amp; Negocios, contrato BI-VSC-15479-2022-001 - Jose Luis Acosta - Servicio del 01 al 31 de Agosto - Luis Alberto Urrutia. Pedido de Compra: PCC-2024-04425</t>
  </si>
  <si>
    <t>TRECE MIL OCHOCIENTOS SETENTA Y CUATRO DOLARES AMERICANOS CON 99/100</t>
  </si>
  <si>
    <t>Servicio de consultoria BEE Consultoria &amp; Negocios, contrato BI-VSC-15479-2022-001 - Victor Medina - Servicio del 01 al  31  de Agosto - Luis Alberto Urrutia. Pedido de Compra:  PCC-2024-04425</t>
  </si>
  <si>
    <t>Servicio de consultoria BEE Consultoria &amp; Negocios, contrato BI-VSC-15479-2022-001 - Nelson Rodriguez - Servicio del 01 al 31 de Agosto - Luis Alberto Urrutia. Pedido de Compra: PCC-2024-04425</t>
  </si>
  <si>
    <t>BEE324</t>
  </si>
  <si>
    <t>PCC-2024-04426</t>
  </si>
  <si>
    <t>Servicio de consultoria BEE Consultoria &amp; Negocios, contrato BI-VSC-15479-2022-001 - Wbeimar Peña - Servicio del 01 al 31 de Agosto - Luis Alberto Urrutia. Pedido de Compra: PCC-2024-04426</t>
  </si>
  <si>
    <t>Servicio de consultoria BEE Consultoria &amp; Negocios, contrato BI-VSC-15479-2022-001 - John Sebastian Briceño - Servicio del 01 al 31 de Agosto - Luis Alberto Urrutia. Pedido de Compra: PCC-2024-04426</t>
  </si>
  <si>
    <t>BEE325</t>
  </si>
  <si>
    <t>PCC-2024-04382</t>
  </si>
  <si>
    <t>Servicio de consultoria BEE Consultoria &amp; Negocios, contrato BI-VSC-15479-2022-001 - Victor Daniel Perez Diaz - Servicio del 01 al 31 de Agosto - Cindy Lisbeth Goff. Pedido de Compra: PCC-2024-04382</t>
  </si>
  <si>
    <t>Servicio de consultoria BEE Consultoria &amp; Negocios, contrato BI-VSC-15479-2022-001 - Victor Daniel Perez Diaz - Servicio del 01 al 31 de Agosto - Cindy Lisbeth Goff. Pedido de Compra:  PCC-2024-04382</t>
  </si>
  <si>
    <t>BEE326</t>
  </si>
  <si>
    <t>PCC-2024-04668</t>
  </si>
  <si>
    <t>Servicio de consultoria BEE Consultoria &amp; Negocios, contrato BI-VSC-15479-2022-001 - Juan Esteban Valencia - Servicio del 01 al 15 de Agosto - Edith Olaine Gonzalez Vergara. Pedido de Compra: PCC-2024-04668</t>
  </si>
  <si>
    <t>DOS MILS DOSCIENTOS OCHO DOLARES AMERICANOS CON 22/100</t>
  </si>
  <si>
    <t>Servicio de consultoria BEE Consultoria &amp; Negocios, contrato BI-VSC-15479-2022-001 - Juan Esteban Valencia - Servicio del 16 al 31 de Agosto - Cindy Lisbeth Goff. Pedido de Compra: PCC-2024-04668</t>
  </si>
  <si>
    <t>DOS MILS CUATROSCIENTOS VEINTINUEVE DOLARES AMERICANOS CON 5/100</t>
  </si>
  <si>
    <t>BEE327</t>
  </si>
  <si>
    <t>PCC-2024-04598</t>
  </si>
  <si>
    <t>Servicio de consultoria BEE Consultoria &amp; Negocios, contrato BI-VSC-15479-2022-001 - Anyela Julieth Castillo - Servicio del 01 al 31 de Agosto - ZORAYDA DEL CARMEN PEREZ BERNAL. Pedido de Compra: PCC-2024-04598</t>
  </si>
  <si>
    <t>BEE328</t>
  </si>
  <si>
    <t>PCC-2024-04600</t>
  </si>
  <si>
    <t>Servicio de consultoria BEE Consultoria &amp; Negocios, contrato BI-VSC-15479-2022-001 - Jonathan Alexander Mena - Servicio del 01 al 31 de Agosto - ZORAYDA DEL CARMEN PEREZ BERNAL. Pedido de Compra: PCC-2024-04600</t>
  </si>
  <si>
    <t>CUATRO MIL CUATROSCIENTOS DEIZ Y SEIS DOLARES AMERICANOS CON 45/100</t>
  </si>
  <si>
    <t>BEE331</t>
  </si>
  <si>
    <t>PCC-2024-04937</t>
  </si>
  <si>
    <t>Servicio de consultoria BEE Consultoria &amp; Negocios, contrato BI-VSC-15479-2022-001 - Nicolas Ortiz - Servicio del 01 al 30 de Septiembre -  Cindy Lisbeth Goff. Pedido de Compra:  PCC-2024-04937</t>
  </si>
  <si>
    <t>TRECE MIL CIENTO CINCUENTA Y UN DOLARES AMERICANOS CON 18/100</t>
  </si>
  <si>
    <t xml:space="preserve">Servicio de consultoria BEE Consultoria &amp; Negocios, contrato BI-VSC-15479-2022-001 - Edwin Misael Ramirez - Servicio del 01 al 30 de Septiembre - Cindy Lisbeth Goff. Pedido de Compra: PCC-2024-04937 </t>
  </si>
  <si>
    <t>Servicio de consultoria BEE Consultoria &amp; Negocios, contrato BI-VSC-15479-2022-001 - EDISON ZAPATA - Servicio del 01 al 30 de Septiembre - Cindy Lisbeth Goff. Pedido de Compra: PCC-2024-04937</t>
  </si>
  <si>
    <t>BEE332</t>
  </si>
  <si>
    <t>PCC-2024-05130</t>
  </si>
  <si>
    <t>Servicio de consultoria BEE Consultoria &amp; Negocios, contrato BI-VSC-15479-2022-001 - Nicolas Ortiz - Horas Extas Agosto 2024 -  Cindy Lisbeth Goff. Pedido de Compra:  PCC-2024-05130</t>
  </si>
  <si>
    <t>SETENTA Y UN DOLARES AMERICANOS CON 76/100</t>
  </si>
  <si>
    <t>BEE333</t>
  </si>
  <si>
    <t>PCC-2024-05021</t>
  </si>
  <si>
    <t>Servicio de consultoria BEE Consultoria &amp; Negocios, contrato BI-VSC-15479-2022-001 - Fredy Herrera -  Servicio del 01 al 30 de Septiembre - Jorge Ernesto Rodriguez Rodriguez. Pedido de Compra:  PCC-2024-05021</t>
  </si>
  <si>
    <t>DOS MIL SETESCIENTOS CUARENTA Y OCHO DOLARES AMERICANOS CON 77/100</t>
  </si>
  <si>
    <t>BEE334</t>
  </si>
  <si>
    <t>Servicio de consultoria BEE Consultoria &amp; Negocios, contrato BI-VSC-15479-2022-001 - Fredy Herrera -  Servicio del 01 al 30 de Septiembre - Edith Olaine Gonzalez Vergara. Pedido de Compra: PCC-2024-05021</t>
  </si>
  <si>
    <t>BEE335</t>
  </si>
  <si>
    <t>PCC-2024-05242</t>
  </si>
  <si>
    <t>Servicio de consultoria BEE Consultoria &amp; Negocios, contrato BI-VSC-15479-2022-001 - Jose Luis Torres  - Servicio del 01 al 30 de Septiembre  - Fany Filomena Ballis. Pedido de Compra:  PCC-2024-05242</t>
  </si>
  <si>
    <t>BEE336</t>
  </si>
  <si>
    <t>PCC-2024-05159</t>
  </si>
  <si>
    <t>Servicio de consultoria BEE Consultoria &amp; Negocios, contrato BI-VSC-15479-2022-001 - Laura Valentina Acosta - Servicio del 01 al 30 de Septiembre - Luis Afranio Arauz Acosta, Pedido de Compra: PCC-2024-05159</t>
  </si>
  <si>
    <t>BEE337</t>
  </si>
  <si>
    <t>PCC-2024-04963</t>
  </si>
  <si>
    <t>Servicio de consultoria BEE Consultoria &amp; Negocios, contrato BI-VSC-15479-2022-001 - Jose Luis Acosta - Servicio del 01 al 30 de Septiembre (5 dias de vacaciones)- Luis Alberto Urrutia. Pedido de Compra: PCC-2024-04963</t>
  </si>
  <si>
    <t>TRECE MIL OCHENTA Y NUEVE DOLARES AMERICANOS CON 71/100</t>
  </si>
  <si>
    <t>Servicio de consultoria BEE Consultoria &amp; Negocios, contrato BI-VSC-15479-2022-001 - Victor Medina - Servicio del 01 al  30  de Septiembre - Luis Alberto Urrutia. Pedido de Compra:  PCC-2024-04963</t>
  </si>
  <si>
    <t>Servicio de consultoria BEE Consultoria &amp; Negocios, contrato BI-VSC-15479-2022-001 - Nelson Rodriguez - Servicio del 01 al 30 de Septiembre ()vacaciones del 9 al 18 de sept) - Luis Alberto Urrutia. Pedido de Compra: PCC-2024-04963</t>
  </si>
  <si>
    <t>BEE338</t>
  </si>
  <si>
    <t>PCC-2024-04964</t>
  </si>
  <si>
    <t>Servicio de consultoria BEE Consultoria &amp; Negocios, contrato BI-VSC-15479-2022-001 - Wbeimar Peña - Servicio del 01 al 30 de Septiembre - Luis Alberto Urrutia. Pedido de Compra: PCC-2024-04964</t>
  </si>
  <si>
    <t>Servicio de consultoria BEE Consultoria &amp; Negocios, contrato BI-VSC-15479-2022-001 - John Sebastian Briceño - Servicio del 01 al 30 de Septiembre - Luis Alberto Urrutia. Pedido de Compra: PCC-2024-04964</t>
  </si>
  <si>
    <t>BEE339</t>
  </si>
  <si>
    <t>PCC-2024-05196</t>
  </si>
  <si>
    <t>Servicio de consultoria BEE Consultoria &amp; Negocios, contrato BI-VSC-15479-2022-001 - Victor Daniel Perez Diaz - Servicio del 01 al 30 de Septiembre - Cindy Lisbeth Goff. Pedido de Compra: PCC-2024-05196</t>
  </si>
  <si>
    <t>BEE340</t>
  </si>
  <si>
    <t>PCC-2024-05010</t>
  </si>
  <si>
    <t>Servicio de consultoria BEE Consultoria &amp; Negocios, contrato BI-VSC-15479-2022-001 - Juan Esteban Valencia - Servicio del 01 al 30 de Septiembre - Edith Olaine Gonzalez Vergara. Pedido de Compra: PCC-2024-05010</t>
  </si>
  <si>
    <t>BEE341</t>
  </si>
  <si>
    <t>PCC-2024-05134</t>
  </si>
  <si>
    <t>Servicio de consultoria BEE Consultoria &amp; Negocios, contrato BI-VSC-15479-2022-001 - Anyela Julieth Castillo - Servicio del 01 al 30 de Septiembre - Luis Afranio Arauz Acosta. Pedido de Compra: PCC-2024-05134</t>
  </si>
  <si>
    <t>BEE342</t>
  </si>
  <si>
    <t>PCC-2024-05164</t>
  </si>
  <si>
    <t>Servicio de consultoria BEE Consultoria &amp; Negocios, contrato BI-VSC-15479-2022-001 - Jonathan Alexander Mena - Servicio del 01 al 30 de Septiembre - Luis Afranio Arauz Acosta. Pedido de Compra: PCC-2024-05164</t>
  </si>
  <si>
    <t>BEE343</t>
  </si>
  <si>
    <t>PCC-2024-05278</t>
  </si>
  <si>
    <t>Servicio de consultoria BEE Consultoria &amp; Negocios, contrato BI-VSC-15479-2022-001 - Kevin Caicedo Alvarez - Servicio del 02 al 30 de Septiembre - Luis Afranio Arauz Acosta. Pedido de Compra: PCC-2024-05278</t>
  </si>
  <si>
    <t>BEE344</t>
  </si>
  <si>
    <t>Servicio de consultoria BEE Consultoria &amp; Negocios, contrato BI-VSC-15479-2022-001 - Jennifer Pacheco Meza - Servicio del 02 al 30 de Septiembre - Fany Filomena Ballis. Pedido de Compra: NO RECIBIDO</t>
  </si>
  <si>
    <t>BEE345</t>
  </si>
  <si>
    <t>Servicio de consultoria BEE Consultoria &amp; Negocios, contrato BI-VSC-15479-2022-001 - Nicolas Jair Viana Castro - Servicio del 05 al 30 de Septiembre - Harold Alfonso Ballesteros Chanis. Pedido de Compra: NO RECIBIDO</t>
  </si>
  <si>
    <t>TRES MIL QUINIENTOS TREINTA Y TRES DOLARES AMERICANOS CON 27/100</t>
  </si>
  <si>
    <t>BEE346</t>
  </si>
  <si>
    <t>Servicio de consultoria BEE Consultoria &amp; Negocios, contrato BI-VSC-15479-2022-001 - Hector Bermeo - Servicio del 01 al 30 de Septiembre - Luis Alberto Urrutia. Pedido de Compra: NO RECIBIDO</t>
  </si>
  <si>
    <t>CUATRO MIL CUATROSCIENTOS DOLARES AMERICANOS CON 00/100</t>
  </si>
  <si>
    <t>BEE356</t>
  </si>
  <si>
    <t>PCC-2024-05326</t>
  </si>
  <si>
    <t>Servicio de consultoria BEE Consultoria &amp; Negocios, contrato BI-VSC-15479-2022-001 - Nicolas Ortiz - Servicio del 01 al 31 de Octubre (Vacaciones 21 -25 Octubre)-  Cindy Lisbeth Goff. Pedido de Compra:  PCC-2024-05326</t>
  </si>
  <si>
    <t>DOCE MIL CUARENTA Y SIETE DOLARES  AMERICANOS CON 18/100</t>
  </si>
  <si>
    <t>Servicio de consultoria BEE Consultoria &amp; Negocios, contrato BI-VSC-15479-2022-001 - Edwin Misael Ramirez - Servicio del 01 al 31 de Octubre - Cindy Lisbeth Goff. Pedido de Compra: PCC-2024-05326</t>
  </si>
  <si>
    <t>Servicio de consultoria BEE Consultoria &amp; Negocios, contrato BI-VSC-15479-2022-001 - EDISON ZAPATA - Servicio del 01 al 31 de Octubre - Cindy Lisbeth Goff. Pedido de Compra: PCC-2024-05326</t>
  </si>
  <si>
    <t>BEE357</t>
  </si>
  <si>
    <t>PCC-2024-05572</t>
  </si>
  <si>
    <t>Servicio de consultoria BEE Consultoria &amp; Negocios, contrato BI-VSC-15479-2022-001 - Fredy Herrera -  Servicio del 01 al 31 de Octubre - Jorge Ernesto Rodriguez Rodriguez. Pedido de Compra:   PCC-2024-05572</t>
  </si>
  <si>
    <t>CINCO MIL CUATROSCIENTOS NOVENTA Y SIETE DOLARES AMERICANOS CO 54/100</t>
  </si>
  <si>
    <t>Servicio de consultoria BEE Consultoria &amp; Negocios, contrato BI-VSC-15479-2022-001 - Fredy Herrera -  Servicio del 01 al 31 de Octubre - Edith Olaine Gonzalez Vergara. Pedido de Compra: PCC-2024-05572</t>
  </si>
  <si>
    <t>BEE358</t>
  </si>
  <si>
    <t>PCC-2024-05876</t>
  </si>
  <si>
    <t>Servicio de consultoria BEE Consultoria &amp; Negocios, contrato BI-VSC-15479-2022-001 - Jose Luis Torres  - Servicio del 01 al 31 de Octubre  (vacaciones del 24 Oct - 31 Oct) - Fany Filomena Ballis. Pedido de Compra:  PCC-2024-05876</t>
  </si>
  <si>
    <t>TRES MIL TRESCIENTOS DOCE DOLARES AMERICANOS CON 47/100</t>
  </si>
  <si>
    <t>BEE359</t>
  </si>
  <si>
    <t xml:space="preserve"> PCC-2024-05768</t>
  </si>
  <si>
    <t>Servicio de consultoria BEE Consultoria &amp; Negocios, contrato BI-VSC-15479-2022-001 - Laura Valentina Acosta - Servicio del 01 al 31 de Octubre (Vacaciones 7-21 de Octubre) - Luis Afranio Arauz Acosta, Pedido de Compra:  PCC-2024-05768</t>
  </si>
  <si>
    <t>DOS MIL DOSCIENTOS OCHO DOLARES AMERICANOS CON 47/100</t>
  </si>
  <si>
    <t>BEE360</t>
  </si>
  <si>
    <t>PCC-2024-05884</t>
  </si>
  <si>
    <t>Servicio de consultoria BEE Consultoria &amp; Negocios, contrato BI-VSC-15479-2022-001 - Jose Luis Acosta - Servicio del 01 al 31 de Octubre  (Vacaciones 4 de Octubre) Luis Alberto Urrutia. Pedido de Compra: PCC-2024-05884</t>
  </si>
  <si>
    <t>DIEZ Y SEIS MIL DOSCIENTOS TREINTA DOLARES AMERICANOS CON 83/100</t>
  </si>
  <si>
    <t>Servicio de consultoria BEE Consultoria &amp; Negocios, contrato BI-VSC-15479-2022-001 - Victor Medina - Servicio del 01 al  31 de Octubre- Luis Alberto Urrutia. Pedido de Compra:  PCC-2024-05884</t>
  </si>
  <si>
    <t>Servicio de consultoria BEE Consultoria &amp; Negocios, contrato BI-VSC-15479-2022-001 - Nelson Rodriguez - Servicio del 01 al 31 de Octubre  - Luis Alberto Urrutia. Pedido de Compra: PCC-2024-05884</t>
  </si>
  <si>
    <t>BEE361</t>
  </si>
  <si>
    <t>PCC-2024-05910</t>
  </si>
  <si>
    <t>Servicio de consultoria BEE Consultoria &amp; Negocios, contrato BI-VSC-15479-2022-001 - Wbeimar Peña - Servicio del 01 al 31 de Octubre - Luis Alberto Urrutia. Pedido de Compra: PCC-2024-05910</t>
  </si>
  <si>
    <t>Servicio de consultoria BEE Consultoria &amp; Negocios, contrato BI-VSC-15479-2022-001 - John Sebastian Briceño - Servicio del 01 al 31 de Octubre - Luis Alberto Urrutia. Pedido de Compra: PCC-2024-05910</t>
  </si>
  <si>
    <t>BEE362</t>
  </si>
  <si>
    <t xml:space="preserve"> PCC-2024-05434</t>
  </si>
  <si>
    <t>Servicio de consultoria BEE Consultoria &amp; Negocios, contrato BI-VSC-15479-2022-001 - Victor Daniel Perez Diaz - Servicio del 01 al 31 de Octubre - Cindy Lisbeth Goff. Pedido de Compra:  PCC-2024-05434</t>
  </si>
  <si>
    <t>BEE363</t>
  </si>
  <si>
    <t>PCC-2024-05382</t>
  </si>
  <si>
    <t>Servicio de consultoria BEE Consultoria &amp; Negocios, contrato BI-VSC-15479-2022-001 - Juan Esteban Valencia - Servicio del 01 al 31 de Octubre - Edith Olaine Gonzalez Vergara. Pedido de Compra: PCC-2024-05382</t>
  </si>
  <si>
    <t>BEE364</t>
  </si>
  <si>
    <t>PCC-2024-05778_x000D_</t>
  </si>
  <si>
    <t>Servicio de consultoria BEE Consultoria &amp; Negocios, contrato BI-VSC-15479-2022-001 - Anyela Julieth Castillo - Servicio del 01 al 31 de Octubre - Luis Afranio Arauz Acosta. Pedido de Compra: PCC-2024-05778_x000D_</t>
  </si>
  <si>
    <t>BEE365</t>
  </si>
  <si>
    <t>PCC-2024-05780</t>
  </si>
  <si>
    <t xml:space="preserve">Servicio de consultoria BEE Consultoria &amp; Negocios, contrato BI-VSC-15479-2022-001 - Jonathan Alexander Mena - Servicio del 01 al 31 de Octubre - Luis Afranio Arauz Acosta. Pedido de Compra: </t>
  </si>
  <si>
    <t>BEE366</t>
  </si>
  <si>
    <t>PCC-2024-05848</t>
  </si>
  <si>
    <t xml:space="preserve">Servicio de consultoria BEE Consultoria &amp; Negocios, contrato BI-VSC-15479-2022-001 - Kevin Caicedo Alvarez - Servicio del 01 al 31 de Octubre - Luis Afranio Arauz Acosta. Pedido de Compra: </t>
  </si>
  <si>
    <t>BEE367</t>
  </si>
  <si>
    <t>PCC-2024-05888</t>
  </si>
  <si>
    <t>Servicio de consultoria BEE Consultoria &amp; Negocios, contrato BI-VSC-15479-2022-001 - Jennifer Pacheco Meza -Servicio del 01 al 31 de Octubre - Fany Filomena Ballis. Pedido de Compra: PCC-2024-05888</t>
  </si>
  <si>
    <t>BEE368</t>
  </si>
  <si>
    <t>PCC-2024-05662</t>
  </si>
  <si>
    <t>Servicio de consultoria BEE Consultoria &amp; Negocios, contrato BI-VSC-15479-2022-001 - Nicolas Jair Viana Castro - Servicio del 01 al 31 de Octubre - Harold Alfonso Ballesteros Chanis. Pedido de Compra: PCC-2024-05662</t>
  </si>
  <si>
    <t>BEE369</t>
  </si>
  <si>
    <t>PCC-2024-05564</t>
  </si>
  <si>
    <t>Servicio de consultoria BEE Consultoria &amp; Negocios, contrato BI-VSC-15479-2022-001 - Hector Bermeo - Servicio del 01 al 31 de Octubre - Luis Alberto Urrutia. Pedido de Compra:PCC-2024-05564</t>
  </si>
  <si>
    <t>dias Vacaciones</t>
  </si>
  <si>
    <t>Tarifa Hora Extra</t>
  </si>
  <si>
    <t>BEE350</t>
  </si>
  <si>
    <t>PAGADA</t>
  </si>
  <si>
    <t xml:space="preserve">Servicio de consultoria BEE Consultoria &amp; Negocios, contrato BI-VSC-15479-2022-001 - Jose Luis Acosta - Servicio del 01 al 30 de Noviembre  Luis Alberto Urrutia. Pedido de Compra: </t>
  </si>
  <si>
    <t>DIEZ Y SEIS MIL CUATROSCIENTOS NOVENTA Y DOS  DOLARES AMERICANOS CON  59/100</t>
  </si>
  <si>
    <t xml:space="preserve">Servicio de consultoria BEE Consultoria &amp; Negocios, contrato BI-VSC-15479-2022-001 - Nelson Rodriguez - Servicio del 01 al 30 de Noviembre  - Luis Alberto Urrutia. Pedido de Compra: </t>
  </si>
  <si>
    <t xml:space="preserve">Servicio de consultoria BEE Consultoria &amp; Negocios, contrato BI-VSC-15479-2022-001 - Victor Medina - Servicio del 01 al 30 de Noviembre- Luis Alberto Urrutia. Pedido de Compra:  </t>
  </si>
  <si>
    <t>BEE376</t>
  </si>
  <si>
    <t xml:space="preserve">Servicio de consultoria BEE Consultoria &amp; Negocios, contrato BI-VSC-15479-2022-001 - Nelson Rodriguez - 31.5 EXtras mes de Noviembre  - Luis Alberto Urrutia. Pedido de Compra: </t>
  </si>
  <si>
    <t>MIL TRESCIENTOS CUARENTA DOLARES AMERICANOS CON 01/100</t>
  </si>
  <si>
    <t>BEE377</t>
  </si>
  <si>
    <t xml:space="preserve">Servicio de consultoria BEE Consultoria &amp; Negocios, contrato BI-VSC-15479-2022-001 - Victor Medina - 26 Horas extras mes de Noviembre- Luis Alberto Urrutia. Pedido de Compra:  </t>
  </si>
  <si>
    <t>MIL CIENTO SEIS DOLARES AMERICANOS CON 04/100</t>
  </si>
  <si>
    <t>BEE378</t>
  </si>
  <si>
    <t xml:space="preserve">Servicio de consultoria BEE Consultoria &amp; Negocios, contrato BI-VSC-15479-2022-001 - Jose Luis Acosta - 10 Horas Extras mes de Noviembre Luis Alberto Urrutia. Pedido de Compra: </t>
  </si>
  <si>
    <t>CUATROSCIENTOS VEINTICINCO DOLARES AMERICANOS CON 40/100</t>
  </si>
  <si>
    <t>BEE352</t>
  </si>
  <si>
    <t>pendiente por revisar valor no cuadra 3876,64</t>
  </si>
  <si>
    <t xml:space="preserve">Servicio de consultoria BEE Consultoria &amp; Negocios, contrato BI-VSC-15479-2022-001 - Jennifer Pacheco Meza -Servicio del 01 al 30 de Noviembre - Fany Filomena Ballis. Pedido de Compra: </t>
  </si>
  <si>
    <t>BEE353</t>
  </si>
  <si>
    <t>pendiente por revisar valor no cuadra 4609,67</t>
  </si>
  <si>
    <t xml:space="preserve">Servicio de consultoria BEE Consultoria &amp; Negocios, contrato BI-VSC-15479-2022-001 - Jose Luis Torres  - Servicio del 02 al 30 de Noviembre  - (Vacaciones 1 de Noviembre)  Fany Filomena Ballis. Pedido de Compra:  </t>
  </si>
  <si>
    <t>CUATRO MIL SEISCIENTOS NUEVE DOLARES AMERICANOS  CON 67/100</t>
  </si>
  <si>
    <t>BEE379</t>
  </si>
  <si>
    <t>Servicio de consultoria BEE Consultoria &amp; Negocios, contrato BI-VSC-15479-2022-001 - Nicolas Ortiz - Servicio del 01 al 30 de Noviembre-  Cindy Lisbeth Goff. Pedido de Compra:  PCC-2024-06533</t>
  </si>
  <si>
    <t xml:space="preserve"> TRECE MIL CIENTO CINCUENTA Y UN DOLARES  AMERICANOS CON 18/100</t>
  </si>
  <si>
    <t>Servicio de consultoria BEE Consultoria &amp; Negocios, contrato BI-VSC-15479-2022-001 - Edwin Misael Ramirez - Servicio del 01 al 30 de Noviembre - Cindy Lisbeth Goff. Pedido de Compra: PCC-2024-06533</t>
  </si>
  <si>
    <t>Servicio de consultoria BEE Consultoria &amp; Negocios, contrato BI-VSC-15479-2022-001 - EDISON ZAPATA - Servicio del 01 al 30 de Noviembre - Cindy Lisbeth Goff. Pedido de Compra: PCC-2024-06454</t>
  </si>
  <si>
    <t>BEE380</t>
  </si>
  <si>
    <t>Servicio de consultoria BEE Consultoria &amp; Negocios, contrato BI-VSC-15479-2022-001 - Fredy Herrera -  Servicio del 01 al 30 de Noviembre -  Edith Olaine Gonzalez Vergara Pedido de Compra:   PCC-2024-06401</t>
  </si>
  <si>
    <t>BEE392</t>
  </si>
  <si>
    <t>Servicio de consultoria BEE Consultoria &amp; Negocios, contrato BI-VSC-15479-2022-001 - Fredy Herrera -  Servicio del 01 al 30 de Noviembre - Jorge Ernesto Rodriguez Rodriguez Pedido de Compra:   PCC-2024-06401</t>
  </si>
  <si>
    <t>BEE381</t>
  </si>
  <si>
    <t>Servicio de consultoria BEE Consultoria &amp; Negocios, contrato BI-VSC-15479-2022-001 - Laura Valentina Acosta - Servicio del 01 al 30 de Noviembre  - Luis Afranio Arauz Acosta, Pedido de Compra:  PCC-2024-06360</t>
  </si>
  <si>
    <t>CUATRO MIL SEISCIENTOS TREINTA Y SIETE  DOLARES AMERICANOS CON 27/100</t>
  </si>
  <si>
    <t>BEE382</t>
  </si>
  <si>
    <t>Servicio de consultoria BEE Consultoria &amp; Negocios, contrato BI-VSC-15479-2022-001 - Wbeimar Peña -Servicio del 01 al 5 de Noviembre  y del 23 al 30 de Noviembre - Vacaciones desde 6 al 22 de Noviembre Luis Alberto Urrutia. Pedido de Compra: PCC-2024-06180</t>
  </si>
  <si>
    <t>SIETEMIL OCHOSCIENTOS CINCUENTA Y TRES DOLARES AMERICANOS CON 94/100</t>
  </si>
  <si>
    <t>Servicio de consultoria BEE Consultoria &amp; Negocios, contrato BI-VSC-15479-2022-001 - John Sebastian Briceño - Servicio del 01 al 30 de Noviembre - Luis Alberto Urrutia. Pedido de Compra: PCC-2024-06180</t>
  </si>
  <si>
    <t>BEE383</t>
  </si>
  <si>
    <t>Servicio de consultoria BEE Consultoria &amp; Negocios, contrato BI-VSC-15479-2022-001 - Victor Daniel Perez Diaz - Servicio del 01 al 30 de Noviembre - Cindy Lisbeth Goff. Pedido de Compra:  PCC-2024-06534</t>
  </si>
  <si>
    <t>BEE384</t>
  </si>
  <si>
    <t>BEE385</t>
  </si>
  <si>
    <t>Servicio de consultoria BEE Consultoria &amp; Negocios, contrato BI-VSC-15479-2022-001 - Juan Esteban Valencia - Servicio del 01 al 30 de Noviembre - Edith Olaine Gonzalez Vergara. Pedido de Compra: PCC-2024-06533</t>
  </si>
  <si>
    <t>BEE386</t>
  </si>
  <si>
    <t>Servicio de consultoria BEE Consultoria &amp; Negocios, contrato BI-VSC-15479-2022-001 - Anyela Julieth Castillo - Servicio del 01 al 30 de Noviembre - Luis Afranio Arauz Acosta. Pedido de Compra: PCC-2024-06471</t>
  </si>
  <si>
    <t>BEE374</t>
  </si>
  <si>
    <t xml:space="preserve">Servicio de consultoria BEE Consultoria &amp; Negocios, contrato BI-VSC-15479-2022-001 - Jonathan Alexander Mena - Servicio del 01 al 30 de Noviembre - Luis Afranio Arauz Acosta. Pedido de Compra: </t>
  </si>
  <si>
    <t>BEE387</t>
  </si>
  <si>
    <t>Servicio de consultoria BEE Consultoria &amp; Negocios, contrato BI-VSC-15479-2022-001 - Kevin Caicedo Alvarez - Servicio del 01 al 30 de Noviembre - Luis Afranio Arauz Acosta. Pedido de Compra: PCC-2024-06344</t>
  </si>
  <si>
    <t>BEE372</t>
  </si>
  <si>
    <t xml:space="preserve">Servicio de consultoria BEE Consultoria &amp; Negocios, contrato BI-VSC-15479-2022-001 - Nicolas Jair Viana Castro - Servicio del 01 al 30 de Noviembre - Harold Alfonso Ballesteros Chanis. Pedido de Compra: </t>
  </si>
  <si>
    <t>BEE347</t>
  </si>
  <si>
    <t>prefactura</t>
  </si>
  <si>
    <t xml:space="preserve">Servicio de consultoria BEE Consultoria &amp; Negocios, contrato BI-VSC-15479-2022-001 - Estefania Nicolalde - Horas Extras mes de Noviembre - Antonio Rafael Patety. </t>
  </si>
  <si>
    <t>OCHO MIL OCHOSCIENTOS TREINTA Y DOS DOLARES AMERICANOS CON 90/100</t>
  </si>
  <si>
    <t xml:space="preserve">Servicio de consultoria BEE Consultoria &amp; Negocios, contrato BI-VSC-15479-2022-001 - Carlos Diaz - Servicio del 01 al 30 de Noviembre - Antonio Rafael Patety. </t>
  </si>
  <si>
    <t>Descuento comercial los 2 anteriores</t>
  </si>
  <si>
    <t>BEE370</t>
  </si>
  <si>
    <t>Servicio de consultoria BEE Consultoria &amp; Negocios, contrato BI-VSC-15479-2022-001 - Darwin Rodriguez - Servicio del 01 al 30 de Noviembre - Antonio Rafael Patety. Pedido de Compra:</t>
  </si>
  <si>
    <t>CUATO MIL CUATROSCIENTOS DIEZ Y SEIS DOLARES AMERICANOS CON 45/100</t>
  </si>
  <si>
    <t>Descuento comercial</t>
  </si>
  <si>
    <t>BEE388</t>
  </si>
  <si>
    <t>Servicio de consultoria BEE Consultoria &amp; Negocios, contrato BI-VSC-15479-2022-001 - Aneyda Diaz. - Servicio del  18 al 30 de Noviembre -  Antonio Rafael Patety. Pedido de Compra:</t>
  </si>
  <si>
    <t>DOS MIL TRESCIENTOS TREINTA Y TRES DOLARES CON 33/100</t>
  </si>
  <si>
    <t>BEE389</t>
  </si>
  <si>
    <t>Servicio de consultoria BEE Consultoria &amp; Negocios, contrato BI-VSC-15479-2022-001 - Ivonne Ordoñez. - Servicio del 18 al 30 de Noviembre Antonio Rafael Patety.  -  Pedido de Compra:</t>
  </si>
  <si>
    <t>BEE390</t>
  </si>
  <si>
    <t xml:space="preserve">Servicio de consultoria BEE Consultoria &amp; Negocios, contrato BI-VSC-15479-2022-001 - Hector Bermeo - 16 Horas Extras mes de Noviembre  - Luis Alberto Urrutia. Pedido de Compra: </t>
  </si>
  <si>
    <t>CUATROSCIENTOS NOVENTA Y SIETE DOLARES AMERICANOS CON 40/100</t>
  </si>
  <si>
    <t>BEE391</t>
  </si>
  <si>
    <t>Servicio de consultoria BEE Consultoria &amp; Negocios, contrato BI-VSC-15479-2022-001 - Hector Bermeo - Servicio del 01 al 30 de Noviembre - Luis Alberto Urrutia. Pedido de Compra: PCC-2024-06309</t>
  </si>
  <si>
    <t>BEE351 
para enviar el 1 de Diciembre</t>
  </si>
  <si>
    <t xml:space="preserve">Servicio de consultoria BEE Consultoria &amp; Negocios, contrato BI-VSC-15479-2022-001 - Jose Luis Acosta - Servicio del 01 al 31 de Diciembre  Luis Alberto Urrutia. Pedido de Compra: </t>
  </si>
  <si>
    <t>DIEZ Y SEIS MIL CUATROSCIENTOS NOVENTA Y DOS DOLARES AMERICANOS CON  59/100</t>
  </si>
  <si>
    <t xml:space="preserve">Servicio de consultoria BEE Consultoria &amp; Negocios, contrato BI-VSC-15479-2022-001 - Nelson Rodriguez - Servicio del 01 al 31 de Diciembre  - Luis Alberto Urrutia. Pedido de Compra: </t>
  </si>
  <si>
    <t xml:space="preserve">Servicio de consultoria BEE Consultoria &amp; Negocios, contrato BI-VSC-15479-2022-001 - Victor Medina - Servicio del 01 al 31 de Diciembre- Luis Alberto Urrutia. Pedido de Compra:  </t>
  </si>
  <si>
    <t>BEE354</t>
  </si>
  <si>
    <t xml:space="preserve">Servicio de consultoria BEE Consultoria &amp; Negocios, contrato BI-VSC-15479-2022-001 - Jennifer Pacheco Meza -Servicio del 01 al 31 de Diciembre - Fany Filomena Ballis. Pedido de Compra: </t>
  </si>
  <si>
    <t>BEE355</t>
  </si>
  <si>
    <t xml:space="preserve">Servicio de consultoria BEE Consultoria &amp; Negocios, contrato BI-VSC-15479-2022-001 - Jose Luis Torres  - Servicio del 01 al 31 de Diciembre  - Fany Filomena Ballis. Pedido de Compra:  </t>
  </si>
  <si>
    <t>BEE402</t>
  </si>
  <si>
    <t xml:space="preserve">Servicio de consultoria BEE Consultoria &amp; Negocios, contrato BI-VSC-15479-2022-001 - Nicolas Ortiz - Servicio del 01 al 31 de Diciembre -  Cindy Lisbeth Goff. Pedido de Compra:  </t>
  </si>
  <si>
    <t xml:space="preserve"> OCHO MIL QUINIENTOS TRECE DOLARES  AMERICANOS CON 91/100</t>
  </si>
  <si>
    <t xml:space="preserve">Servicio de consultoria BEE Consultoria &amp; Negocios, contrato BI-VSC-15479-2022-001 - Edwin Misael Ramirez - Servicio del 01 al 31 de Diciembre  - Cindy Lisbeth Goff. Pedido de Compra: </t>
  </si>
  <si>
    <t>BEE393</t>
  </si>
  <si>
    <t xml:space="preserve">Servicio de consultoria BEE Consultoria &amp; Negocios, contrato BI-VSC-15479-2022-001 - Fredy Herrera -  Servicio del 01 al 31 de Diciembre  - Jorge Ernesto Rodriguez Rodriguez. Pedido de Compra:   </t>
  </si>
  <si>
    <t>CINCO MIL CUATROSCIENTOS NOVENTA Y SIETE  DOLARES AMERICANOS CON 53/100</t>
  </si>
  <si>
    <t>BEE394</t>
  </si>
  <si>
    <t>Servicio de consultoria BEE Consultoria &amp; Negocios, contrato BI-VSC-15479-2022-001 - Fredy Herrera -  Servicio del 01 al 31 de Diciembre  - Edith Olaine Gonzalez Vergara. Pedido de Compra:</t>
  </si>
  <si>
    <t>BEE395</t>
  </si>
  <si>
    <t xml:space="preserve">Servicio de consultoria BEE Consultoria &amp; Negocios, contrato BI-VSC-15479-2022-001 - Laura Valentina Acosta - Servicio del 01 al 31 de Diciembre  - Luis Afranio Arauz Acosta, Pedido de Compra:  </t>
  </si>
  <si>
    <t>BEE396</t>
  </si>
  <si>
    <t xml:space="preserve">Servicio de consultoria BEE Consultoria &amp; Negocios, contrato BI-VSC-15479-2022-001 - Wbeimar Peña -Servicio del 01 al 31 de Diciembre - Luis Alberto Urrutia. Pedido de Compra: </t>
  </si>
  <si>
    <t xml:space="preserve">Servicio de consultoria BEE Consultoria &amp; Negocios, contrato BI-VSC-15479-2022-001 - John Sebastian Briceño - Servicio del 01 al 31 de Diciembre - Luis Alberto Urrutia. Pedido de Compra: </t>
  </si>
  <si>
    <t>BEE397</t>
  </si>
  <si>
    <t xml:space="preserve">Servicio de consultoria BEE Consultoria &amp; Negocios, contrato BI-VSC-15479-2022-001 - Victor Daniel Perez Diaz - Servicio del 01 al 31 de Diciembre - Cindy Lisbeth Goff. Pedido de Compra: </t>
  </si>
  <si>
    <t>BEE398</t>
  </si>
  <si>
    <t xml:space="preserve">Servicio de consultoria BEE Consultoria &amp; Negocios, contrato BI-VSC-15479-2022-001 - Juan Esteban Valencia - Servicio del 01 al 31 de Diciembre - Edith Olaine Gonzalez Vergara. Pedido de Compra: </t>
  </si>
  <si>
    <t>BEE399</t>
  </si>
  <si>
    <t xml:space="preserve">Servicio de consultoria BEE Consultoria &amp; Negocios, contrato BI-VSC-15479-2022-001 - Anyela Julieth Castillo - Servicio del 01 al 31 de Diciembre - Luis Afranio Arauz Acosta. Pedido de Compra: </t>
  </si>
  <si>
    <t>BEE375</t>
  </si>
  <si>
    <t xml:space="preserve">Servicio de consultoria BEE Consultoria &amp; Negocios, contrato BI-VSC-15479-2022-001 - Jonathan Alexander Mena - Servicio del 01 al 31 de Diciembre - Luis Afranio Arauz Acosta. Pedido de Compra: </t>
  </si>
  <si>
    <t>BEE400</t>
  </si>
  <si>
    <t xml:space="preserve">Servicio de consultoria BEE Consultoria &amp; Negocios, contrato BI-VSC-15479-2022-001 - Kevin Caicedo Alvarez - Servicio del 01 al 31 de Diciembre - Luis Afranio Arauz Acosta. Pedido de Compra: </t>
  </si>
  <si>
    <t>BEE373</t>
  </si>
  <si>
    <t xml:space="preserve">Servicio de consultoria BEE Consultoria &amp; Negocios, contrato BI-VSC-15479-2022-001 - Nicolas Jair Viana Castro - Servicio del 01 al 31 de Diciembre - Harold Alfonso Ballesteros Chanis. Pedido de Compra: </t>
  </si>
  <si>
    <t>BEE401</t>
  </si>
  <si>
    <t>Servicio de consultoria BEE Consultoria &amp; Negocios, contrato BI-VSC-15479-2022-001 - Hector Bermeo - Servicio del 01 al 31 de Diciembre - Luis Alberto Urrutia. Pedido de Compra:</t>
  </si>
  <si>
    <t>BEE348</t>
  </si>
  <si>
    <t xml:space="preserve">Servicio de consultoria BEE Consultoria &amp; Negocios, contrato BI-VSC-15479-2022-001 - Estefania Nicolalde -Servicio del 01 al 31 de Diciembre - Antonio Rafael Patety. </t>
  </si>
  <si>
    <t>OCHO MIL OCHOSCIENTOS TREINTA YDOS DOLARES AMERICANOS CON 90/100</t>
  </si>
  <si>
    <t xml:space="preserve">Servicio de consultoria BEE Consultoria &amp; Negocios, contrato BI-VSC-15479-2022-001 - Carlos Diaz - Servicio del 01 al 31 de Diciembre - Antonio Rafael Patety. </t>
  </si>
  <si>
    <t>BEE371</t>
  </si>
  <si>
    <t>Servicio de consultoria BEE Consultoria &amp; Negocios, contrato BI-VSC-15479-2022-001 - Darwin Rodriguez - Servicio del 01 al 31 de Diciembre - Antonio Rafael Patety. Pedido de Compra:</t>
  </si>
  <si>
    <t>CUATRO MIL NOVESCIENTOS DOLAREAS AMERICANOS CON 00/100</t>
  </si>
  <si>
    <t>BEE403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</si>
</sst>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20"/>
      <color rgb="FFffffff"/>
      <name val="Calibri"/>
      <family val="2"/>
    </font>
    <font>
      <sz val="9"/>
      <color rgb="FFffffff"/>
      <name val="Calibri"/>
      <family val="2"/>
    </font>
    <font>
      <b/>
      <sz val="12"/>
      <color rgb="FF000000"/>
      <name val="Calibri"/>
      <family val="2"/>
    </font>
    <font>
      <sz val="18"/>
      <color rgb="FFffffff"/>
      <name val="Calibri"/>
      <family val="2"/>
    </font>
    <font>
      <sz val="10"/>
      <color rgb="FF000000"/>
      <name val="Calibri"/>
      <family val="2"/>
    </font>
    <font>
      <sz val="11"/>
      <color rgb="FF242424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d0cece"/>
      </patternFill>
    </fill>
    <fill>
      <patternFill patternType="solid">
        <fgColor rgb="FF4472c4"/>
      </patternFill>
    </fill>
    <fill>
      <patternFill patternType="solid">
        <fgColor rgb="FFdae3f3"/>
      </patternFill>
    </fill>
    <fill>
      <patternFill patternType="solid">
        <fgColor rgb="FFf4b183"/>
      </patternFill>
    </fill>
    <fill>
      <patternFill patternType="solid">
        <fgColor rgb="FFffff00"/>
      </patternFill>
    </fill>
    <fill>
      <patternFill patternType="solid">
        <fgColor rgb="FFc5e0b4"/>
      </patternFill>
    </fill>
    <fill>
      <patternFill patternType="solid">
        <fgColor rgb="FFfbe5d6"/>
      </patternFill>
    </fill>
    <fill>
      <patternFill patternType="solid">
        <fgColor rgb="FFdeebf7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97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4" applyBorder="1" fontId="1" applyFont="1" fillId="0" applyAlignment="1">
      <alignment horizontal="center"/>
    </xf>
    <xf xfId="0" numFmtId="0" borderId="5" applyBorder="1" fontId="1" applyFont="1" fillId="0" applyAlignment="1">
      <alignment horizontal="center"/>
    </xf>
    <xf xfId="0" numFmtId="0" borderId="4" applyBorder="1" fontId="2" applyFont="1" fillId="0" applyAlignment="1">
      <alignment horizontal="left" wrapText="1"/>
    </xf>
    <xf xfId="0" numFmtId="0" borderId="6" applyBorder="1" fontId="2" applyFont="1" fillId="2" applyFill="1" applyAlignment="1">
      <alignment horizontal="left"/>
    </xf>
    <xf xfId="0" numFmtId="0" borderId="4" applyBorder="1" fontId="3" applyFont="1" fillId="0" applyAlignment="1">
      <alignment horizontal="left"/>
    </xf>
    <xf xfId="0" numFmtId="0" borderId="4" applyBorder="1" fontId="3" applyFont="1" fillId="2" applyFill="1" applyAlignment="1">
      <alignment horizontal="left"/>
    </xf>
    <xf xfId="0" numFmtId="0" borderId="7" applyBorder="1" fontId="2" applyFont="1" fillId="0" applyAlignment="1">
      <alignment horizontal="left"/>
    </xf>
    <xf xfId="0" numFmtId="0" borderId="8" applyBorder="1" fontId="2" applyFont="1" fillId="2" applyFill="1" applyAlignment="1">
      <alignment horizontal="left"/>
    </xf>
    <xf xfId="0" numFmtId="0" borderId="4" applyBorder="1" fontId="2" applyFont="1" fillId="0" applyAlignment="1">
      <alignment horizontal="left"/>
    </xf>
    <xf xfId="0" numFmtId="0" borderId="9" applyBorder="1" fontId="2" applyFont="1" fillId="2" applyFill="1" applyAlignment="1">
      <alignment horizontal="left"/>
    </xf>
    <xf xfId="0" numFmtId="0" borderId="6" applyBorder="1" fontId="2" applyFont="1" fillId="3" applyFill="1" applyAlignment="1">
      <alignment horizontal="left"/>
    </xf>
    <xf xfId="0" numFmtId="0" borderId="4" applyBorder="1" fontId="3" applyFont="1" fillId="0" applyAlignment="1">
      <alignment horizontal="left" wrapText="1"/>
    </xf>
    <xf xfId="0" numFmtId="0" borderId="5" applyBorder="1" fontId="3" applyFont="1" fillId="0" applyAlignment="1">
      <alignment horizontal="left" wrapText="1"/>
    </xf>
    <xf xfId="0" numFmtId="0" borderId="5" applyBorder="1" fontId="2" applyFont="1" fillId="0" applyAlignment="1">
      <alignment horizontal="left"/>
    </xf>
    <xf xfId="0" numFmtId="0" borderId="6" applyBorder="1" fontId="2" applyFont="1" fillId="4" applyFill="1" applyAlignment="1">
      <alignment horizontal="left"/>
    </xf>
    <xf xfId="0" numFmtId="0" borderId="5" applyBorder="1" fontId="3" applyFont="1" fillId="0" applyAlignment="1">
      <alignment horizontal="left"/>
    </xf>
    <xf xfId="0" numFmtId="0" borderId="4" applyBorder="1" fontId="3" applyFont="1" fillId="5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3" applyBorder="1" fontId="3" applyFont="1" fillId="0" applyAlignment="1">
      <alignment horizontal="center"/>
    </xf>
    <xf xfId="0" numFmtId="7" applyNumberFormat="1" borderId="0" fontId="0" fillId="0" applyAlignment="1">
      <alignment horizontal="right"/>
    </xf>
    <xf xfId="0" numFmtId="7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0" applyBorder="1" fontId="4" applyFont="1" fillId="6" applyFill="1" applyAlignment="1">
      <alignment horizontal="center"/>
    </xf>
    <xf xfId="0" numFmtId="7" applyNumberFormat="1" borderId="10" applyBorder="1" fontId="4" applyFont="1" fillId="6" applyFill="1" applyAlignment="1">
      <alignment horizontal="center"/>
    </xf>
    <xf xfId="0" numFmtId="3" applyNumberFormat="1" borderId="10" applyBorder="1" fontId="4" applyFont="1" fillId="6" applyFill="1" applyAlignment="1">
      <alignment horizontal="center"/>
    </xf>
    <xf xfId="0" numFmtId="7" applyNumberFormat="1" borderId="10" applyBorder="1" fontId="4" applyFont="1" fillId="6" applyFill="1" applyAlignment="1">
      <alignment horizontal="left"/>
    </xf>
    <xf xfId="0" numFmtId="0" borderId="4" applyBorder="1" fontId="3" applyFont="1" fillId="7" applyFill="1" applyAlignment="1">
      <alignment horizontal="center"/>
    </xf>
    <xf xfId="0" numFmtId="0" borderId="4" applyBorder="1" fontId="5" applyFont="1" fillId="7" applyFill="1" applyAlignment="1">
      <alignment horizontal="center"/>
    </xf>
    <xf xfId="0" numFmtId="0" borderId="4" applyBorder="1" fontId="5" applyFont="1" fillId="7" applyFill="1" applyAlignment="1">
      <alignment horizontal="left" wrapText="1"/>
    </xf>
    <xf xfId="0" numFmtId="7" applyNumberFormat="1" borderId="4" applyBorder="1" fontId="5" applyFont="1" fillId="7" applyFill="1" applyAlignment="1">
      <alignment horizontal="center"/>
    </xf>
    <xf xfId="0" numFmtId="7" applyNumberFormat="1" borderId="4" applyBorder="1" fontId="5" applyFont="1" fillId="7" applyFill="1" applyAlignment="1">
      <alignment horizontal="right"/>
    </xf>
    <xf xfId="0" numFmtId="0" borderId="4" applyBorder="1" fontId="3" applyFont="1" fillId="7" applyFill="1" applyAlignment="1">
      <alignment horizontal="justify"/>
    </xf>
    <xf xfId="0" numFmtId="7" applyNumberFormat="1" borderId="4" applyBorder="1" fontId="3" applyFont="1" fillId="7" applyFill="1" applyAlignment="1">
      <alignment horizontal="right"/>
    </xf>
    <xf xfId="0" numFmtId="4" applyNumberFormat="1" borderId="4" applyBorder="1" fontId="3" applyFont="1" fillId="7" applyFill="1" applyAlignment="1">
      <alignment horizontal="center"/>
    </xf>
    <xf xfId="0" numFmtId="7" applyNumberFormat="1" borderId="4" applyBorder="1" fontId="3" applyFont="1" fillId="7" applyFill="1" applyAlignment="1">
      <alignment horizontal="center"/>
    </xf>
    <xf xfId="0" numFmtId="7" applyNumberFormat="1" borderId="4" applyBorder="1" fontId="3" applyFont="1" fillId="0" applyAlignment="1">
      <alignment horizontal="right"/>
    </xf>
    <xf xfId="0" numFmtId="0" borderId="4" applyBorder="1" fontId="3" applyFont="1" fillId="0" applyAlignment="1">
      <alignment horizontal="justify"/>
    </xf>
    <xf xfId="0" numFmtId="7" applyNumberFormat="1" borderId="3" applyBorder="1" fontId="3" applyFont="1" fillId="0" applyAlignment="1">
      <alignment horizontal="right"/>
    </xf>
    <xf xfId="0" numFmtId="3" applyNumberFormat="1" borderId="4" applyBorder="1" fontId="3" applyFont="1" fillId="7" applyFill="1" applyAlignment="1">
      <alignment horizontal="center"/>
    </xf>
    <xf xfId="0" numFmtId="0" borderId="4" applyBorder="1" fontId="3" applyFont="1" fillId="8" applyFill="1" applyAlignment="1">
      <alignment horizontal="center"/>
    </xf>
    <xf xfId="0" numFmtId="0" borderId="4" applyBorder="1" fontId="5" applyFont="1" fillId="8" applyFill="1" applyAlignment="1">
      <alignment horizontal="center"/>
    </xf>
    <xf xfId="0" numFmtId="0" borderId="4" applyBorder="1" fontId="5" applyFont="1" fillId="8" applyFill="1" applyAlignment="1">
      <alignment horizontal="left" wrapText="1"/>
    </xf>
    <xf xfId="0" numFmtId="7" applyNumberFormat="1" borderId="4" applyBorder="1" fontId="3" applyFont="1" fillId="8" applyFill="1" applyAlignment="1">
      <alignment horizontal="center"/>
    </xf>
    <xf xfId="0" numFmtId="7" applyNumberFormat="1" borderId="4" applyBorder="1" fontId="5" applyFont="1" fillId="8" applyFill="1" applyAlignment="1">
      <alignment horizontal="right"/>
    </xf>
    <xf xfId="0" numFmtId="0" borderId="4" applyBorder="1" fontId="3" applyFont="1" fillId="8" applyFill="1" applyAlignment="1">
      <alignment horizontal="justify"/>
    </xf>
    <xf xfId="0" numFmtId="7" applyNumberFormat="1" borderId="4" applyBorder="1" fontId="3" applyFont="1" fillId="8" applyFill="1" applyAlignment="1">
      <alignment horizontal="right"/>
    </xf>
    <xf xfId="0" numFmtId="3" applyNumberFormat="1" borderId="4" applyBorder="1" fontId="3" applyFont="1" fillId="8" applyFill="1" applyAlignment="1">
      <alignment horizontal="center"/>
    </xf>
    <xf xfId="0" numFmtId="0" borderId="3" applyBorder="1" fontId="5" applyFont="1" fillId="0" applyAlignment="1">
      <alignment horizontal="center"/>
    </xf>
    <xf xfId="0" numFmtId="0" borderId="3" applyBorder="1" fontId="5" applyFont="1" fillId="0" applyAlignment="1">
      <alignment horizontal="left" wrapText="1"/>
    </xf>
    <xf xfId="0" numFmtId="7" applyNumberFormat="1" borderId="3" applyBorder="1" fontId="5" applyFont="1" fillId="0" applyAlignment="1">
      <alignment horizontal="center"/>
    </xf>
    <xf xfId="0" numFmtId="7" applyNumberFormat="1" borderId="3" applyBorder="1" fontId="5" applyFont="1" fillId="0" applyAlignment="1">
      <alignment horizontal="right"/>
    </xf>
    <xf xfId="0" numFmtId="0" borderId="3" applyBorder="1" fontId="3" applyFont="1" fillId="0" applyAlignment="1">
      <alignment horizontal="justify"/>
    </xf>
    <xf xfId="0" numFmtId="3" applyNumberFormat="1" borderId="3" applyBorder="1" fontId="3" applyFont="1" fillId="0" applyAlignment="1">
      <alignment horizontal="center"/>
    </xf>
    <xf xfId="0" numFmtId="7" applyNumberFormat="1" borderId="3" applyBorder="1" fontId="3" applyFont="1" fillId="0" applyAlignment="1">
      <alignment horizontal="center"/>
    </xf>
    <xf xfId="0" numFmtId="0" borderId="3" applyBorder="1" fontId="6" applyFont="1" fillId="0" applyAlignment="1">
      <alignment horizontal="center"/>
    </xf>
    <xf xfId="0" numFmtId="0" borderId="10" applyBorder="1" fontId="7" applyFont="1" fillId="6" applyFill="1" applyAlignment="1">
      <alignment horizontal="left"/>
    </xf>
    <xf xfId="0" numFmtId="7" applyNumberFormat="1" borderId="10" applyBorder="1" fontId="8" applyFont="1" fillId="6" applyFill="1" applyAlignment="1">
      <alignment horizontal="left"/>
    </xf>
    <xf xfId="0" numFmtId="7" applyNumberFormat="1" borderId="10" applyBorder="1" fontId="7" applyFont="1" fillId="6" applyFill="1" applyAlignment="1">
      <alignment horizontal="right"/>
    </xf>
    <xf xfId="0" numFmtId="3" applyNumberFormat="1" borderId="10" applyBorder="1" fontId="7" applyFont="1" fillId="6" applyFill="1" applyAlignment="1">
      <alignment horizontal="right"/>
    </xf>
    <xf xfId="0" numFmtId="0" borderId="3" applyBorder="1" fontId="9" applyFont="1" fillId="0" applyAlignment="1">
      <alignment horizontal="left"/>
    </xf>
    <xf xfId="0" numFmtId="7" applyNumberFormat="1" borderId="0" fontId="0" fillId="0" applyAlignment="1">
      <alignment horizontal="right"/>
    </xf>
    <xf xfId="0" numFmtId="7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0" applyBorder="1" fontId="10" applyFont="1" fillId="6" applyFill="1" applyAlignment="1">
      <alignment horizontal="center"/>
    </xf>
    <xf xfId="0" numFmtId="7" applyNumberFormat="1" borderId="10" applyBorder="1" fontId="10" applyFont="1" fillId="6" applyFill="1" applyAlignment="1">
      <alignment horizontal="center"/>
    </xf>
    <xf xfId="0" numFmtId="0" borderId="4" applyBorder="1" fontId="3" applyFont="1" fillId="0" applyAlignment="1">
      <alignment horizontal="center"/>
    </xf>
    <xf xfId="0" numFmtId="7" applyNumberFormat="1" borderId="4" applyBorder="1" fontId="3" applyFont="1" fillId="9" applyFill="1" applyAlignment="1">
      <alignment horizontal="right"/>
    </xf>
    <xf xfId="0" numFmtId="7" applyNumberFormat="1" borderId="4" applyBorder="1" fontId="3" applyFont="1" fillId="0" applyAlignment="1">
      <alignment horizontal="left"/>
    </xf>
    <xf xfId="0" numFmtId="0" borderId="11" applyBorder="1" fontId="3" applyFont="1" fillId="0" applyAlignment="1">
      <alignment horizontal="center" vertical="top"/>
    </xf>
    <xf xfId="0" numFmtId="0" borderId="5" applyBorder="1" fontId="3" applyFont="1" fillId="0" applyAlignment="1">
      <alignment horizontal="left" vertical="top"/>
    </xf>
    <xf xfId="0" numFmtId="0" borderId="5" applyBorder="1" fontId="3" applyFont="1" fillId="0" applyAlignment="1">
      <alignment horizontal="center" vertical="top"/>
    </xf>
    <xf xfId="0" numFmtId="7" applyNumberFormat="1" borderId="5" applyBorder="1" fontId="3" applyFont="1" fillId="0" applyAlignment="1">
      <alignment horizontal="center" vertical="top"/>
    </xf>
    <xf xfId="0" numFmtId="0" borderId="11" applyBorder="1" fontId="3" applyFont="1" fillId="0" applyAlignment="1">
      <alignment horizontal="center"/>
    </xf>
    <xf xfId="0" numFmtId="0" borderId="7" applyBorder="1" fontId="3" applyFont="1" fillId="0" applyAlignment="1">
      <alignment horizontal="left"/>
    </xf>
    <xf xfId="0" numFmtId="0" borderId="7" applyBorder="1" fontId="3" applyFont="1" fillId="0" applyAlignment="1">
      <alignment horizontal="center"/>
    </xf>
    <xf xfId="0" numFmtId="7" applyNumberFormat="1" borderId="7" applyBorder="1" fontId="3" applyFont="1" fillId="0" applyAlignment="1">
      <alignment horizontal="center"/>
    </xf>
    <xf xfId="0" numFmtId="0" borderId="5" applyBorder="1" fontId="11" applyFont="1" fillId="0" applyAlignment="1">
      <alignment horizontal="left" vertical="top"/>
    </xf>
    <xf xfId="0" numFmtId="4" applyNumberFormat="1" borderId="12" applyBorder="1" fontId="11" applyFont="1" fillId="0" applyAlignment="1">
      <alignment horizontal="left"/>
    </xf>
    <xf xfId="0" numFmtId="0" borderId="12" applyBorder="1" fontId="3" applyFont="1" fillId="0" applyAlignment="1">
      <alignment horizontal="center"/>
    </xf>
    <xf xfId="0" numFmtId="7" applyNumberFormat="1" borderId="12" applyBorder="1" fontId="3" applyFont="1" fillId="0" applyAlignment="1">
      <alignment horizontal="center"/>
    </xf>
    <xf xfId="0" numFmtId="0" borderId="12" applyBorder="1" fontId="3" applyFont="1" fillId="0" applyAlignment="1">
      <alignment horizontal="left"/>
    </xf>
    <xf xfId="0" numFmtId="4" applyNumberFormat="1" borderId="7" applyBorder="1" fontId="11" applyFont="1" fillId="0" applyAlignment="1">
      <alignment horizontal="left"/>
    </xf>
    <xf xfId="0" numFmtId="0" borderId="10" applyBorder="1" fontId="7" applyFont="1" fillId="6" applyFill="1" applyAlignment="1">
      <alignment horizontal="justify"/>
    </xf>
    <xf xfId="0" numFmtId="7" applyNumberFormat="1" borderId="4" applyBorder="1" fontId="3" applyFont="1" fillId="2" applyFill="1" applyAlignment="1">
      <alignment horizontal="right"/>
    </xf>
    <xf xfId="0" numFmtId="0" borderId="13" applyBorder="1" fontId="3" applyFont="1" fillId="2" applyFill="1" applyAlignment="1">
      <alignment horizontal="left" vertical="top"/>
    </xf>
    <xf xfId="0" numFmtId="0" borderId="14" applyBorder="1" fontId="3" applyFont="1" fillId="2" applyFill="1" applyAlignment="1">
      <alignment horizontal="left"/>
    </xf>
    <xf xfId="0" numFmtId="0" borderId="5" applyBorder="1" fontId="11" applyFont="1" fillId="0" applyAlignment="1">
      <alignment horizontal="center" vertical="top"/>
    </xf>
    <xf xfId="0" numFmtId="4" applyNumberFormat="1" borderId="12" applyBorder="1" fontId="11" applyFont="1" fillId="0" applyAlignment="1">
      <alignment horizontal="center"/>
    </xf>
    <xf xfId="0" numFmtId="4" applyNumberFormat="1" borderId="7" applyBorder="1" fontId="11" applyFont="1" fillId="0" applyAlignment="1">
      <alignment horizontal="center"/>
    </xf>
    <xf xfId="0" numFmtId="0" borderId="4" applyBorder="1" fontId="3" applyFont="1" fillId="10" applyFill="1" applyAlignment="1">
      <alignment horizontal="left"/>
    </xf>
    <xf xfId="0" numFmtId="7" applyNumberFormat="1" borderId="4" applyBorder="1" fontId="3" applyFont="1" fillId="4" applyFill="1" applyAlignment="1">
      <alignment horizontal="right"/>
    </xf>
    <xf xfId="0" numFmtId="0" borderId="5" applyBorder="1" fontId="3" applyFont="1" fillId="0" applyAlignment="1">
      <alignment horizontal="center"/>
    </xf>
    <xf xfId="0" numFmtId="0" borderId="13" applyBorder="1" fontId="3" applyFont="1" fillId="10" applyFill="1" applyAlignment="1">
      <alignment horizontal="left"/>
    </xf>
    <xf xfId="0" numFmtId="7" applyNumberFormat="1" borderId="5" applyBorder="1" fontId="3" applyFont="1" fillId="0" applyAlignment="1">
      <alignment horizontal="center"/>
    </xf>
    <xf xfId="0" numFmtId="0" borderId="4" applyBorder="1" fontId="3" applyFont="1" fillId="9" applyFill="1" applyAlignment="1">
      <alignment horizontal="justify"/>
    </xf>
    <xf xfId="0" numFmtId="0" borderId="10" applyBorder="1" fontId="3" applyFont="1" fillId="2" applyFill="1" applyAlignment="1">
      <alignment horizontal="center"/>
    </xf>
    <xf xfId="0" numFmtId="0" borderId="15" applyBorder="1" fontId="3" applyFont="1" fillId="2" applyFill="1" applyAlignment="1">
      <alignment horizontal="center"/>
    </xf>
    <xf xfId="0" numFmtId="4" applyNumberFormat="1" borderId="3" applyBorder="1" fontId="3" applyFont="1" fillId="0" applyAlignment="1">
      <alignment horizontal="right"/>
    </xf>
    <xf xfId="0" numFmtId="0" borderId="4" applyBorder="1" fontId="3" applyFont="1" fillId="2" applyFill="1" applyAlignment="1">
      <alignment horizontal="center"/>
    </xf>
    <xf xfId="0" numFmtId="0" borderId="13" applyBorder="1" fontId="3" applyFont="1" fillId="9" applyFill="1" applyAlignment="1">
      <alignment horizontal="center" vertical="top"/>
    </xf>
    <xf xfId="0" numFmtId="164" applyNumberFormat="1" borderId="4" applyBorder="1" fontId="3" applyFont="1" fillId="0" applyAlignment="1">
      <alignment horizontal="right"/>
    </xf>
    <xf xfId="0" numFmtId="7" applyNumberFormat="1" borderId="4" applyBorder="1" fontId="3" applyFont="1" fillId="11" applyFill="1" applyAlignment="1">
      <alignment horizontal="right"/>
    </xf>
    <xf xfId="0" numFmtId="0" borderId="14" applyBorder="1" fontId="3" applyFont="1" fillId="9" applyFill="1" applyAlignment="1">
      <alignment horizontal="center"/>
    </xf>
    <xf xfId="0" numFmtId="0" borderId="4" applyBorder="1" fontId="3" applyFont="1" fillId="9" applyFill="1" applyAlignment="1">
      <alignment horizontal="center"/>
    </xf>
    <xf xfId="0" numFmtId="0" borderId="4" applyBorder="1" fontId="3" applyFont="1" fillId="11" applyFill="1" applyAlignment="1">
      <alignment horizontal="center"/>
    </xf>
    <xf xfId="0" numFmtId="7" applyNumberFormat="1" borderId="4" applyBorder="1" fontId="3" applyFont="1" fillId="0" applyAlignment="1">
      <alignment horizontal="center"/>
    </xf>
    <xf xfId="0" numFmtId="0" borderId="13" applyBorder="1" fontId="3" applyFont="1" fillId="9" applyFill="1" applyAlignment="1">
      <alignment horizontal="center"/>
    </xf>
    <xf xfId="0" numFmtId="0" borderId="13" applyBorder="1" fontId="11" applyFont="1" fillId="9" applyFill="1" applyAlignment="1">
      <alignment horizontal="center" vertical="top"/>
    </xf>
    <xf xfId="0" numFmtId="4" applyNumberFormat="1" borderId="16" applyBorder="1" fontId="11" applyFont="1" fillId="9" applyFill="1" applyAlignment="1">
      <alignment horizontal="center"/>
    </xf>
    <xf xfId="0" numFmtId="0" borderId="3" applyBorder="1" fontId="3" applyFont="1" fillId="0" applyAlignment="1">
      <alignment horizontal="left"/>
    </xf>
    <xf xfId="0" numFmtId="0" borderId="13" applyBorder="1" fontId="3" applyFont="1" fillId="2" applyFill="1" applyAlignment="1">
      <alignment horizontal="left"/>
    </xf>
    <xf xfId="0" numFmtId="164" applyNumberFormat="1" borderId="3" applyBorder="1" fontId="3" applyFont="1" fillId="0" applyAlignment="1">
      <alignment horizontal="right"/>
    </xf>
    <xf xfId="0" numFmtId="0" borderId="13" applyBorder="1" fontId="3" applyFont="1" fillId="4" applyFill="1" applyAlignment="1">
      <alignment horizontal="center" vertical="top"/>
    </xf>
    <xf xfId="0" numFmtId="7" applyNumberFormat="1" borderId="14" applyBorder="1" fontId="3" applyFont="1" fillId="4" applyFill="1" applyAlignment="1">
      <alignment horizontal="center"/>
    </xf>
    <xf xfId="0" numFmtId="0" borderId="4" applyBorder="1" fontId="3" applyFont="1" fillId="11" applyFill="1" applyAlignment="1">
      <alignment horizontal="left"/>
    </xf>
    <xf xfId="0" numFmtId="7" applyNumberFormat="1" borderId="4" applyBorder="1" fontId="3" applyFont="1" fillId="12" applyFill="1" applyAlignment="1">
      <alignment horizontal="right"/>
    </xf>
    <xf xfId="0" numFmtId="0" borderId="13" applyBorder="1" fontId="3" applyFont="1" fillId="11" applyFill="1" applyAlignment="1">
      <alignment horizontal="left"/>
    </xf>
    <xf xfId="0" numFmtId="0" borderId="13" applyBorder="1" fontId="3" applyFont="1" fillId="13" applyFill="1" applyAlignment="1">
      <alignment horizontal="center" vertical="top" wrapText="1"/>
    </xf>
    <xf xfId="0" numFmtId="7" applyNumberFormat="1" borderId="16" applyBorder="1" fontId="3" applyFont="1" fillId="13" applyFill="1" applyAlignment="1">
      <alignment horizontal="center"/>
    </xf>
    <xf xfId="0" numFmtId="7" applyNumberFormat="1" borderId="14" applyBorder="1" fontId="3" applyFont="1" fillId="13" applyFill="1" applyAlignment="1">
      <alignment horizontal="center"/>
    </xf>
    <xf xfId="0" numFmtId="0" borderId="13" applyBorder="1" fontId="3" applyFont="1" fillId="13" applyFill="1" applyAlignment="1">
      <alignment horizontal="center" vertical="top"/>
    </xf>
    <xf xfId="0" numFmtId="0" borderId="14" applyBorder="1" fontId="3" applyFont="1" fillId="13" applyFill="1" applyAlignment="1">
      <alignment horizontal="center"/>
    </xf>
    <xf xfId="0" numFmtId="0" borderId="13" applyBorder="1" fontId="3" applyFont="1" fillId="13" applyFill="1" applyAlignment="1">
      <alignment horizontal="center"/>
    </xf>
    <xf xfId="0" numFmtId="7" applyNumberFormat="1" borderId="4" applyBorder="1" fontId="3" applyFont="1" fillId="14" applyFill="1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6" applyBorder="1" fontId="3" applyFont="1" fillId="15" applyFill="1" applyAlignment="1">
      <alignment horizontal="center"/>
    </xf>
    <xf xfId="0" numFmtId="4" applyNumberFormat="1" borderId="4" applyBorder="1" fontId="3" applyFont="1" fillId="15" applyFill="1" applyAlignment="1">
      <alignment horizontal="center"/>
    </xf>
    <xf xfId="0" numFmtId="4" applyNumberFormat="1" borderId="10" applyBorder="1" fontId="3" applyFont="1" fillId="15" applyFill="1" applyAlignment="1">
      <alignment horizontal="center"/>
    </xf>
    <xf xfId="0" numFmtId="3" applyNumberFormat="1" borderId="10" applyBorder="1" fontId="4" applyFont="1" fillId="6" applyFill="1" applyAlignment="1">
      <alignment horizontal="left"/>
    </xf>
    <xf xfId="0" numFmtId="0" borderId="13" applyBorder="1" fontId="12" applyFont="1" fillId="16" applyFill="1" applyAlignment="1">
      <alignment horizontal="center" vertical="top"/>
    </xf>
    <xf xfId="0" numFmtId="0" borderId="13" applyBorder="1" fontId="3" applyFont="1" fillId="14" applyFill="1" applyAlignment="1">
      <alignment horizontal="center" vertical="top"/>
    </xf>
    <xf xfId="0" numFmtId="0" borderId="4" applyBorder="1" fontId="3" applyFont="1" fillId="13" applyFill="1" applyAlignment="1">
      <alignment horizontal="justify"/>
    </xf>
    <xf xfId="0" numFmtId="7" applyNumberFormat="1" borderId="4" applyBorder="1" fontId="3" applyFont="1" fillId="12" applyFill="1" applyAlignment="1">
      <alignment horizontal="left"/>
    </xf>
    <xf xfId="0" numFmtId="7" applyNumberFormat="1" borderId="16" applyBorder="1" fontId="12" applyFont="1" fillId="16" applyFill="1" applyAlignment="1">
      <alignment horizontal="center"/>
    </xf>
    <xf xfId="0" numFmtId="0" borderId="16" applyBorder="1" fontId="3" applyFont="1" fillId="14" applyFill="1" applyAlignment="1">
      <alignment horizontal="center"/>
    </xf>
    <xf xfId="0" numFmtId="7" applyNumberFormat="1" borderId="14" applyBorder="1" fontId="12" applyFont="1" fillId="16" applyFill="1" applyAlignment="1">
      <alignment horizontal="center"/>
    </xf>
    <xf xfId="0" numFmtId="0" borderId="14" applyBorder="1" fontId="3" applyFont="1" fillId="14" applyFill="1" applyAlignment="1">
      <alignment horizontal="center"/>
    </xf>
    <xf xfId="0" numFmtId="0" borderId="16" applyBorder="1" fontId="12" applyFont="1" fillId="6" applyFill="1" applyAlignment="1">
      <alignment horizontal="center"/>
    </xf>
    <xf xfId="0" numFmtId="0" borderId="17" applyBorder="1" fontId="3" applyFont="1" fillId="11" applyFill="1" applyAlignment="1">
      <alignment horizontal="left"/>
    </xf>
    <xf xfId="0" numFmtId="7" applyNumberFormat="1" borderId="6" applyBorder="1" fontId="3" applyFont="1" fillId="6" applyFill="1" applyAlignment="1">
      <alignment horizontal="right"/>
    </xf>
    <xf xfId="0" numFmtId="7" applyNumberFormat="1" borderId="4" applyBorder="1" fontId="3" applyFont="1" fillId="14" applyFill="1" applyAlignment="1">
      <alignment horizontal="center"/>
    </xf>
    <xf xfId="0" numFmtId="7" applyNumberFormat="1" borderId="2" applyBorder="1" fontId="3" applyFont="1" fillId="0" applyAlignment="1">
      <alignment horizontal="right"/>
    </xf>
    <xf xfId="0" numFmtId="0" borderId="14" applyBorder="1" fontId="12" applyFont="1" fillId="6" applyFill="1" applyAlignment="1">
      <alignment horizontal="center"/>
    </xf>
    <xf xfId="0" numFmtId="0" borderId="13" applyBorder="1" fontId="12" applyFont="1" fillId="6" applyFill="1" applyAlignment="1">
      <alignment horizontal="center"/>
    </xf>
    <xf xfId="0" numFmtId="7" applyNumberFormat="1" borderId="4" applyBorder="1" fontId="3" applyFont="1" fillId="6" applyFill="1" applyAlignment="1">
      <alignment horizontal="right"/>
    </xf>
    <xf xfId="0" numFmtId="7" applyNumberFormat="1" borderId="16" applyBorder="1" fontId="3" applyFont="1" fillId="14" applyFill="1" applyAlignment="1">
      <alignment horizontal="center"/>
    </xf>
    <xf xfId="0" numFmtId="0" borderId="4" applyBorder="1" fontId="3" applyFont="1" fillId="14" applyFill="1" applyAlignment="1">
      <alignment horizontal="center"/>
    </xf>
    <xf xfId="0" numFmtId="0" borderId="17" applyBorder="1" fontId="3" applyFont="1" fillId="11" applyFill="1" applyAlignment="1">
      <alignment horizontal="left" wrapText="1"/>
    </xf>
    <xf xfId="0" numFmtId="7" applyNumberFormat="1" borderId="4" applyBorder="1" fontId="3" applyFont="1" fillId="3" applyFill="1" applyAlignment="1">
      <alignment horizontal="right"/>
    </xf>
    <xf xfId="0" numFmtId="0" borderId="18" applyBorder="1" fontId="3" applyFont="1" fillId="11" applyFill="1" applyAlignment="1">
      <alignment horizontal="left" wrapText="1"/>
    </xf>
    <xf xfId="0" numFmtId="7" applyNumberFormat="1" borderId="5" applyBorder="1" fontId="3" applyFont="1" fillId="0" applyAlignment="1">
      <alignment horizontal="right"/>
    </xf>
    <xf xfId="0" numFmtId="0" borderId="16" applyBorder="1" fontId="3" applyFont="1" fillId="6" applyFill="1" applyAlignment="1">
      <alignment horizontal="center" vertical="top"/>
    </xf>
    <xf xfId="0" numFmtId="3" applyNumberFormat="1" borderId="6" applyBorder="1" fontId="3" applyFont="1" fillId="15" applyFill="1" applyAlignment="1">
      <alignment horizontal="left"/>
    </xf>
    <xf xfId="0" numFmtId="7" applyNumberFormat="1" borderId="16" applyBorder="1" fontId="3" applyFont="1" fillId="6" applyFill="1" applyAlignment="1">
      <alignment horizontal="center"/>
    </xf>
    <xf xfId="0" numFmtId="7" applyNumberFormat="1" borderId="14" applyBorder="1" fontId="3" applyFont="1" fillId="6" applyFill="1" applyAlignment="1">
      <alignment horizontal="center"/>
    </xf>
    <xf xfId="0" numFmtId="0" borderId="14" applyBorder="1" fontId="3" applyFont="1" fillId="6" applyFill="1" applyAlignment="1">
      <alignment horizontal="center"/>
    </xf>
    <xf xfId="0" numFmtId="0" borderId="4" applyBorder="1" fontId="5" applyFont="1" fillId="0" applyAlignment="1">
      <alignment horizontal="left" wrapText="1"/>
    </xf>
    <xf xfId="0" numFmtId="0" borderId="13" applyBorder="1" fontId="3" applyFont="1" fillId="6" applyFill="1" applyAlignment="1">
      <alignment horizontal="center" vertical="top"/>
    </xf>
    <xf xfId="0" numFmtId="0" borderId="13" applyBorder="1" fontId="3" applyFont="1" fillId="6" applyFill="1" applyAlignment="1">
      <alignment horizontal="center"/>
    </xf>
    <xf xfId="0" numFmtId="0" borderId="13" applyBorder="1" fontId="3" applyFont="1" fillId="11" applyFill="1" applyAlignment="1">
      <alignment horizontal="center" vertical="top"/>
    </xf>
    <xf xfId="0" numFmtId="0" borderId="16" applyBorder="1" fontId="3" applyFont="1" fillId="11" applyFill="1" applyAlignment="1">
      <alignment horizontal="center"/>
    </xf>
    <xf xfId="0" numFmtId="0" borderId="14" applyBorder="1" fontId="3" applyFont="1" fillId="11" applyFill="1" applyAlignment="1">
      <alignment horizontal="center"/>
    </xf>
    <xf xfId="0" numFmtId="0" borderId="4" applyBorder="1" fontId="5" applyFont="1" fillId="13" applyFill="1" applyAlignment="1">
      <alignment horizontal="justify"/>
    </xf>
    <xf xfId="0" numFmtId="3" applyNumberFormat="1" borderId="4" applyBorder="1" fontId="3" applyFont="1" fillId="15" applyFill="1" applyAlignment="1">
      <alignment horizontal="center"/>
    </xf>
    <xf xfId="0" numFmtId="0" borderId="4" applyBorder="1" fontId="3" applyFont="1" fillId="14" applyFill="1" applyAlignment="1">
      <alignment horizontal="justify"/>
    </xf>
    <xf xfId="0" numFmtId="0" borderId="13" applyBorder="1" fontId="3" applyFont="1" fillId="14" applyFill="1" applyAlignment="1">
      <alignment horizontal="justify"/>
    </xf>
    <xf xfId="0" numFmtId="0" borderId="13" applyBorder="1" fontId="3" applyFont="1" fillId="14" applyFill="1" applyAlignment="1">
      <alignment horizontal="center"/>
    </xf>
    <xf xfId="0" numFmtId="7" applyNumberFormat="1" borderId="13" applyBorder="1" fontId="3" applyFont="1" fillId="6" applyFill="1" applyAlignment="1">
      <alignment horizontal="right"/>
    </xf>
    <xf xfId="0" numFmtId="3" applyNumberFormat="1" borderId="9" applyBorder="1" fontId="3" applyFont="1" fillId="15" applyFill="1" applyAlignment="1">
      <alignment horizontal="center"/>
    </xf>
    <xf xfId="0" numFmtId="0" borderId="4" applyBorder="1" fontId="3" applyFont="1" fillId="6" applyFill="1" applyAlignment="1">
      <alignment horizontal="center"/>
    </xf>
    <xf xfId="0" numFmtId="0" borderId="4" applyBorder="1" fontId="3" applyFont="1" fillId="6" applyFill="1" applyAlignment="1">
      <alignment horizontal="justify"/>
    </xf>
    <xf xfId="0" numFmtId="3" applyNumberFormat="1" borderId="3" applyBorder="1" fontId="3" applyFont="1" fillId="0" applyAlignment="1">
      <alignment horizontal="right"/>
    </xf>
    <xf xfId="0" numFmtId="4" applyNumberFormat="1" borderId="3" applyBorder="1" fontId="3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13" applyBorder="1" fontId="3" applyFont="1" fillId="15" applyFill="1" applyAlignment="1">
      <alignment horizontal="center"/>
    </xf>
    <xf xfId="0" numFmtId="0" borderId="4" applyBorder="1" fontId="12" applyFont="1" fillId="14" applyFill="1" applyAlignment="1">
      <alignment horizontal="center" vertical="top" wrapText="1"/>
    </xf>
    <xf xfId="0" numFmtId="7" applyNumberFormat="1" borderId="4" applyBorder="1" fontId="3" applyFont="1" fillId="0" applyAlignment="1">
      <alignment horizontal="center" vertical="top"/>
    </xf>
    <xf xfId="0" numFmtId="0" borderId="4" applyBorder="1" fontId="3" applyFont="1" fillId="0" applyAlignment="1">
      <alignment horizontal="center" vertical="top"/>
    </xf>
    <xf xfId="0" numFmtId="7" applyNumberFormat="1" borderId="17" applyBorder="1" fontId="3" applyFont="1" fillId="2" applyFill="1" applyAlignment="1">
      <alignment horizontal="right"/>
    </xf>
    <xf xfId="0" numFmtId="7" applyNumberFormat="1" borderId="4" applyBorder="1" fontId="12" applyFont="1" fillId="14" applyFill="1" applyAlignment="1">
      <alignment horizontal="center"/>
    </xf>
    <xf xfId="0" numFmtId="0" borderId="4" applyBorder="1" fontId="3" applyFont="1" fillId="6" applyFill="1" applyAlignment="1">
      <alignment horizontal="center" vertical="top"/>
    </xf>
    <xf xfId="0" numFmtId="0" borderId="4" applyBorder="1" fontId="3" applyFont="1" fillId="11" applyFill="1" applyAlignment="1">
      <alignment horizontal="center" vertical="top"/>
    </xf>
    <xf xfId="0" numFmtId="3" applyNumberFormat="1" borderId="4" applyBorder="1" fontId="3" applyFont="1" fillId="15" applyFill="1" applyAlignment="1">
      <alignment horizontal="left"/>
    </xf>
    <xf xfId="0" numFmtId="7" applyNumberFormat="1" borderId="4" applyBorder="1" fontId="3" applyFont="1" fillId="6" applyFill="1" applyAlignment="1">
      <alignment horizontal="center"/>
    </xf>
    <xf xfId="0" numFmtId="4" applyNumberFormat="1" borderId="4" applyBorder="1" fontId="3" applyFont="1" fillId="0" applyAlignment="1">
      <alignment horizontal="right" vertical="top"/>
    </xf>
    <xf xfId="0" numFmtId="0" borderId="4" applyBorder="1" fontId="3" applyFont="1" fillId="0" applyAlignment="1">
      <alignment horizontal="left" vertical="top"/>
    </xf>
    <xf xfId="0" numFmtId="4" applyNumberFormat="1" borderId="4" applyBorder="1" fontId="3" applyFont="1" fillId="0" applyAlignment="1">
      <alignment horizontal="right"/>
    </xf>
    <xf xfId="0" numFmtId="3" applyNumberFormat="1" borderId="10" applyBorder="1" fontId="3" applyFont="1" fillId="15" applyFill="1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33"/>
  <sheetViews>
    <sheetView workbookViewId="0"/>
  </sheetViews>
  <sheetFormatPr defaultRowHeight="15" x14ac:dyDescent="0.25"/>
  <cols>
    <col min="1" max="1" style="23" width="9.005" customWidth="1" bestFit="1"/>
    <col min="2" max="2" style="23" width="14.862142857142858" customWidth="1" bestFit="1"/>
    <col min="3" max="3" style="23" width="22.862142857142857" customWidth="1" bestFit="1"/>
    <col min="4" max="4" style="23" width="75.14785714285713" customWidth="1" bestFit="1"/>
    <col min="5" max="5" style="23" width="13.005" customWidth="1" bestFit="1"/>
    <col min="6" max="6" style="68" width="22.576428571428572" customWidth="1" bestFit="1"/>
    <col min="7" max="7" style="68" width="20.14785714285714" customWidth="1" bestFit="1"/>
    <col min="8" max="8" style="23" width="46.14785714285715" customWidth="1" bestFit="1"/>
    <col min="9" max="9" style="68" width="21.576428571428572" customWidth="1" bestFit="1"/>
    <col min="10" max="10" style="196" width="18.576428571428572" customWidth="1" bestFit="1"/>
    <col min="11" max="11" style="196" width="18.576428571428572" customWidth="1" bestFit="1"/>
    <col min="12" max="12" style="69" width="11.43357142857143" customWidth="1" bestFit="1"/>
    <col min="13" max="13" style="69" width="12.576428571428572" customWidth="1" bestFit="1"/>
    <col min="14" max="14" style="68" width="9.005" customWidth="1" bestFit="1"/>
    <col min="15" max="15" style="23" width="9.005" customWidth="1" bestFit="1"/>
    <col min="16" max="16" style="23" width="9.005" customWidth="1" bestFit="1"/>
    <col min="17" max="17" style="23" width="11.576428571428572" customWidth="1" bestFit="1"/>
    <col min="18" max="18" style="23" width="12.43357142857143" customWidth="1" bestFit="1"/>
    <col min="19" max="19" style="23" width="12.43357142857143" customWidth="1" bestFit="1"/>
    <col min="20" max="20" style="23" width="12.43357142857143" customWidth="1" bestFit="1"/>
    <col min="21" max="21" style="23" width="12.43357142857143" customWidth="1" bestFit="1"/>
  </cols>
  <sheetData>
    <row x14ac:dyDescent="0.25" r="1" customHeight="1" ht="17.25">
      <c r="A1" s="4"/>
      <c r="B1" s="4"/>
      <c r="C1" s="4"/>
      <c r="D1" s="4"/>
      <c r="E1" s="4"/>
      <c r="F1" s="27"/>
      <c r="G1" s="27"/>
      <c r="H1" s="4"/>
      <c r="I1" s="27"/>
      <c r="J1" s="181"/>
      <c r="K1" s="181"/>
      <c r="L1" s="28"/>
      <c r="M1" s="28"/>
      <c r="N1" s="27"/>
      <c r="O1" s="4"/>
      <c r="P1" s="4"/>
      <c r="Q1" s="4"/>
      <c r="R1" s="4"/>
      <c r="S1" s="4"/>
      <c r="T1" s="4"/>
      <c r="U1" s="4"/>
    </row>
    <row x14ac:dyDescent="0.25" r="2" customHeight="1" ht="17.25">
      <c r="A2" s="4"/>
      <c r="B2" s="4"/>
      <c r="C2" s="4"/>
      <c r="D2" s="4"/>
      <c r="E2" s="4"/>
      <c r="F2" s="27"/>
      <c r="G2" s="27"/>
      <c r="H2" s="4"/>
      <c r="I2" s="27"/>
      <c r="J2" s="181"/>
      <c r="K2" s="181"/>
      <c r="L2" s="28"/>
      <c r="M2" s="28"/>
      <c r="N2" s="27"/>
      <c r="O2" s="4"/>
      <c r="P2" s="4"/>
      <c r="Q2" s="4"/>
      <c r="R2" s="4"/>
      <c r="S2" s="4"/>
      <c r="T2" s="4"/>
      <c r="U2" s="4"/>
    </row>
    <row x14ac:dyDescent="0.25" r="3" customHeight="1" ht="17.25">
      <c r="A3" s="4"/>
      <c r="B3" s="70" t="s">
        <v>18</v>
      </c>
      <c r="C3" s="70" t="s">
        <v>0</v>
      </c>
      <c r="D3" s="70" t="s">
        <v>19</v>
      </c>
      <c r="E3" s="70" t="s">
        <v>20</v>
      </c>
      <c r="F3" s="71" t="s">
        <v>64</v>
      </c>
      <c r="G3" s="71" t="s">
        <v>22</v>
      </c>
      <c r="H3" s="70" t="s">
        <v>23</v>
      </c>
      <c r="I3" s="71" t="s">
        <v>24</v>
      </c>
      <c r="J3" s="182" t="s">
        <v>482</v>
      </c>
      <c r="K3" s="182" t="s">
        <v>26</v>
      </c>
      <c r="L3" s="135" t="s">
        <v>28</v>
      </c>
      <c r="M3" s="135" t="s">
        <v>29</v>
      </c>
      <c r="N3" s="32" t="s">
        <v>30</v>
      </c>
      <c r="O3" s="4"/>
      <c r="P3" s="4"/>
      <c r="Q3" s="4"/>
      <c r="R3" s="4"/>
      <c r="S3" s="4"/>
      <c r="T3" s="4"/>
      <c r="U3" s="4"/>
    </row>
    <row x14ac:dyDescent="0.25" r="4" customHeight="1" ht="17.25">
      <c r="A4" s="102"/>
      <c r="B4" s="183" t="s">
        <v>555</v>
      </c>
      <c r="C4" s="121"/>
      <c r="D4" s="171" t="s">
        <v>556</v>
      </c>
      <c r="E4" s="72" t="s">
        <v>35</v>
      </c>
      <c r="F4" s="90">
        <f>I4-(J6*K6)</f>
      </c>
      <c r="G4" s="184">
        <f>SUM(F4:F6)</f>
      </c>
      <c r="H4" s="185" t="s">
        <v>557</v>
      </c>
      <c r="I4" s="42">
        <v>5497.53</v>
      </c>
      <c r="J4" s="170"/>
      <c r="K4" s="133">
        <f>SUMIF(L:L,I4,M:M)</f>
      </c>
      <c r="L4" s="186">
        <v>3850</v>
      </c>
      <c r="M4" s="108">
        <f>L4/168</f>
      </c>
      <c r="N4" s="122">
        <f>M4*1.3</f>
      </c>
      <c r="O4" s="4"/>
      <c r="P4" s="4"/>
      <c r="Q4" s="4"/>
      <c r="R4" s="4"/>
      <c r="S4" s="4"/>
      <c r="T4" s="4"/>
      <c r="U4" s="4"/>
    </row>
    <row x14ac:dyDescent="0.25" r="5" customHeight="1" ht="17.25">
      <c r="A5" s="102"/>
      <c r="B5" s="187"/>
      <c r="C5" s="121"/>
      <c r="D5" s="171" t="s">
        <v>558</v>
      </c>
      <c r="E5" s="72" t="s">
        <v>35</v>
      </c>
      <c r="F5" s="90">
        <f>I5-(J14*K14)</f>
      </c>
      <c r="G5" s="112"/>
      <c r="H5" s="72"/>
      <c r="I5" s="42">
        <v>5497.53</v>
      </c>
      <c r="J5" s="170"/>
      <c r="K5" s="133">
        <f>SUMIF(L:L,I5,M:M)</f>
      </c>
      <c r="L5" s="186">
        <v>4637.27</v>
      </c>
      <c r="M5" s="108">
        <f>L5/168</f>
      </c>
      <c r="N5" s="122">
        <f>M5*1.3</f>
      </c>
      <c r="O5" s="4"/>
      <c r="P5" s="4"/>
      <c r="Q5" s="4"/>
      <c r="R5" s="4"/>
      <c r="S5" s="4"/>
      <c r="T5" s="4"/>
      <c r="U5" s="4"/>
    </row>
    <row x14ac:dyDescent="0.25" r="6" customHeight="1" ht="17.25">
      <c r="A6" s="102"/>
      <c r="B6" s="187"/>
      <c r="C6" s="121"/>
      <c r="D6" s="171" t="s">
        <v>559</v>
      </c>
      <c r="E6" s="72" t="s">
        <v>35</v>
      </c>
      <c r="F6" s="90">
        <f>I6-(J5*K5)</f>
      </c>
      <c r="G6" s="112"/>
      <c r="H6" s="72"/>
      <c r="I6" s="42">
        <v>5497.53</v>
      </c>
      <c r="J6" s="170"/>
      <c r="K6" s="133">
        <f>SUMIF(L:L,I6,M:M)</f>
      </c>
      <c r="L6" s="186">
        <f>4416.45</f>
      </c>
      <c r="M6" s="108">
        <f>L6/168</f>
      </c>
      <c r="N6" s="122">
        <f>M6*1.3</f>
      </c>
      <c r="O6" s="4"/>
      <c r="P6" s="4"/>
      <c r="Q6" s="118"/>
      <c r="R6" s="4"/>
      <c r="S6" s="4"/>
      <c r="T6" s="4"/>
      <c r="U6" s="4"/>
    </row>
    <row x14ac:dyDescent="0.25" r="7" customHeight="1" ht="17.25">
      <c r="A7" s="102"/>
      <c r="B7" s="72" t="s">
        <v>560</v>
      </c>
      <c r="C7" s="121"/>
      <c r="D7" s="43" t="s">
        <v>561</v>
      </c>
      <c r="E7" s="72" t="s">
        <v>35</v>
      </c>
      <c r="F7" s="90">
        <f>I7-(J21*K21)</f>
      </c>
      <c r="G7" s="112">
        <f>F7</f>
      </c>
      <c r="H7" s="9" t="s">
        <v>40</v>
      </c>
      <c r="I7" s="42">
        <v>3876.64</v>
      </c>
      <c r="J7" s="170"/>
      <c r="K7" s="133">
        <f>SUMIF(L:L,I7,M:M)</f>
      </c>
      <c r="L7" s="186">
        <v>3850</v>
      </c>
      <c r="M7" s="108">
        <f>L7/168</f>
      </c>
      <c r="N7" s="122">
        <f>M7*1.3</f>
      </c>
      <c r="O7" s="44"/>
      <c r="P7" s="4"/>
      <c r="Q7" s="4"/>
      <c r="R7" s="4"/>
      <c r="S7" s="4"/>
      <c r="T7" s="4"/>
      <c r="U7" s="4"/>
    </row>
    <row x14ac:dyDescent="0.25" r="8" customHeight="1" ht="17.25">
      <c r="A8" s="102"/>
      <c r="B8" s="72" t="s">
        <v>562</v>
      </c>
      <c r="C8" s="121"/>
      <c r="D8" s="171" t="s">
        <v>563</v>
      </c>
      <c r="E8" s="72" t="s">
        <v>35</v>
      </c>
      <c r="F8" s="90">
        <f>I8-(J13*K13)</f>
      </c>
      <c r="G8" s="42">
        <f>SUM(F8)</f>
      </c>
      <c r="H8" s="9" t="s">
        <v>517</v>
      </c>
      <c r="I8" s="42">
        <v>4637.27</v>
      </c>
      <c r="J8" s="170"/>
      <c r="K8" s="133">
        <f>SUMIF(L:L,I8,M:M)</f>
      </c>
      <c r="L8" s="186">
        <v>5497.53</v>
      </c>
      <c r="M8" s="108">
        <f>L8/168</f>
      </c>
      <c r="N8" s="122">
        <f>M8*1.3</f>
      </c>
      <c r="O8" s="4"/>
      <c r="P8" s="4"/>
      <c r="Q8" s="4"/>
      <c r="R8" s="4"/>
      <c r="S8" s="4"/>
      <c r="T8" s="4"/>
      <c r="U8" s="4"/>
    </row>
    <row x14ac:dyDescent="0.25" r="9" customHeight="1" ht="17.25">
      <c r="A9" s="102"/>
      <c r="B9" s="188" t="s">
        <v>564</v>
      </c>
      <c r="C9" s="189"/>
      <c r="D9" s="171" t="s">
        <v>565</v>
      </c>
      <c r="E9" s="72" t="s">
        <v>35</v>
      </c>
      <c r="F9" s="42">
        <f>I9-(J9*K9)</f>
      </c>
      <c r="G9" s="184">
        <f>SUM(F9:F10)</f>
      </c>
      <c r="H9" s="185" t="s">
        <v>566</v>
      </c>
      <c r="I9" s="42">
        <v>4637.27</v>
      </c>
      <c r="J9" s="190"/>
      <c r="K9" s="133">
        <f>SUMIF(L:L,I9,M:M)</f>
      </c>
      <c r="L9" s="186">
        <f>3876.64</f>
      </c>
      <c r="M9" s="108">
        <f>L9/168</f>
      </c>
      <c r="N9" s="122">
        <f>M9*1.3</f>
      </c>
      <c r="O9" s="4"/>
      <c r="P9" s="4"/>
      <c r="Q9" s="4"/>
      <c r="R9" s="4"/>
      <c r="S9" s="4"/>
      <c r="T9" s="4"/>
      <c r="U9" s="4"/>
    </row>
    <row x14ac:dyDescent="0.25" r="10" customHeight="1" ht="17.25">
      <c r="A10" s="102"/>
      <c r="B10" s="191"/>
      <c r="C10" s="111"/>
      <c r="D10" s="171" t="s">
        <v>567</v>
      </c>
      <c r="E10" s="72" t="s">
        <v>35</v>
      </c>
      <c r="F10" s="42">
        <f>I10-(J10*K10)</f>
      </c>
      <c r="G10" s="112"/>
      <c r="H10" s="72"/>
      <c r="I10" s="42">
        <v>3876.64</v>
      </c>
      <c r="J10" s="170"/>
      <c r="K10" s="133">
        <f>SUMIF(L:L,I10,M:M)</f>
      </c>
      <c r="L10" s="186">
        <f>4400</f>
      </c>
      <c r="M10" s="108">
        <f>L10/168</f>
      </c>
      <c r="N10" s="122">
        <f>M10*1.3</f>
      </c>
      <c r="O10" s="4"/>
      <c r="P10" s="4"/>
      <c r="Q10" s="4"/>
      <c r="R10" s="4"/>
      <c r="S10" s="4"/>
      <c r="T10" s="4"/>
      <c r="U10" s="4"/>
    </row>
    <row x14ac:dyDescent="0.25" r="11" customHeight="1" ht="17.25">
      <c r="A11" s="102"/>
      <c r="B11" s="176" t="s">
        <v>568</v>
      </c>
      <c r="C11" s="121"/>
      <c r="D11" s="171" t="s">
        <v>569</v>
      </c>
      <c r="E11" s="72" t="s">
        <v>35</v>
      </c>
      <c r="F11" s="42">
        <f>I11-(J12*K12)</f>
      </c>
      <c r="G11" s="74">
        <f>F11</f>
      </c>
      <c r="H11" s="9" t="s">
        <v>570</v>
      </c>
      <c r="I11" s="42">
        <v>5497.53</v>
      </c>
      <c r="J11" s="170"/>
      <c r="K11" s="133">
        <f>SUMIF(L:L,I11,M:M)</f>
      </c>
      <c r="L11" s="28"/>
      <c r="M11" s="28"/>
      <c r="N11" s="27"/>
      <c r="O11" s="4"/>
      <c r="P11" s="4"/>
      <c r="Q11" s="4"/>
      <c r="R11" s="4"/>
      <c r="S11" s="4"/>
      <c r="T11" s="4"/>
      <c r="U11" s="4"/>
    </row>
    <row x14ac:dyDescent="0.25" r="12" customHeight="1" ht="17.25">
      <c r="A12" s="102"/>
      <c r="B12" s="176" t="s">
        <v>571</v>
      </c>
      <c r="C12" s="121"/>
      <c r="D12" s="171" t="s">
        <v>572</v>
      </c>
      <c r="E12" s="72" t="s">
        <v>35</v>
      </c>
      <c r="F12" s="42">
        <f>I12-(J8*K8)</f>
      </c>
      <c r="G12" s="74">
        <f>F12</f>
      </c>
      <c r="H12" s="9" t="s">
        <v>570</v>
      </c>
      <c r="I12" s="42">
        <v>5497.53</v>
      </c>
      <c r="J12" s="170"/>
      <c r="K12" s="133">
        <f>SUMIF(L:L,I12,M:M)</f>
      </c>
      <c r="L12" s="28"/>
      <c r="M12" s="28"/>
      <c r="N12" s="27"/>
      <c r="O12" s="4"/>
      <c r="P12" s="4"/>
      <c r="Q12" s="4"/>
      <c r="R12" s="4"/>
      <c r="S12" s="4"/>
      <c r="T12" s="4"/>
      <c r="U12" s="4"/>
    </row>
    <row x14ac:dyDescent="0.25" r="13" customHeight="1" ht="48">
      <c r="A13" s="102"/>
      <c r="B13" s="176" t="s">
        <v>573</v>
      </c>
      <c r="C13" s="121"/>
      <c r="D13" s="171" t="s">
        <v>574</v>
      </c>
      <c r="E13" s="72" t="s">
        <v>35</v>
      </c>
      <c r="F13" s="42">
        <f>I13-(J4*K4)</f>
      </c>
      <c r="G13" s="74">
        <f>F13</f>
      </c>
      <c r="H13" s="9" t="s">
        <v>517</v>
      </c>
      <c r="I13" s="42">
        <v>4637.27</v>
      </c>
      <c r="J13" s="170"/>
      <c r="K13" s="133">
        <f>SUMIF(L:L,I13,M:M)</f>
      </c>
      <c r="L13" s="28"/>
      <c r="M13" s="28"/>
      <c r="N13" s="27"/>
      <c r="O13" s="4"/>
      <c r="P13" s="4"/>
      <c r="Q13" s="4"/>
      <c r="R13" s="4"/>
      <c r="S13" s="4"/>
      <c r="T13" s="4"/>
      <c r="U13" s="4"/>
    </row>
    <row x14ac:dyDescent="0.25" r="14" customHeight="1" ht="17.25">
      <c r="A14" s="102"/>
      <c r="B14" s="188" t="s">
        <v>575</v>
      </c>
      <c r="C14" s="121"/>
      <c r="D14" s="43" t="s">
        <v>576</v>
      </c>
      <c r="E14" s="9" t="s">
        <v>35</v>
      </c>
      <c r="F14" s="42">
        <f>I14-(J15*K15)</f>
      </c>
      <c r="G14" s="192">
        <f>F14+F15</f>
      </c>
      <c r="H14" s="193" t="s">
        <v>268</v>
      </c>
      <c r="I14" s="194">
        <v>5497.53</v>
      </c>
      <c r="J14" s="170"/>
      <c r="K14" s="133">
        <f>SUMIF(L:L,I14,M:M)</f>
      </c>
      <c r="L14" s="28"/>
      <c r="M14" s="28"/>
      <c r="N14" s="27"/>
      <c r="O14" s="4"/>
      <c r="P14" s="4"/>
      <c r="Q14" s="4"/>
      <c r="R14" s="4"/>
      <c r="S14" s="4"/>
      <c r="T14" s="4"/>
      <c r="U14" s="4"/>
    </row>
    <row x14ac:dyDescent="0.25" r="15" customHeight="1" ht="17.25">
      <c r="A15" s="102"/>
      <c r="B15" s="191"/>
      <c r="C15" s="121"/>
      <c r="D15" s="43" t="s">
        <v>577</v>
      </c>
      <c r="E15" s="72" t="s">
        <v>35</v>
      </c>
      <c r="F15" s="42">
        <f>I15-(J16*K16)</f>
      </c>
      <c r="G15" s="112"/>
      <c r="H15" s="9"/>
      <c r="I15" s="42">
        <v>5497.53</v>
      </c>
      <c r="J15" s="170"/>
      <c r="K15" s="133">
        <f>SUMIF(L:L,I15,M:M)</f>
      </c>
      <c r="L15" s="28"/>
      <c r="M15" s="28"/>
      <c r="N15" s="27"/>
      <c r="O15" s="4"/>
      <c r="P15" s="4"/>
      <c r="Q15" s="4"/>
      <c r="R15" s="4"/>
      <c r="S15" s="4"/>
      <c r="T15" s="4"/>
      <c r="U15" s="4"/>
    </row>
    <row x14ac:dyDescent="0.25" r="16" customHeight="1" ht="17.25">
      <c r="A16" s="102"/>
      <c r="B16" s="176" t="s">
        <v>578</v>
      </c>
      <c r="C16" s="121"/>
      <c r="D16" s="43" t="s">
        <v>579</v>
      </c>
      <c r="E16" s="72" t="s">
        <v>35</v>
      </c>
      <c r="F16" s="42">
        <f>I16-(J17*K17)</f>
      </c>
      <c r="G16" s="112">
        <f>F16</f>
      </c>
      <c r="H16" s="9" t="s">
        <v>50</v>
      </c>
      <c r="I16" s="112">
        <v>4637.27</v>
      </c>
      <c r="J16" s="170"/>
      <c r="K16" s="133">
        <f>SUMIF(L:L,I16,M:M)</f>
      </c>
      <c r="L16" s="28"/>
      <c r="M16" s="28"/>
      <c r="N16" s="27"/>
      <c r="O16" s="4"/>
      <c r="P16" s="4"/>
      <c r="Q16" s="4"/>
      <c r="R16" s="4"/>
      <c r="S16" s="4"/>
      <c r="T16" s="4"/>
      <c r="U16" s="4"/>
    </row>
    <row x14ac:dyDescent="0.25" r="17" customHeight="1" ht="17.25">
      <c r="A17" s="102"/>
      <c r="B17" s="176" t="s">
        <v>580</v>
      </c>
      <c r="C17" s="121"/>
      <c r="D17" s="43" t="s">
        <v>581</v>
      </c>
      <c r="E17" s="72" t="s">
        <v>35</v>
      </c>
      <c r="F17" s="42">
        <f>I17-(J18*K18)</f>
      </c>
      <c r="G17" s="112">
        <f>F17</f>
      </c>
      <c r="H17" s="9" t="s">
        <v>50</v>
      </c>
      <c r="I17" s="42">
        <v>4637.27</v>
      </c>
      <c r="J17" s="170"/>
      <c r="K17" s="133">
        <f>SUMIF(L:L,I17,M:M)</f>
      </c>
      <c r="L17" s="28"/>
      <c r="M17" s="28"/>
      <c r="N17" s="27"/>
      <c r="O17" s="4"/>
      <c r="P17" s="4"/>
      <c r="Q17" s="4"/>
      <c r="R17" s="4"/>
      <c r="S17" s="4"/>
      <c r="T17" s="4"/>
      <c r="U17" s="4"/>
    </row>
    <row x14ac:dyDescent="0.25" r="18" customHeight="1" ht="17.25">
      <c r="A18" s="102"/>
      <c r="B18" s="176" t="s">
        <v>582</v>
      </c>
      <c r="C18" s="121"/>
      <c r="D18" s="43" t="s">
        <v>583</v>
      </c>
      <c r="E18" s="72" t="s">
        <v>35</v>
      </c>
      <c r="F18" s="42">
        <f>I18-(J19*K19)</f>
      </c>
      <c r="G18" s="112">
        <f>F18</f>
      </c>
      <c r="H18" s="9" t="s">
        <v>37</v>
      </c>
      <c r="I18" s="42">
        <v>3850</v>
      </c>
      <c r="J18" s="170"/>
      <c r="K18" s="133">
        <f>SUMIF(L:L,I18,M:M)</f>
      </c>
      <c r="L18" s="28"/>
      <c r="M18" s="28"/>
      <c r="N18" s="27"/>
      <c r="O18" s="4"/>
      <c r="P18" s="4"/>
      <c r="Q18" s="4"/>
      <c r="R18" s="4"/>
      <c r="S18" s="4"/>
      <c r="T18" s="4"/>
      <c r="U18" s="4"/>
    </row>
    <row x14ac:dyDescent="0.25" r="19" customHeight="1" ht="17.25">
      <c r="A19" s="102"/>
      <c r="B19" s="176" t="s">
        <v>584</v>
      </c>
      <c r="C19" s="121"/>
      <c r="D19" s="43" t="s">
        <v>585</v>
      </c>
      <c r="E19" s="72" t="s">
        <v>35</v>
      </c>
      <c r="F19" s="42">
        <f>I19-(J20*K20)</f>
      </c>
      <c r="G19" s="112">
        <f>F19</f>
      </c>
      <c r="H19" s="9" t="s">
        <v>80</v>
      </c>
      <c r="I19" s="42">
        <v>4416.45</v>
      </c>
      <c r="J19" s="170"/>
      <c r="K19" s="133">
        <f>SUMIF(L:L,I19,M:M)</f>
      </c>
      <c r="L19" s="28"/>
      <c r="M19" s="28"/>
      <c r="N19" s="27"/>
      <c r="O19" s="4"/>
      <c r="P19" s="4"/>
      <c r="Q19" s="4"/>
      <c r="R19" s="4"/>
      <c r="S19" s="4"/>
      <c r="T19" s="4"/>
      <c r="U19" s="4"/>
    </row>
    <row x14ac:dyDescent="0.25" r="20" customHeight="1" ht="17.25">
      <c r="A20" s="102"/>
      <c r="B20" s="176" t="s">
        <v>586</v>
      </c>
      <c r="C20" s="121"/>
      <c r="D20" s="43" t="s">
        <v>587</v>
      </c>
      <c r="E20" s="72" t="s">
        <v>35</v>
      </c>
      <c r="F20" s="42">
        <f>I20-(J7*K7)</f>
      </c>
      <c r="G20" s="112">
        <f>F20</f>
      </c>
      <c r="H20" s="9" t="s">
        <v>40</v>
      </c>
      <c r="I20" s="42">
        <v>3876.64</v>
      </c>
      <c r="J20" s="170"/>
      <c r="K20" s="133">
        <f>SUMIF(L:L,I20,M:M)</f>
      </c>
      <c r="L20" s="28"/>
      <c r="M20" s="28"/>
      <c r="N20" s="27"/>
      <c r="O20" s="4"/>
      <c r="P20" s="4"/>
      <c r="Q20" s="4"/>
      <c r="R20" s="4"/>
      <c r="S20" s="4"/>
      <c r="T20" s="4"/>
      <c r="U20" s="4"/>
    </row>
    <row x14ac:dyDescent="0.25" r="21" customHeight="1" ht="17.25">
      <c r="A21" s="102"/>
      <c r="B21" s="176" t="s">
        <v>588</v>
      </c>
      <c r="C21" s="121"/>
      <c r="D21" s="43" t="s">
        <v>589</v>
      </c>
      <c r="E21" s="72" t="s">
        <v>35</v>
      </c>
      <c r="F21" s="42">
        <f>I21-(J22*K22)</f>
      </c>
      <c r="G21" s="112">
        <f>F21</f>
      </c>
      <c r="H21" s="9" t="s">
        <v>50</v>
      </c>
      <c r="I21" s="42">
        <v>4637.27</v>
      </c>
      <c r="J21" s="170"/>
      <c r="K21" s="133">
        <f>SUMIF(L:L,I21,M:M)</f>
      </c>
      <c r="L21" s="28"/>
      <c r="M21" s="28"/>
      <c r="N21" s="27"/>
      <c r="O21" s="4"/>
      <c r="P21" s="4"/>
      <c r="Q21" s="4"/>
      <c r="R21" s="4"/>
      <c r="S21" s="4"/>
      <c r="T21" s="4"/>
      <c r="U21" s="4"/>
    </row>
    <row x14ac:dyDescent="0.25" r="22" customHeight="1" ht="17.25">
      <c r="A22" s="102"/>
      <c r="B22" s="176" t="s">
        <v>590</v>
      </c>
      <c r="C22" s="121"/>
      <c r="D22" s="43" t="s">
        <v>591</v>
      </c>
      <c r="E22" s="72" t="s">
        <v>35</v>
      </c>
      <c r="F22" s="42">
        <f>I22-(J23*K23)</f>
      </c>
      <c r="G22" s="112">
        <f>F22</f>
      </c>
      <c r="H22" s="9" t="s">
        <v>428</v>
      </c>
      <c r="I22" s="42">
        <f>4400</f>
      </c>
      <c r="J22" s="170"/>
      <c r="K22" s="133">
        <f>SUMIF(L:L,I22,M:M)</f>
      </c>
      <c r="L22" s="28"/>
      <c r="M22" s="28"/>
      <c r="N22" s="27"/>
      <c r="O22" s="4"/>
      <c r="P22" s="4"/>
      <c r="Q22" s="4"/>
      <c r="R22" s="4"/>
      <c r="S22" s="4"/>
      <c r="T22" s="4"/>
      <c r="U22" s="4"/>
    </row>
    <row x14ac:dyDescent="0.25" r="23" customHeight="1" ht="17.25">
      <c r="A23" s="102"/>
      <c r="B23" s="185" t="s">
        <v>592</v>
      </c>
      <c r="C23" s="189"/>
      <c r="D23" s="171" t="s">
        <v>593</v>
      </c>
      <c r="E23" s="72" t="s">
        <v>35</v>
      </c>
      <c r="F23" s="42">
        <f>I23-(J24*K24)</f>
      </c>
      <c r="G23" s="184">
        <f>SUM(F23:F25)</f>
      </c>
      <c r="H23" s="185" t="s">
        <v>594</v>
      </c>
      <c r="I23" s="42">
        <v>4637.27</v>
      </c>
      <c r="J23" s="170"/>
      <c r="K23" s="133">
        <f>SUMIF(L:L,I23,M:M)</f>
      </c>
      <c r="L23" s="28"/>
      <c r="M23" s="28"/>
      <c r="N23" s="27"/>
      <c r="O23" s="4"/>
      <c r="P23" s="4"/>
      <c r="Q23" s="4"/>
      <c r="R23" s="4"/>
      <c r="S23" s="4"/>
      <c r="T23" s="4"/>
      <c r="U23" s="4"/>
    </row>
    <row x14ac:dyDescent="0.25" r="24" customHeight="1" ht="17.25">
      <c r="A24" s="102"/>
      <c r="B24" s="112"/>
      <c r="C24" s="111"/>
      <c r="D24" s="171" t="s">
        <v>595</v>
      </c>
      <c r="E24" s="72" t="s">
        <v>35</v>
      </c>
      <c r="F24" s="42">
        <f>I24-(J25*K25)</f>
      </c>
      <c r="G24" s="112"/>
      <c r="H24" s="72"/>
      <c r="I24" s="42">
        <v>4637.27</v>
      </c>
      <c r="J24" s="170"/>
      <c r="K24" s="133">
        <f>SUMIF(L:L,I24,M:M)</f>
      </c>
      <c r="L24" s="28"/>
      <c r="M24" s="28"/>
      <c r="N24" s="27"/>
      <c r="O24" s="4"/>
      <c r="P24" s="4"/>
      <c r="Q24" s="4"/>
      <c r="R24" s="4"/>
      <c r="S24" s="4"/>
      <c r="T24" s="4"/>
      <c r="U24" s="4"/>
    </row>
    <row x14ac:dyDescent="0.25" r="25" customHeight="1" ht="17.25">
      <c r="A25" s="102"/>
      <c r="B25" s="112"/>
      <c r="C25" s="111"/>
      <c r="D25" s="171" t="s">
        <v>544</v>
      </c>
      <c r="E25" s="72" t="s">
        <v>35</v>
      </c>
      <c r="F25" s="42">
        <v>-441.64</v>
      </c>
      <c r="G25" s="112"/>
      <c r="H25" s="72"/>
      <c r="I25" s="42"/>
      <c r="J25" s="170"/>
      <c r="K25" s="170">
        <f>SUMIF(L:L,I25,M:M)</f>
      </c>
      <c r="L25" s="28"/>
      <c r="M25" s="28"/>
      <c r="N25" s="27"/>
      <c r="O25" s="4"/>
      <c r="P25" s="4"/>
      <c r="Q25" s="4"/>
      <c r="R25" s="4"/>
      <c r="S25" s="4"/>
      <c r="T25" s="4"/>
      <c r="U25" s="4"/>
    </row>
    <row x14ac:dyDescent="0.25" r="26" customHeight="1" ht="17.25">
      <c r="A26" s="102"/>
      <c r="B26" s="188" t="s">
        <v>596</v>
      </c>
      <c r="C26" s="189"/>
      <c r="D26" s="171" t="s">
        <v>597</v>
      </c>
      <c r="E26" s="72" t="s">
        <v>35</v>
      </c>
      <c r="F26" s="42">
        <f>I26-(J27*K27)</f>
      </c>
      <c r="G26" s="184">
        <f>SUM(F26:F27)</f>
      </c>
      <c r="H26" s="185" t="s">
        <v>80</v>
      </c>
      <c r="I26" s="42">
        <v>4637.27</v>
      </c>
      <c r="J26" s="170"/>
      <c r="K26" s="133">
        <f>SUMIF(L:L,I26,M:M)</f>
      </c>
      <c r="L26" s="28"/>
      <c r="M26" s="28"/>
      <c r="N26" s="27"/>
      <c r="O26" s="4"/>
      <c r="P26" s="4"/>
      <c r="Q26" s="4"/>
      <c r="R26" s="4"/>
      <c r="S26" s="4"/>
      <c r="T26" s="4"/>
      <c r="U26" s="4"/>
    </row>
    <row x14ac:dyDescent="0.25" r="27" customHeight="1" ht="17.25">
      <c r="A27" s="102"/>
      <c r="B27" s="191"/>
      <c r="C27" s="111"/>
      <c r="D27" s="171" t="s">
        <v>544</v>
      </c>
      <c r="E27" s="72" t="s">
        <v>35</v>
      </c>
      <c r="F27" s="42">
        <f>-441.64/2</f>
      </c>
      <c r="G27" s="112"/>
      <c r="H27" s="72"/>
      <c r="I27" s="42"/>
      <c r="J27" s="170"/>
      <c r="K27" s="170">
        <f>SUMIF(L:L,I27,M:M)</f>
      </c>
      <c r="L27" s="28"/>
      <c r="M27" s="28"/>
      <c r="N27" s="27"/>
      <c r="O27" s="4"/>
      <c r="P27" s="4"/>
      <c r="Q27" s="4"/>
      <c r="R27" s="4"/>
      <c r="S27" s="4"/>
      <c r="T27" s="4"/>
      <c r="U27" s="4"/>
    </row>
    <row x14ac:dyDescent="0.25" r="28" customHeight="1" ht="17.25">
      <c r="A28" s="102"/>
      <c r="B28" s="176" t="s">
        <v>564</v>
      </c>
      <c r="C28" s="111"/>
      <c r="D28" s="171" t="s">
        <v>546</v>
      </c>
      <c r="E28" s="72" t="s">
        <v>35</v>
      </c>
      <c r="F28" s="42">
        <f>I28-(J28*K28)</f>
      </c>
      <c r="G28" s="112">
        <f>F28</f>
      </c>
      <c r="H28" s="9" t="s">
        <v>598</v>
      </c>
      <c r="I28" s="42">
        <v>4900</v>
      </c>
      <c r="J28" s="132">
        <v>88</v>
      </c>
      <c r="K28" s="170">
        <f>SUMIF(N:N,I28,O:O)</f>
      </c>
      <c r="L28" s="170">
        <f>+K28*130%</f>
      </c>
      <c r="M28" s="195">
        <f>+K28*88</f>
      </c>
      <c r="N28" s="27"/>
      <c r="O28" s="4"/>
      <c r="P28" s="4"/>
      <c r="Q28" s="4"/>
      <c r="R28" s="4"/>
      <c r="S28" s="4"/>
      <c r="T28" s="4"/>
      <c r="U28" s="4"/>
    </row>
    <row x14ac:dyDescent="0.25" r="29" customHeight="1" ht="17.25">
      <c r="A29" s="102"/>
      <c r="B29" s="176" t="s">
        <v>599</v>
      </c>
      <c r="C29" s="111"/>
      <c r="D29" s="171" t="s">
        <v>549</v>
      </c>
      <c r="E29" s="72" t="s">
        <v>35</v>
      </c>
      <c r="F29" s="42">
        <f>I29-(J29*K29)</f>
      </c>
      <c r="G29" s="112">
        <f>F29</f>
      </c>
      <c r="H29" s="9" t="s">
        <v>598</v>
      </c>
      <c r="I29" s="42">
        <v>4900</v>
      </c>
      <c r="J29" s="132">
        <v>88</v>
      </c>
      <c r="K29" s="170">
        <f>SUMIF(N:N,I29,O:O)</f>
      </c>
      <c r="L29" s="170">
        <f>+K29*130%</f>
      </c>
      <c r="M29" s="195"/>
      <c r="N29" s="27"/>
      <c r="O29" s="4"/>
      <c r="P29" s="4"/>
      <c r="Q29" s="4"/>
      <c r="R29" s="4"/>
      <c r="S29" s="4"/>
      <c r="T29" s="4"/>
      <c r="U29" s="4"/>
    </row>
    <row x14ac:dyDescent="0.25" r="30" customHeight="1" ht="17.25">
      <c r="A30" s="102"/>
      <c r="B30" s="4"/>
      <c r="C30" s="4"/>
      <c r="D30" s="58"/>
      <c r="E30" s="4"/>
      <c r="F30" s="27"/>
      <c r="G30" s="27"/>
      <c r="H30" s="4"/>
      <c r="I30" s="27"/>
      <c r="J30" s="59"/>
      <c r="K30" s="59"/>
      <c r="L30" s="28"/>
      <c r="M30" s="28"/>
      <c r="N30" s="27"/>
      <c r="O30" s="4"/>
      <c r="P30" s="4"/>
      <c r="Q30" s="4"/>
      <c r="R30" s="4"/>
      <c r="S30" s="4"/>
      <c r="T30" s="4"/>
      <c r="U30" s="4"/>
    </row>
    <row x14ac:dyDescent="0.25" r="31" customHeight="1" ht="17.25">
      <c r="A31" s="4"/>
      <c r="B31" s="4"/>
      <c r="C31" s="4"/>
      <c r="D31" s="89" t="s">
        <v>54</v>
      </c>
      <c r="E31" s="62"/>
      <c r="F31" s="64">
        <f>SUM(F4:F30)</f>
      </c>
      <c r="G31" s="64">
        <f>SUM(G4:G30)</f>
      </c>
      <c r="H31" s="4"/>
      <c r="I31" s="64">
        <f>SUM(I4:I27)</f>
      </c>
      <c r="J31" s="59"/>
      <c r="K31" s="59"/>
      <c r="L31" s="28"/>
      <c r="M31" s="28"/>
      <c r="N31" s="27"/>
      <c r="O31" s="4"/>
      <c r="P31" s="4"/>
      <c r="Q31" s="4"/>
      <c r="R31" s="4"/>
      <c r="S31" s="4"/>
      <c r="T31" s="4"/>
      <c r="U31" s="4"/>
    </row>
    <row x14ac:dyDescent="0.25" r="32" customHeight="1" ht="17.25">
      <c r="A32" s="4"/>
      <c r="B32" s="4"/>
      <c r="C32" s="4"/>
      <c r="D32" s="4"/>
      <c r="E32" s="4"/>
      <c r="F32" s="27"/>
      <c r="G32" s="27"/>
      <c r="H32" s="4"/>
      <c r="I32" s="27"/>
      <c r="J32" s="59"/>
      <c r="K32" s="59"/>
      <c r="L32" s="28"/>
      <c r="M32" s="28"/>
      <c r="N32" s="27"/>
      <c r="O32" s="4"/>
      <c r="P32" s="4"/>
      <c r="Q32" s="4"/>
      <c r="R32" s="4"/>
      <c r="S32" s="4"/>
      <c r="T32" s="4"/>
      <c r="U32" s="4"/>
    </row>
    <row x14ac:dyDescent="0.25" r="33" customHeight="1" ht="17.25">
      <c r="A33" s="4"/>
      <c r="B33" s="4"/>
      <c r="C33" s="4"/>
      <c r="D33" s="4"/>
      <c r="E33" s="4"/>
      <c r="F33" s="27"/>
      <c r="G33" s="44"/>
      <c r="H33" s="4"/>
      <c r="I33" s="27"/>
      <c r="J33" s="59"/>
      <c r="K33" s="59"/>
      <c r="L33" s="28"/>
      <c r="M33" s="28"/>
      <c r="N33" s="27"/>
      <c r="O33" s="4"/>
      <c r="P33" s="4"/>
      <c r="Q33" s="4"/>
      <c r="R33" s="4"/>
      <c r="S33" s="4"/>
      <c r="T33" s="4"/>
      <c r="U33" s="4"/>
    </row>
  </sheetData>
  <mergeCells count="18">
    <mergeCell ref="B4:B6"/>
    <mergeCell ref="G4:G6"/>
    <mergeCell ref="H4:H6"/>
    <mergeCell ref="B9:B10"/>
    <mergeCell ref="C9:C10"/>
    <mergeCell ref="G9:G10"/>
    <mergeCell ref="H9:H10"/>
    <mergeCell ref="B14:B15"/>
    <mergeCell ref="G14:G15"/>
    <mergeCell ref="H14:H15"/>
    <mergeCell ref="B23:B25"/>
    <mergeCell ref="C23:C25"/>
    <mergeCell ref="G23:G25"/>
    <mergeCell ref="H23:H25"/>
    <mergeCell ref="B26:B27"/>
    <mergeCell ref="C26:C27"/>
    <mergeCell ref="G26:G27"/>
    <mergeCell ref="H26:H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41"/>
  <sheetViews>
    <sheetView workbookViewId="0"/>
  </sheetViews>
  <sheetFormatPr defaultRowHeight="15" x14ac:dyDescent="0.25"/>
  <cols>
    <col min="1" max="1" style="23" width="9.005" customWidth="1" bestFit="1"/>
    <col min="2" max="2" style="23" width="14.862142857142858" customWidth="1" bestFit="1"/>
    <col min="3" max="3" style="23" width="22.862142857142857" customWidth="1" bestFit="1"/>
    <col min="4" max="4" style="23" width="75.14785714285713" customWidth="1" bestFit="1"/>
    <col min="5" max="5" style="23" width="13.005" customWidth="1" bestFit="1"/>
    <col min="6" max="6" style="68" width="20.576428571428572" customWidth="1" bestFit="1"/>
    <col min="7" max="7" style="68" width="20.14785714285714" customWidth="1" bestFit="1"/>
    <col min="8" max="8" style="23" width="46.14785714285715" customWidth="1" bestFit="1"/>
    <col min="9" max="9" style="68" width="21.576428571428572" customWidth="1" bestFit="1"/>
    <col min="10" max="10" style="69" width="18.576428571428572" customWidth="1" bestFit="1"/>
    <col min="11" max="11" style="180" width="18.576428571428572" customWidth="1" bestFit="1"/>
    <col min="12" max="12" style="180" width="18.576428571428572" customWidth="1" bestFit="1"/>
    <col min="13" max="13" style="180" width="18.576428571428572" customWidth="1" bestFit="1"/>
    <col min="14" max="14" style="69" width="11.43357142857143" customWidth="1" bestFit="1"/>
    <col min="15" max="15" style="68" width="12.576428571428572" customWidth="1" bestFit="1"/>
    <col min="16" max="16" style="68" width="12.43357142857143" customWidth="1" bestFit="1" hidden="1"/>
    <col min="17" max="17" style="180" width="12.43357142857143" customWidth="1" bestFit="1"/>
    <col min="18" max="18" style="180" width="9.005" customWidth="1" bestFit="1"/>
    <col min="19" max="19" style="23" width="11.576428571428572" customWidth="1" bestFit="1"/>
    <col min="20" max="20" style="23" width="12.43357142857143" customWidth="1" bestFit="1"/>
    <col min="21" max="21" style="23" width="12.43357142857143" customWidth="1" bestFit="1"/>
  </cols>
  <sheetData>
    <row x14ac:dyDescent="0.25" r="1" customHeight="1" ht="17.25">
      <c r="A1" s="4"/>
      <c r="B1" s="4"/>
      <c r="C1" s="4"/>
      <c r="D1" s="4"/>
      <c r="E1" s="4"/>
      <c r="F1" s="27"/>
      <c r="G1" s="27"/>
      <c r="H1" s="4"/>
      <c r="I1" s="27"/>
      <c r="J1" s="28"/>
      <c r="K1" s="131"/>
      <c r="L1" s="131"/>
      <c r="M1" s="131"/>
      <c r="N1" s="28"/>
      <c r="O1" s="27"/>
      <c r="P1" s="27"/>
      <c r="Q1" s="131"/>
      <c r="R1" s="131"/>
      <c r="S1" s="4"/>
      <c r="T1" s="4"/>
      <c r="U1" s="4"/>
    </row>
    <row x14ac:dyDescent="0.25" r="2" customHeight="1" ht="17.25">
      <c r="A2" s="4"/>
      <c r="B2" s="4"/>
      <c r="C2" s="4"/>
      <c r="D2" s="4"/>
      <c r="E2" s="4"/>
      <c r="F2" s="27"/>
      <c r="G2" s="27"/>
      <c r="H2" s="4"/>
      <c r="I2" s="27"/>
      <c r="J2" s="28"/>
      <c r="K2" s="131"/>
      <c r="L2" s="131"/>
      <c r="M2" s="131"/>
      <c r="N2" s="28"/>
      <c r="O2" s="27"/>
      <c r="P2" s="27"/>
      <c r="Q2" s="131"/>
      <c r="R2" s="131"/>
      <c r="S2" s="4"/>
      <c r="T2" s="4"/>
      <c r="U2" s="4"/>
    </row>
    <row x14ac:dyDescent="0.25" r="3" customHeight="1" ht="17.25">
      <c r="A3" s="4"/>
      <c r="B3" s="70" t="s">
        <v>18</v>
      </c>
      <c r="C3" s="70" t="s">
        <v>0</v>
      </c>
      <c r="D3" s="70" t="s">
        <v>19</v>
      </c>
      <c r="E3" s="70" t="s">
        <v>20</v>
      </c>
      <c r="F3" s="71" t="s">
        <v>64</v>
      </c>
      <c r="G3" s="71" t="s">
        <v>22</v>
      </c>
      <c r="H3" s="70" t="s">
        <v>23</v>
      </c>
      <c r="I3" s="71" t="s">
        <v>24</v>
      </c>
      <c r="J3" s="132" t="s">
        <v>482</v>
      </c>
      <c r="K3" s="133" t="s">
        <v>26</v>
      </c>
      <c r="L3" s="133" t="s">
        <v>483</v>
      </c>
      <c r="M3" s="134"/>
      <c r="N3" s="135" t="s">
        <v>28</v>
      </c>
      <c r="O3" s="32" t="s">
        <v>29</v>
      </c>
      <c r="P3" s="32" t="s">
        <v>30</v>
      </c>
      <c r="Q3" s="131"/>
      <c r="R3" s="131"/>
      <c r="S3" s="4"/>
      <c r="T3" s="4"/>
      <c r="U3" s="4"/>
    </row>
    <row x14ac:dyDescent="0.25" r="4" customHeight="1" ht="51">
      <c r="A4" s="102"/>
      <c r="B4" s="136" t="s">
        <v>484</v>
      </c>
      <c r="C4" s="137" t="s">
        <v>485</v>
      </c>
      <c r="D4" s="138" t="s">
        <v>486</v>
      </c>
      <c r="E4" s="72" t="s">
        <v>35</v>
      </c>
      <c r="F4" s="130">
        <f>I4-(J4*K4)</f>
      </c>
      <c r="G4" s="78">
        <f>SUM(F4:F6)</f>
      </c>
      <c r="H4" s="77" t="s">
        <v>487</v>
      </c>
      <c r="I4" s="42">
        <v>5497.53</v>
      </c>
      <c r="J4" s="132"/>
      <c r="K4" s="133">
        <f>SUMIF(N:N,I4,O:O)</f>
      </c>
      <c r="L4" s="133">
        <f>+K4*130%</f>
      </c>
      <c r="M4" s="134"/>
      <c r="N4" s="90">
        <v>3850</v>
      </c>
      <c r="O4" s="108">
        <f>N4/168</f>
      </c>
      <c r="P4" s="139">
        <f>#REF!*1.3</f>
      </c>
      <c r="Q4" s="44"/>
      <c r="R4" s="131"/>
      <c r="S4" s="4"/>
      <c r="T4" s="4"/>
      <c r="U4" s="4"/>
    </row>
    <row x14ac:dyDescent="0.25" r="5" customHeight="1" ht="51">
      <c r="A5" s="102"/>
      <c r="B5" s="140"/>
      <c r="C5" s="141"/>
      <c r="D5" s="138" t="s">
        <v>488</v>
      </c>
      <c r="E5" s="72" t="s">
        <v>35</v>
      </c>
      <c r="F5" s="130">
        <f>I5-(J5*K5)</f>
      </c>
      <c r="G5" s="86"/>
      <c r="H5" s="85"/>
      <c r="I5" s="42">
        <v>5497.53</v>
      </c>
      <c r="J5" s="132"/>
      <c r="K5" s="133">
        <f>SUMIF(N:N,I5,O:O)</f>
      </c>
      <c r="L5" s="133">
        <f>+K5*130%</f>
      </c>
      <c r="M5" s="134">
        <f>+L5*31.5</f>
      </c>
      <c r="N5" s="90">
        <f>3876.64</f>
      </c>
      <c r="O5" s="108">
        <f>N5/168</f>
      </c>
      <c r="P5" s="122">
        <f>O4*1.3</f>
      </c>
      <c r="Q5" s="104">
        <f>+K5*130%</f>
      </c>
      <c r="R5" s="131"/>
      <c r="S5" s="4"/>
      <c r="T5" s="4"/>
      <c r="U5" s="4"/>
    </row>
    <row x14ac:dyDescent="0.25" r="6" customHeight="1" ht="51">
      <c r="A6" s="102"/>
      <c r="B6" s="142"/>
      <c r="C6" s="143"/>
      <c r="D6" s="138" t="s">
        <v>489</v>
      </c>
      <c r="E6" s="72" t="s">
        <v>35</v>
      </c>
      <c r="F6" s="130">
        <f>I6-(J6*K6)</f>
      </c>
      <c r="G6" s="86"/>
      <c r="H6" s="85"/>
      <c r="I6" s="42">
        <v>5497.53</v>
      </c>
      <c r="J6" s="132"/>
      <c r="K6" s="133">
        <f>SUMIF(N:N,I6,O:O)</f>
      </c>
      <c r="L6" s="133">
        <f>+K6*130%</f>
      </c>
      <c r="M6" s="134">
        <f>26*L6</f>
      </c>
      <c r="N6" s="90">
        <f>3876.64</f>
      </c>
      <c r="O6" s="108">
        <f>N6/168</f>
      </c>
      <c r="P6" s="122">
        <f>O5*1.3</f>
      </c>
      <c r="Q6" s="131"/>
      <c r="R6" s="131"/>
      <c r="S6" s="4"/>
      <c r="T6" s="4"/>
      <c r="U6" s="4"/>
    </row>
    <row x14ac:dyDescent="0.25" r="7" customHeight="1" ht="51">
      <c r="A7" s="102"/>
      <c r="B7" s="144" t="s">
        <v>490</v>
      </c>
      <c r="C7" s="145"/>
      <c r="D7" s="138" t="s">
        <v>491</v>
      </c>
      <c r="E7" s="72" t="s">
        <v>35</v>
      </c>
      <c r="F7" s="146">
        <v>1340.01</v>
      </c>
      <c r="G7" s="147">
        <f>SUM(F7)</f>
      </c>
      <c r="H7" s="72" t="s">
        <v>492</v>
      </c>
      <c r="I7" s="148">
        <v>5497.53</v>
      </c>
      <c r="J7" s="132"/>
      <c r="K7" s="133">
        <f>SUMIF(N:N,I7,O:O)</f>
      </c>
      <c r="L7" s="133">
        <f>+K7*130%</f>
      </c>
      <c r="M7" s="134"/>
      <c r="N7" s="90">
        <f>4400</f>
      </c>
      <c r="O7" s="108">
        <f>N7/168</f>
      </c>
      <c r="P7" s="139">
        <f>#REF!*1.3</f>
      </c>
      <c r="Q7" s="131"/>
      <c r="R7" s="131"/>
      <c r="S7" s="4"/>
      <c r="T7" s="4"/>
      <c r="U7" s="4"/>
    </row>
    <row x14ac:dyDescent="0.25" r="8" customHeight="1" ht="51">
      <c r="A8" s="102"/>
      <c r="B8" s="149" t="s">
        <v>493</v>
      </c>
      <c r="C8" s="145"/>
      <c r="D8" s="138" t="s">
        <v>494</v>
      </c>
      <c r="E8" s="72" t="s">
        <v>35</v>
      </c>
      <c r="F8" s="146">
        <v>1106.04</v>
      </c>
      <c r="G8" s="147">
        <f>SUM(F8)</f>
      </c>
      <c r="H8" s="72" t="s">
        <v>495</v>
      </c>
      <c r="I8" s="148">
        <v>5497.53</v>
      </c>
      <c r="J8" s="132"/>
      <c r="K8" s="133">
        <f>SUMIF(N:N,I8,O:O)</f>
      </c>
      <c r="L8" s="133">
        <f>+K8*130%</f>
      </c>
      <c r="M8" s="134"/>
      <c r="N8" s="90">
        <f>4416.45</f>
      </c>
      <c r="O8" s="108">
        <f>N8/168</f>
      </c>
      <c r="P8" s="122">
        <f>O6*1.3</f>
      </c>
      <c r="Q8" s="131"/>
      <c r="R8" s="131"/>
      <c r="S8" s="4"/>
      <c r="T8" s="4"/>
      <c r="U8" s="4"/>
    </row>
    <row x14ac:dyDescent="0.25" r="9" customHeight="1" ht="51">
      <c r="A9" s="102"/>
      <c r="B9" s="150" t="s">
        <v>496</v>
      </c>
      <c r="C9" s="145"/>
      <c r="D9" s="138" t="s">
        <v>497</v>
      </c>
      <c r="E9" s="72" t="s">
        <v>35</v>
      </c>
      <c r="F9" s="151">
        <v>425.4</v>
      </c>
      <c r="G9" s="152">
        <f>SUM(F9)</f>
      </c>
      <c r="H9" s="85" t="s">
        <v>498</v>
      </c>
      <c r="I9" s="42">
        <v>5497.53</v>
      </c>
      <c r="J9" s="132"/>
      <c r="K9" s="133">
        <f>SUMIF(N:N,I9,O:O)</f>
      </c>
      <c r="L9" s="133">
        <f>+K9*130%</f>
      </c>
      <c r="M9" s="134">
        <f>+L9*10</f>
      </c>
      <c r="N9" s="90">
        <f>4416.45</f>
      </c>
      <c r="O9" s="108">
        <f>N9/168</f>
      </c>
      <c r="P9" s="122">
        <f>O7*1.3</f>
      </c>
      <c r="Q9" s="44"/>
      <c r="R9" s="131"/>
      <c r="S9" s="4"/>
      <c r="T9" s="4"/>
      <c r="U9" s="4"/>
    </row>
    <row x14ac:dyDescent="0.25" r="10" customHeight="1" ht="17.25">
      <c r="A10" s="102"/>
      <c r="B10" s="153" t="s">
        <v>499</v>
      </c>
      <c r="C10" s="154" t="s">
        <v>500</v>
      </c>
      <c r="D10" s="138" t="s">
        <v>501</v>
      </c>
      <c r="E10" s="72" t="s">
        <v>35</v>
      </c>
      <c r="F10" s="155">
        <v>3784.34</v>
      </c>
      <c r="G10" s="112">
        <f>F10</f>
      </c>
      <c r="H10" s="9" t="s">
        <v>40</v>
      </c>
      <c r="I10" s="42">
        <v>3876.64</v>
      </c>
      <c r="J10" s="132"/>
      <c r="K10" s="133">
        <f>SUMIF(N:N,I10,O:O)</f>
      </c>
      <c r="L10" s="133">
        <f>+K10*130%</f>
      </c>
      <c r="M10" s="134"/>
      <c r="N10" s="90">
        <v>4637.27</v>
      </c>
      <c r="O10" s="108">
        <f>N10/168</f>
      </c>
      <c r="P10" s="122">
        <f>O8*1.3</f>
      </c>
      <c r="Q10" s="131"/>
      <c r="R10" s="131"/>
      <c r="S10" s="4"/>
      <c r="T10" s="4"/>
      <c r="U10" s="4"/>
    </row>
    <row x14ac:dyDescent="0.25" r="11" customHeight="1" ht="17.25">
      <c r="A11" s="102"/>
      <c r="B11" s="153" t="s">
        <v>502</v>
      </c>
      <c r="C11" s="156" t="s">
        <v>503</v>
      </c>
      <c r="D11" s="138" t="s">
        <v>504</v>
      </c>
      <c r="E11" s="72" t="s">
        <v>35</v>
      </c>
      <c r="F11" s="155">
        <v>4416.47</v>
      </c>
      <c r="G11" s="157">
        <f>F11</f>
      </c>
      <c r="H11" s="20" t="s">
        <v>505</v>
      </c>
      <c r="I11" s="42">
        <v>4637.27</v>
      </c>
      <c r="J11" s="132">
        <v>1</v>
      </c>
      <c r="K11" s="133">
        <f>SUMIF(N:N,I11,O:O)</f>
      </c>
      <c r="L11" s="133">
        <f>+K11*130%</f>
      </c>
      <c r="M11" s="134"/>
      <c r="N11" s="90">
        <v>4900</v>
      </c>
      <c r="O11" s="108">
        <f>+N11/168</f>
      </c>
      <c r="P11" s="122">
        <f>O9*1.3</f>
      </c>
      <c r="Q11" s="131"/>
      <c r="R11" s="131"/>
      <c r="S11" s="4"/>
      <c r="T11" s="4"/>
      <c r="U11" s="4"/>
    </row>
    <row x14ac:dyDescent="0.25" r="12" customHeight="1" ht="17.25">
      <c r="A12" s="102"/>
      <c r="B12" s="158" t="s">
        <v>506</v>
      </c>
      <c r="C12" s="121"/>
      <c r="D12" s="138" t="s">
        <v>507</v>
      </c>
      <c r="E12" s="72" t="s">
        <v>35</v>
      </c>
      <c r="F12" s="151">
        <f>I12-(J12*K12)</f>
      </c>
      <c r="G12" s="78">
        <f>F12+F13+F14</f>
      </c>
      <c r="H12" s="76" t="s">
        <v>508</v>
      </c>
      <c r="I12" s="42">
        <v>4637.27</v>
      </c>
      <c r="J12" s="159"/>
      <c r="K12" s="133">
        <f>SUMIF(N:N,I12,O:O)</f>
      </c>
      <c r="L12" s="133">
        <f>+K12*130%</f>
      </c>
      <c r="M12" s="134"/>
      <c r="N12" s="90">
        <v>5497.53</v>
      </c>
      <c r="O12" s="108">
        <f>N12/168</f>
      </c>
      <c r="P12" s="122">
        <f>O10*1.3</f>
      </c>
      <c r="Q12" s="131"/>
      <c r="R12" s="131"/>
      <c r="S12" s="4"/>
      <c r="T12" s="4"/>
      <c r="U12" s="4"/>
    </row>
    <row x14ac:dyDescent="0.25" r="13" customHeight="1" ht="17.25">
      <c r="A13" s="102"/>
      <c r="B13" s="160"/>
      <c r="C13" s="121"/>
      <c r="D13" s="138" t="s">
        <v>509</v>
      </c>
      <c r="E13" s="72" t="s">
        <v>35</v>
      </c>
      <c r="F13" s="151">
        <f>I13-(J13*K13)</f>
      </c>
      <c r="G13" s="86"/>
      <c r="H13" s="87"/>
      <c r="I13" s="42">
        <v>3876.64</v>
      </c>
      <c r="J13" s="132"/>
      <c r="K13" s="133">
        <f>SUMIF(N:N,I13,O:O)</f>
      </c>
      <c r="L13" s="133">
        <f>+K13*130%</f>
      </c>
      <c r="M13" s="134"/>
      <c r="N13" s="28"/>
      <c r="O13" s="27"/>
      <c r="P13" s="122">
        <f>O11*1.3</f>
      </c>
      <c r="Q13" s="131"/>
      <c r="R13" s="131"/>
      <c r="S13" s="4"/>
      <c r="T13" s="4"/>
      <c r="U13" s="4"/>
    </row>
    <row x14ac:dyDescent="0.25" r="14" customHeight="1" ht="17.25">
      <c r="A14" s="103"/>
      <c r="B14" s="161"/>
      <c r="C14" s="121"/>
      <c r="D14" s="138" t="s">
        <v>510</v>
      </c>
      <c r="E14" s="72" t="s">
        <v>35</v>
      </c>
      <c r="F14" s="151">
        <f>I14-(J14*K14)</f>
      </c>
      <c r="G14" s="82"/>
      <c r="H14" s="80"/>
      <c r="I14" s="42">
        <v>4637.27</v>
      </c>
      <c r="J14" s="132"/>
      <c r="K14" s="133">
        <f>SUMIF(N:N,I14,O:O)</f>
      </c>
      <c r="L14" s="133">
        <f>+K14*130%</f>
      </c>
      <c r="M14" s="134"/>
      <c r="N14" s="28"/>
      <c r="O14" s="27"/>
      <c r="P14" s="27"/>
      <c r="Q14" s="131"/>
      <c r="R14" s="131"/>
      <c r="S14" s="118"/>
      <c r="T14" s="4"/>
      <c r="U14" s="4"/>
    </row>
    <row x14ac:dyDescent="0.25" r="15" customHeight="1" ht="17.25">
      <c r="A15" s="103"/>
      <c r="B15" s="162" t="s">
        <v>511</v>
      </c>
      <c r="C15" s="121"/>
      <c r="D15" s="138" t="s">
        <v>512</v>
      </c>
      <c r="E15" s="72" t="s">
        <v>35</v>
      </c>
      <c r="F15" s="151">
        <v>2748.77</v>
      </c>
      <c r="G15" s="74">
        <f>F15</f>
      </c>
      <c r="H15" s="163" t="s">
        <v>387</v>
      </c>
      <c r="I15" s="42">
        <v>5497.53</v>
      </c>
      <c r="J15" s="132"/>
      <c r="K15" s="133">
        <f>SUMIF(N:N,I15,O:O)</f>
      </c>
      <c r="L15" s="133">
        <f>+K15*130%</f>
      </c>
      <c r="M15" s="134"/>
      <c r="N15" s="28"/>
      <c r="O15" s="27"/>
      <c r="P15" s="27"/>
      <c r="Q15" s="131"/>
      <c r="R15" s="131"/>
      <c r="S15" s="4"/>
      <c r="T15" s="4"/>
      <c r="U15" s="4"/>
    </row>
    <row x14ac:dyDescent="0.25" r="16" customHeight="1" ht="17.25">
      <c r="A16" s="103"/>
      <c r="B16" s="162" t="s">
        <v>513</v>
      </c>
      <c r="C16" s="121"/>
      <c r="D16" s="138" t="s">
        <v>514</v>
      </c>
      <c r="E16" s="72" t="s">
        <v>35</v>
      </c>
      <c r="F16" s="151">
        <v>2748.77</v>
      </c>
      <c r="G16" s="74">
        <f>F16</f>
      </c>
      <c r="H16" s="163" t="s">
        <v>387</v>
      </c>
      <c r="I16" s="42">
        <v>5497.53</v>
      </c>
      <c r="J16" s="132"/>
      <c r="K16" s="133">
        <f>SUMIF(N:N,I16,O:O)</f>
      </c>
      <c r="L16" s="133">
        <f>+K16*130%</f>
      </c>
      <c r="M16" s="134"/>
      <c r="N16" s="28"/>
      <c r="O16" s="27"/>
      <c r="P16" s="27"/>
      <c r="Q16" s="131"/>
      <c r="R16" s="131"/>
      <c r="S16" s="4"/>
      <c r="T16" s="4"/>
      <c r="U16" s="4"/>
    </row>
    <row x14ac:dyDescent="0.25" r="17" customHeight="1" ht="17.25">
      <c r="A17" s="103"/>
      <c r="B17" s="162" t="s">
        <v>515</v>
      </c>
      <c r="C17" s="121"/>
      <c r="D17" s="138" t="s">
        <v>516</v>
      </c>
      <c r="E17" s="72" t="s">
        <v>35</v>
      </c>
      <c r="F17" s="151">
        <f>I17-(J17*K17)</f>
      </c>
      <c r="G17" s="74">
        <f>F17</f>
      </c>
      <c r="H17" s="9" t="s">
        <v>517</v>
      </c>
      <c r="I17" s="42">
        <v>4637.27</v>
      </c>
      <c r="J17" s="132"/>
      <c r="K17" s="133">
        <f>SUMIF(N:N,I17,O:O)</f>
      </c>
      <c r="L17" s="133">
        <f>+K17*130%</f>
      </c>
      <c r="M17" s="134"/>
      <c r="N17" s="28"/>
      <c r="O17" s="27"/>
      <c r="P17" s="27"/>
      <c r="Q17" s="131"/>
      <c r="R17" s="131"/>
      <c r="S17" s="4"/>
      <c r="T17" s="4"/>
      <c r="U17" s="4"/>
    </row>
    <row x14ac:dyDescent="0.25" r="18" customHeight="1" ht="17.25">
      <c r="A18" s="103"/>
      <c r="B18" s="164" t="s">
        <v>518</v>
      </c>
      <c r="C18" s="121"/>
      <c r="D18" s="138" t="s">
        <v>519</v>
      </c>
      <c r="E18" s="72" t="s">
        <v>35</v>
      </c>
      <c r="F18" s="151">
        <f>2356.41</f>
      </c>
      <c r="G18" s="78">
        <f>F18+F19</f>
      </c>
      <c r="H18" s="76" t="s">
        <v>520</v>
      </c>
      <c r="I18" s="42">
        <v>5497.53</v>
      </c>
      <c r="J18" s="132">
        <f>+(13-1)*8</f>
      </c>
      <c r="K18" s="133">
        <f>SUMIF(N:N,I18,O:O)</f>
      </c>
      <c r="L18" s="133">
        <f>+K18*130%</f>
      </c>
      <c r="M18" s="134"/>
      <c r="N18" s="28"/>
      <c r="O18" s="27"/>
      <c r="P18" s="44"/>
      <c r="Q18" s="44"/>
      <c r="R18" s="131"/>
      <c r="S18" s="4"/>
      <c r="T18" s="4"/>
      <c r="U18" s="4"/>
    </row>
    <row x14ac:dyDescent="0.25" r="19" customHeight="1" ht="17.25">
      <c r="A19" s="102"/>
      <c r="B19" s="161"/>
      <c r="C19" s="121"/>
      <c r="D19" s="138" t="s">
        <v>521</v>
      </c>
      <c r="E19" s="72" t="s">
        <v>35</v>
      </c>
      <c r="F19" s="151">
        <f>I19-(J19*K19)</f>
      </c>
      <c r="G19" s="82"/>
      <c r="H19" s="80"/>
      <c r="I19" s="42">
        <v>5497.53</v>
      </c>
      <c r="J19" s="132"/>
      <c r="K19" s="133">
        <f>SUMIF(N:N,I19,O:O)</f>
      </c>
      <c r="L19" s="133">
        <f>+K19*130%</f>
      </c>
      <c r="M19" s="134"/>
      <c r="N19" s="28"/>
      <c r="O19" s="27"/>
      <c r="P19" s="27"/>
      <c r="Q19" s="131"/>
      <c r="R19" s="131"/>
      <c r="S19" s="4"/>
      <c r="T19" s="4"/>
      <c r="U19" s="4"/>
    </row>
    <row x14ac:dyDescent="0.25" r="20" customHeight="1" ht="17.25">
      <c r="A20" s="102"/>
      <c r="B20" s="165" t="s">
        <v>522</v>
      </c>
      <c r="C20" s="121"/>
      <c r="D20" s="138" t="s">
        <v>523</v>
      </c>
      <c r="E20" s="72" t="s">
        <v>35</v>
      </c>
      <c r="F20" s="151">
        <v>2318.64</v>
      </c>
      <c r="G20" s="100">
        <f>F20</f>
      </c>
      <c r="H20" s="20" t="s">
        <v>226</v>
      </c>
      <c r="I20" s="100">
        <v>4637.27</v>
      </c>
      <c r="J20" s="132"/>
      <c r="K20" s="133">
        <f>SUMIF(N:N,I20,O:O)</f>
      </c>
      <c r="L20" s="133">
        <f>+K20*130%</f>
      </c>
      <c r="M20" s="134"/>
      <c r="N20" s="28"/>
      <c r="O20" s="27"/>
      <c r="P20" s="27"/>
      <c r="Q20" s="131"/>
      <c r="R20" s="131"/>
      <c r="S20" s="4"/>
      <c r="T20" s="4"/>
      <c r="U20" s="4"/>
    </row>
    <row x14ac:dyDescent="0.25" r="21" customHeight="1" ht="17.25">
      <c r="A21" s="102"/>
      <c r="B21" s="165" t="s">
        <v>524</v>
      </c>
      <c r="C21" s="121"/>
      <c r="D21" s="138" t="s">
        <v>523</v>
      </c>
      <c r="E21" s="72" t="s">
        <v>35</v>
      </c>
      <c r="F21" s="151">
        <v>2318.64</v>
      </c>
      <c r="G21" s="100">
        <f>F21</f>
      </c>
      <c r="H21" s="20" t="s">
        <v>226</v>
      </c>
      <c r="I21" s="100">
        <v>4637.27</v>
      </c>
      <c r="J21" s="132"/>
      <c r="K21" s="133">
        <f>SUMIF(N:N,I21,O:O)</f>
      </c>
      <c r="L21" s="133">
        <f>+K21*130%</f>
      </c>
      <c r="M21" s="134"/>
      <c r="N21" s="28"/>
      <c r="O21" s="27"/>
      <c r="P21" s="27"/>
      <c r="Q21" s="131"/>
      <c r="R21" s="131"/>
      <c r="S21" s="4"/>
      <c r="T21" s="4"/>
      <c r="U21" s="4"/>
    </row>
    <row x14ac:dyDescent="0.25" r="22" customHeight="1" ht="17.25">
      <c r="A22" s="102"/>
      <c r="B22" s="165" t="s">
        <v>525</v>
      </c>
      <c r="C22" s="121"/>
      <c r="D22" s="138" t="s">
        <v>526</v>
      </c>
      <c r="E22" s="72" t="s">
        <v>35</v>
      </c>
      <c r="F22" s="151">
        <f>I22-(J22*K22)</f>
      </c>
      <c r="G22" s="112">
        <f>F22</f>
      </c>
      <c r="H22" s="20" t="s">
        <v>50</v>
      </c>
      <c r="I22" s="42">
        <v>4637.27</v>
      </c>
      <c r="J22" s="132"/>
      <c r="K22" s="133">
        <f>SUMIF(N:N,I22,O:O)</f>
      </c>
      <c r="L22" s="133">
        <f>+K22*130%</f>
      </c>
      <c r="M22" s="134"/>
      <c r="N22" s="28"/>
      <c r="O22" s="27"/>
      <c r="P22" s="27"/>
      <c r="Q22" s="131"/>
      <c r="R22" s="131"/>
      <c r="S22" s="4"/>
      <c r="T22" s="4"/>
      <c r="U22" s="4"/>
    </row>
    <row x14ac:dyDescent="0.25" r="23" customHeight="1" ht="17.25">
      <c r="A23" s="102"/>
      <c r="B23" s="165" t="s">
        <v>527</v>
      </c>
      <c r="C23" s="121"/>
      <c r="D23" s="138" t="s">
        <v>528</v>
      </c>
      <c r="E23" s="72" t="s">
        <v>35</v>
      </c>
      <c r="F23" s="151">
        <f>I23-(J23*K23)</f>
      </c>
      <c r="G23" s="112">
        <f>F23</f>
      </c>
      <c r="H23" s="9" t="s">
        <v>37</v>
      </c>
      <c r="I23" s="42">
        <v>3850</v>
      </c>
      <c r="J23" s="132"/>
      <c r="K23" s="133">
        <f>SUMIF(N:N,I23,O:O)</f>
      </c>
      <c r="L23" s="133">
        <f>+K23*130%</f>
      </c>
      <c r="M23" s="134"/>
      <c r="N23" s="28"/>
      <c r="O23" s="27"/>
      <c r="P23" s="27"/>
      <c r="Q23" s="131"/>
      <c r="R23" s="131"/>
      <c r="S23" s="4"/>
      <c r="T23" s="4"/>
      <c r="U23" s="4"/>
    </row>
    <row x14ac:dyDescent="0.25" r="24" customHeight="1" ht="17.25">
      <c r="A24" s="102"/>
      <c r="B24" s="165" t="s">
        <v>529</v>
      </c>
      <c r="C24" s="121"/>
      <c r="D24" s="138" t="s">
        <v>530</v>
      </c>
      <c r="E24" s="72" t="s">
        <v>35</v>
      </c>
      <c r="F24" s="151">
        <f>I24-(J24*K24)</f>
      </c>
      <c r="G24" s="112">
        <f>F24</f>
      </c>
      <c r="H24" s="9" t="s">
        <v>80</v>
      </c>
      <c r="I24" s="42">
        <v>4416.45</v>
      </c>
      <c r="J24" s="132"/>
      <c r="K24" s="133">
        <f>SUMIF(N:N,I24,O:O)</f>
      </c>
      <c r="L24" s="133">
        <f>+K24*130%</f>
      </c>
      <c r="M24" s="134"/>
      <c r="N24" s="28"/>
      <c r="O24" s="27"/>
      <c r="P24" s="27"/>
      <c r="Q24" s="131"/>
      <c r="R24" s="131"/>
      <c r="S24" s="4"/>
      <c r="T24" s="4"/>
      <c r="U24" s="4"/>
    </row>
    <row x14ac:dyDescent="0.25" r="25" customHeight="1" ht="17.25">
      <c r="A25" s="102"/>
      <c r="B25" s="165" t="s">
        <v>531</v>
      </c>
      <c r="C25" s="121"/>
      <c r="D25" s="138" t="s">
        <v>532</v>
      </c>
      <c r="E25" s="72" t="s">
        <v>35</v>
      </c>
      <c r="F25" s="151">
        <f>I25-(J25*K25)</f>
      </c>
      <c r="G25" s="112">
        <f>F25</f>
      </c>
      <c r="H25" s="9" t="s">
        <v>40</v>
      </c>
      <c r="I25" s="42">
        <v>3876.64</v>
      </c>
      <c r="J25" s="132"/>
      <c r="K25" s="133">
        <f>SUMIF(N:N,I25,O:O)</f>
      </c>
      <c r="L25" s="133">
        <f>+K25*130%</f>
      </c>
      <c r="M25" s="134"/>
      <c r="N25" s="28"/>
      <c r="O25" s="27"/>
      <c r="P25" s="27"/>
      <c r="Q25" s="131"/>
      <c r="R25" s="131"/>
      <c r="S25" s="4"/>
      <c r="T25" s="4"/>
      <c r="U25" s="4"/>
    </row>
    <row x14ac:dyDescent="0.25" r="26" customHeight="1" ht="17.25">
      <c r="A26" s="102"/>
      <c r="B26" s="165" t="s">
        <v>533</v>
      </c>
      <c r="C26" s="121"/>
      <c r="D26" s="138" t="s">
        <v>534</v>
      </c>
      <c r="E26" s="72" t="s">
        <v>35</v>
      </c>
      <c r="F26" s="151">
        <f>I26-(J26*K26)</f>
      </c>
      <c r="G26" s="112">
        <f>F26</f>
      </c>
      <c r="H26" s="9" t="s">
        <v>50</v>
      </c>
      <c r="I26" s="42">
        <v>4637.27</v>
      </c>
      <c r="J26" s="132">
        <v>4</v>
      </c>
      <c r="K26" s="133">
        <f>SUMIF(N:N,I26,O:O)</f>
      </c>
      <c r="L26" s="133">
        <f>+K26*130%</f>
      </c>
      <c r="M26" s="134"/>
      <c r="N26" s="28"/>
      <c r="O26" s="27"/>
      <c r="P26" s="27"/>
      <c r="Q26" s="131"/>
      <c r="R26" s="131"/>
      <c r="S26" s="4"/>
      <c r="T26" s="4"/>
      <c r="U26" s="4"/>
    </row>
    <row x14ac:dyDescent="0.25" r="27" customHeight="1" ht="17.25">
      <c r="A27" s="102"/>
      <c r="B27" s="77" t="s">
        <v>535</v>
      </c>
      <c r="C27" s="166" t="s">
        <v>536</v>
      </c>
      <c r="D27" s="138" t="s">
        <v>537</v>
      </c>
      <c r="E27" s="72" t="s">
        <v>35</v>
      </c>
      <c r="F27" s="130">
        <f>I27-(J27*K27)</f>
      </c>
      <c r="G27" s="78">
        <f>SUM(F27:F29)</f>
      </c>
      <c r="H27" s="76" t="s">
        <v>538</v>
      </c>
      <c r="I27" s="42">
        <v>4637.27</v>
      </c>
      <c r="J27" s="132"/>
      <c r="K27" s="133">
        <f>SUMIF(N:N,I27,O:O)</f>
      </c>
      <c r="L27" s="133">
        <f>+K27*130%</f>
      </c>
      <c r="M27" s="134"/>
      <c r="N27" s="28"/>
      <c r="O27" s="27"/>
      <c r="P27" s="27"/>
      <c r="Q27" s="131"/>
      <c r="R27" s="131"/>
      <c r="S27" s="4"/>
      <c r="T27" s="4"/>
      <c r="U27" s="4"/>
    </row>
    <row x14ac:dyDescent="0.25" r="28" customHeight="1" ht="17.25">
      <c r="A28" s="102"/>
      <c r="B28" s="86"/>
      <c r="C28" s="167"/>
      <c r="D28" s="138" t="s">
        <v>539</v>
      </c>
      <c r="E28" s="72" t="s">
        <v>35</v>
      </c>
      <c r="F28" s="130">
        <f>I28-(J28*K28)</f>
      </c>
      <c r="G28" s="86"/>
      <c r="H28" s="87"/>
      <c r="I28" s="42">
        <v>4637.27</v>
      </c>
      <c r="J28" s="132"/>
      <c r="K28" s="133">
        <f>SUMIF(N:N,I28,O:O)</f>
      </c>
      <c r="L28" s="133">
        <f>+K28*130%</f>
      </c>
      <c r="M28" s="134"/>
      <c r="N28" s="28"/>
      <c r="O28" s="27"/>
      <c r="P28" s="27"/>
      <c r="Q28" s="131"/>
      <c r="R28" s="131"/>
      <c r="S28" s="4"/>
      <c r="T28" s="4"/>
      <c r="U28" s="4"/>
    </row>
    <row x14ac:dyDescent="0.25" r="29" customHeight="1" ht="17.25">
      <c r="A29" s="102"/>
      <c r="B29" s="82"/>
      <c r="C29" s="168"/>
      <c r="D29" s="169" t="s">
        <v>540</v>
      </c>
      <c r="E29" s="72" t="s">
        <v>35</v>
      </c>
      <c r="F29" s="130">
        <v>-441.64</v>
      </c>
      <c r="G29" s="82"/>
      <c r="H29" s="80"/>
      <c r="I29" s="42"/>
      <c r="J29" s="132"/>
      <c r="K29" s="170">
        <f>SUMIF(N:N,I29,O:O)</f>
      </c>
      <c r="L29" s="170">
        <f>+K29*130%</f>
      </c>
      <c r="M29" s="134"/>
      <c r="N29" s="28"/>
      <c r="O29" s="27"/>
      <c r="P29" s="27"/>
      <c r="Q29" s="131"/>
      <c r="R29" s="131"/>
      <c r="S29" s="4"/>
      <c r="T29" s="4"/>
      <c r="U29" s="4"/>
    </row>
    <row x14ac:dyDescent="0.25" r="30" customHeight="1" ht="17.25">
      <c r="A30" s="102"/>
      <c r="B30" s="164" t="s">
        <v>541</v>
      </c>
      <c r="C30" s="137"/>
      <c r="D30" s="171" t="s">
        <v>542</v>
      </c>
      <c r="E30" s="153" t="s">
        <v>35</v>
      </c>
      <c r="F30" s="151">
        <f>I30-(J30*K30)</f>
      </c>
      <c r="G30" s="78">
        <f>SUM(F30:F31)</f>
      </c>
      <c r="H30" s="76" t="s">
        <v>543</v>
      </c>
      <c r="I30" s="42">
        <v>4637.27</v>
      </c>
      <c r="J30" s="132"/>
      <c r="K30" s="133">
        <f>SUMIF(N:N,I30,O:O)</f>
      </c>
      <c r="L30" s="133">
        <f>+K30*130%</f>
      </c>
      <c r="M30" s="134"/>
      <c r="N30" s="28"/>
      <c r="O30" s="27"/>
      <c r="P30" s="27"/>
      <c r="Q30" s="131"/>
      <c r="R30" s="131"/>
      <c r="S30" s="4"/>
      <c r="T30" s="4"/>
      <c r="U30" s="4"/>
    </row>
    <row x14ac:dyDescent="0.25" r="31" customHeight="1" ht="17.25">
      <c r="A31" s="102"/>
      <c r="B31" s="160"/>
      <c r="C31" s="141"/>
      <c r="D31" s="172" t="s">
        <v>544</v>
      </c>
      <c r="E31" s="173" t="s">
        <v>35</v>
      </c>
      <c r="F31" s="174">
        <f>-441.64/2</f>
      </c>
      <c r="G31" s="86"/>
      <c r="H31" s="87"/>
      <c r="I31" s="157"/>
      <c r="J31" s="175"/>
      <c r="K31" s="170">
        <f>SUMIF(N:N,I31,O:O)</f>
      </c>
      <c r="L31" s="170">
        <f>+K31*130%</f>
      </c>
      <c r="M31" s="134"/>
      <c r="N31" s="28"/>
      <c r="O31" s="27"/>
      <c r="P31" s="27"/>
      <c r="Q31" s="131"/>
      <c r="R31" s="131"/>
      <c r="S31" s="4"/>
      <c r="T31" s="4"/>
      <c r="U31" s="4"/>
    </row>
    <row x14ac:dyDescent="0.25" r="32" customHeight="1" ht="17.25">
      <c r="A32" s="102"/>
      <c r="B32" s="176" t="s">
        <v>545</v>
      </c>
      <c r="C32" s="111"/>
      <c r="D32" s="101" t="s">
        <v>546</v>
      </c>
      <c r="E32" s="72" t="s">
        <v>35</v>
      </c>
      <c r="F32" s="42">
        <f>I32-(J32*K32)</f>
      </c>
      <c r="G32" s="112">
        <f>F32</f>
      </c>
      <c r="H32" s="9" t="s">
        <v>547</v>
      </c>
      <c r="I32" s="42">
        <v>4900</v>
      </c>
      <c r="J32" s="132">
        <v>88</v>
      </c>
      <c r="K32" s="133">
        <f>SUMIF(N:N,I32,O:O)</f>
      </c>
      <c r="L32" s="133">
        <f>+K32*130%</f>
      </c>
      <c r="M32" s="134">
        <f>+K32*88</f>
      </c>
      <c r="N32" s="28"/>
      <c r="O32" s="27"/>
      <c r="P32" s="27"/>
      <c r="Q32" s="131"/>
      <c r="R32" s="131"/>
      <c r="S32" s="4"/>
      <c r="T32" s="4"/>
      <c r="U32" s="4"/>
    </row>
    <row x14ac:dyDescent="0.25" r="33" customHeight="1" ht="17.25">
      <c r="A33" s="102"/>
      <c r="B33" s="176" t="s">
        <v>548</v>
      </c>
      <c r="C33" s="111"/>
      <c r="D33" s="101" t="s">
        <v>549</v>
      </c>
      <c r="E33" s="72" t="s">
        <v>35</v>
      </c>
      <c r="F33" s="42">
        <f>I33-(J33*K33)</f>
      </c>
      <c r="G33" s="112">
        <f>F33</f>
      </c>
      <c r="H33" s="9" t="s">
        <v>547</v>
      </c>
      <c r="I33" s="42">
        <v>4900</v>
      </c>
      <c r="J33" s="132">
        <v>88</v>
      </c>
      <c r="K33" s="133">
        <f>SUMIF(N:N,I33,O:O)</f>
      </c>
      <c r="L33" s="133">
        <f>+K33*130%</f>
      </c>
      <c r="M33" s="134"/>
      <c r="N33" s="28"/>
      <c r="O33" s="27"/>
      <c r="P33" s="27"/>
      <c r="Q33" s="131"/>
      <c r="R33" s="131"/>
      <c r="S33" s="4"/>
      <c r="T33" s="4"/>
      <c r="U33" s="4"/>
    </row>
    <row x14ac:dyDescent="0.25" r="34" customHeight="1" ht="17.25">
      <c r="A34" s="102"/>
      <c r="B34" s="165" t="s">
        <v>550</v>
      </c>
      <c r="C34" s="121"/>
      <c r="D34" s="177" t="s">
        <v>551</v>
      </c>
      <c r="E34" s="72" t="s">
        <v>35</v>
      </c>
      <c r="F34" s="42">
        <v>497.4</v>
      </c>
      <c r="G34" s="112">
        <f>F34</f>
      </c>
      <c r="H34" s="9" t="s">
        <v>552</v>
      </c>
      <c r="I34" s="42">
        <f>4400</f>
      </c>
      <c r="J34" s="132"/>
      <c r="K34" s="133">
        <f>SUMIF(N:N,I34,O:O)</f>
      </c>
      <c r="L34" s="133">
        <f>+K34*130%</f>
      </c>
      <c r="M34" s="134"/>
      <c r="N34" s="28"/>
      <c r="O34" s="27"/>
      <c r="P34" s="27"/>
      <c r="Q34" s="131"/>
      <c r="R34" s="131"/>
      <c r="S34" s="4"/>
      <c r="T34" s="4"/>
      <c r="U34" s="4"/>
    </row>
    <row x14ac:dyDescent="0.25" r="35" customHeight="1" ht="17.25">
      <c r="A35" s="102"/>
      <c r="B35" s="176" t="s">
        <v>553</v>
      </c>
      <c r="C35" s="145"/>
      <c r="D35" s="101" t="s">
        <v>554</v>
      </c>
      <c r="E35" s="72" t="s">
        <v>35</v>
      </c>
      <c r="F35" s="42">
        <f>I35-(J35*K35)</f>
      </c>
      <c r="G35" s="112">
        <f>F35</f>
      </c>
      <c r="H35" s="9" t="s">
        <v>428</v>
      </c>
      <c r="I35" s="42">
        <f>4400</f>
      </c>
      <c r="J35" s="132"/>
      <c r="K35" s="133">
        <f>SUMIF(N:N,I35,O:O)</f>
      </c>
      <c r="L35" s="133">
        <f>+K35*130%</f>
      </c>
      <c r="M35" s="134"/>
      <c r="N35" s="178">
        <v>16</v>
      </c>
      <c r="O35" s="27"/>
      <c r="P35" s="27"/>
      <c r="Q35" s="104">
        <f>+K35*130%</f>
      </c>
      <c r="R35" s="104">
        <f>+Q35*N35</f>
      </c>
      <c r="S35" s="4"/>
      <c r="T35" s="4"/>
      <c r="U35" s="4"/>
    </row>
    <row x14ac:dyDescent="0.25" r="36" customHeight="1" ht="17.25">
      <c r="A36" s="4"/>
      <c r="B36" s="4"/>
      <c r="C36" s="4"/>
      <c r="D36" s="58"/>
      <c r="E36" s="4"/>
      <c r="F36" s="27"/>
      <c r="G36" s="27"/>
      <c r="H36" s="4"/>
      <c r="I36" s="27"/>
      <c r="J36" s="59"/>
      <c r="K36" s="179"/>
      <c r="L36" s="179"/>
      <c r="M36" s="179"/>
      <c r="N36" s="28"/>
      <c r="O36" s="27"/>
      <c r="P36" s="27"/>
      <c r="Q36" s="131"/>
      <c r="R36" s="131"/>
      <c r="S36" s="4"/>
      <c r="T36" s="4"/>
      <c r="U36" s="4"/>
    </row>
    <row x14ac:dyDescent="0.25" r="37" customHeight="1" ht="17.25">
      <c r="A37" s="4"/>
      <c r="B37" s="4"/>
      <c r="C37" s="4"/>
      <c r="D37" s="89" t="s">
        <v>54</v>
      </c>
      <c r="E37" s="62"/>
      <c r="F37" s="64">
        <f>SUM(F4:F35)</f>
      </c>
      <c r="G37" s="64">
        <f>SUM(G4:G35)</f>
      </c>
      <c r="H37" s="4"/>
      <c r="I37" s="64">
        <f>SUM(I4:I35)</f>
      </c>
      <c r="J37" s="59"/>
      <c r="K37" s="179"/>
      <c r="L37" s="179"/>
      <c r="M37" s="179"/>
      <c r="N37" s="28"/>
      <c r="O37" s="27"/>
      <c r="P37" s="27"/>
      <c r="Q37" s="131"/>
      <c r="R37" s="131"/>
      <c r="S37" s="4"/>
      <c r="T37" s="4"/>
      <c r="U37" s="4"/>
    </row>
    <row x14ac:dyDescent="0.25" r="38" customHeight="1" ht="17.25">
      <c r="A38" s="4"/>
      <c r="B38" s="4"/>
      <c r="C38" s="4"/>
      <c r="D38" s="4"/>
      <c r="E38" s="4"/>
      <c r="F38" s="27"/>
      <c r="G38" s="27"/>
      <c r="H38" s="4"/>
      <c r="I38" s="27"/>
      <c r="J38" s="59"/>
      <c r="K38" s="179"/>
      <c r="L38" s="179"/>
      <c r="M38" s="179"/>
      <c r="N38" s="28"/>
      <c r="O38" s="27"/>
      <c r="P38" s="27"/>
      <c r="Q38" s="131"/>
      <c r="R38" s="131"/>
      <c r="S38" s="4"/>
      <c r="T38" s="4"/>
      <c r="U38" s="4"/>
    </row>
    <row x14ac:dyDescent="0.25" r="39" customHeight="1" ht="17.25">
      <c r="A39" s="4"/>
      <c r="B39" s="4"/>
      <c r="C39" s="4"/>
      <c r="D39" s="4"/>
      <c r="E39" s="4"/>
      <c r="F39" s="27"/>
      <c r="G39" s="44"/>
      <c r="H39" s="4"/>
      <c r="I39" s="27"/>
      <c r="J39" s="28"/>
      <c r="K39" s="131"/>
      <c r="L39" s="131"/>
      <c r="M39" s="131"/>
      <c r="N39" s="28"/>
      <c r="O39" s="27"/>
      <c r="P39" s="27"/>
      <c r="Q39" s="131"/>
      <c r="R39" s="131"/>
      <c r="S39" s="4"/>
      <c r="T39" s="4"/>
      <c r="U39" s="4"/>
    </row>
    <row x14ac:dyDescent="0.25" r="40" customHeight="1" ht="17.25">
      <c r="A40" s="4"/>
      <c r="B40" s="4"/>
      <c r="C40" s="4"/>
      <c r="D40" s="4"/>
      <c r="E40" s="4"/>
      <c r="F40" s="27"/>
      <c r="G40" s="27"/>
      <c r="H40" s="4"/>
      <c r="I40" s="27"/>
      <c r="J40" s="28"/>
      <c r="K40" s="131"/>
      <c r="L40" s="131"/>
      <c r="M40" s="131"/>
      <c r="N40" s="28"/>
      <c r="O40" s="27"/>
      <c r="P40" s="27"/>
      <c r="Q40" s="131"/>
      <c r="R40" s="131"/>
      <c r="S40" s="4"/>
      <c r="T40" s="4"/>
      <c r="U40" s="4"/>
    </row>
    <row x14ac:dyDescent="0.25" r="41" customHeight="1" ht="17.25">
      <c r="A41" s="4"/>
      <c r="B41" s="4"/>
      <c r="C41" s="4"/>
      <c r="D41" s="4"/>
      <c r="E41" s="4"/>
      <c r="F41" s="27"/>
      <c r="G41" s="27"/>
      <c r="H41" s="4"/>
      <c r="I41" s="27"/>
      <c r="J41" s="28"/>
      <c r="K41" s="131"/>
      <c r="L41" s="131"/>
      <c r="M41" s="131"/>
      <c r="N41" s="28"/>
      <c r="O41" s="27"/>
      <c r="P41" s="27"/>
      <c r="Q41" s="131"/>
      <c r="R41" s="131"/>
      <c r="S41" s="4"/>
      <c r="T41" s="4"/>
      <c r="U41" s="4"/>
    </row>
  </sheetData>
  <mergeCells count="18">
    <mergeCell ref="B4:B6"/>
    <mergeCell ref="C4:C6"/>
    <mergeCell ref="G4:G6"/>
    <mergeCell ref="H4:H6"/>
    <mergeCell ref="B12:B14"/>
    <mergeCell ref="G12:G14"/>
    <mergeCell ref="H12:H14"/>
    <mergeCell ref="B18:B19"/>
    <mergeCell ref="G18:G19"/>
    <mergeCell ref="H18:H19"/>
    <mergeCell ref="B27:B29"/>
    <mergeCell ref="C27:C29"/>
    <mergeCell ref="G27:G29"/>
    <mergeCell ref="H27:H29"/>
    <mergeCell ref="B30:B31"/>
    <mergeCell ref="C30:C31"/>
    <mergeCell ref="G30:G31"/>
    <mergeCell ref="H30:H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8"/>
  <sheetViews>
    <sheetView workbookViewId="0"/>
  </sheetViews>
  <sheetFormatPr defaultRowHeight="15" x14ac:dyDescent="0.25"/>
  <cols>
    <col min="1" max="1" style="23" width="11.005" customWidth="1" bestFit="1"/>
    <col min="2" max="2" style="23" width="14.862142857142858" customWidth="1" bestFit="1"/>
    <col min="3" max="3" style="23" width="22.862142857142857" customWidth="1" bestFit="1"/>
    <col min="4" max="4" style="23" width="75.14785714285713" customWidth="1" bestFit="1"/>
    <col min="5" max="5" style="23" width="13.005" customWidth="1" bestFit="1"/>
    <col min="6" max="6" style="68" width="20.576428571428572" customWidth="1" bestFit="1"/>
    <col min="7" max="7" style="68" width="18.576428571428572" customWidth="1" bestFit="1"/>
    <col min="8" max="8" style="23" width="46.14785714285715" customWidth="1" bestFit="1"/>
    <col min="9" max="9" style="68" width="18.576428571428572" customWidth="1" bestFit="1"/>
    <col min="10" max="10" style="23" width="18.576428571428572" customWidth="1" bestFit="1"/>
    <col min="11" max="11" style="68" width="11.43357142857143" customWidth="1" bestFit="1"/>
    <col min="12" max="12" style="68" width="12.576428571428572" customWidth="1" bestFit="1"/>
    <col min="13" max="13" style="68" width="12.43357142857143" customWidth="1" bestFit="1"/>
    <col min="14" max="14" style="23" width="12.43357142857143" customWidth="1" bestFit="1"/>
    <col min="15" max="15" style="23" width="12.43357142857143" customWidth="1" bestFit="1"/>
    <col min="16" max="16" style="23" width="11.576428571428572" customWidth="1" bestFit="1"/>
  </cols>
  <sheetData>
    <row x14ac:dyDescent="0.25" r="1" customHeight="1" ht="17.25">
      <c r="A1" s="4"/>
      <c r="B1" s="4"/>
      <c r="C1" s="4"/>
      <c r="D1" s="4"/>
      <c r="E1" s="4"/>
      <c r="F1" s="27"/>
      <c r="G1" s="27"/>
      <c r="H1" s="4"/>
      <c r="I1" s="27"/>
      <c r="J1" s="4"/>
      <c r="K1" s="27"/>
      <c r="L1" s="27"/>
      <c r="M1" s="27"/>
      <c r="N1" s="4"/>
      <c r="O1" s="4"/>
      <c r="P1" s="4"/>
    </row>
    <row x14ac:dyDescent="0.25" r="2" customHeight="1" ht="17.25">
      <c r="A2" s="4"/>
      <c r="B2" s="4"/>
      <c r="C2" s="4"/>
      <c r="D2" s="4"/>
      <c r="E2" s="4"/>
      <c r="F2" s="27"/>
      <c r="G2" s="27"/>
      <c r="H2" s="4"/>
      <c r="I2" s="27"/>
      <c r="J2" s="4"/>
      <c r="K2" s="27"/>
      <c r="L2" s="27"/>
      <c r="M2" s="27"/>
      <c r="N2" s="4"/>
      <c r="O2" s="4"/>
      <c r="P2" s="4"/>
    </row>
    <row x14ac:dyDescent="0.25" r="3" customHeight="1" ht="17.25">
      <c r="A3" s="4"/>
      <c r="B3" s="70" t="s">
        <v>18</v>
      </c>
      <c r="C3" s="70" t="s">
        <v>0</v>
      </c>
      <c r="D3" s="70" t="s">
        <v>19</v>
      </c>
      <c r="E3" s="70" t="s">
        <v>20</v>
      </c>
      <c r="F3" s="71" t="s">
        <v>64</v>
      </c>
      <c r="G3" s="71" t="s">
        <v>22</v>
      </c>
      <c r="H3" s="70" t="s">
        <v>23</v>
      </c>
      <c r="I3" s="71" t="s">
        <v>24</v>
      </c>
      <c r="J3" s="4"/>
      <c r="K3" s="32" t="s">
        <v>28</v>
      </c>
      <c r="L3" s="32" t="s">
        <v>29</v>
      </c>
      <c r="M3" s="32" t="s">
        <v>30</v>
      </c>
      <c r="N3" s="4"/>
      <c r="O3" s="4"/>
      <c r="P3" s="4"/>
    </row>
    <row x14ac:dyDescent="0.25" r="4" customHeight="1" ht="17.25">
      <c r="A4" s="102"/>
      <c r="B4" s="124" t="s">
        <v>429</v>
      </c>
      <c r="C4" s="121" t="s">
        <v>430</v>
      </c>
      <c r="D4" s="43" t="s">
        <v>431</v>
      </c>
      <c r="E4" s="72" t="s">
        <v>35</v>
      </c>
      <c r="F4" s="90">
        <v>3533.27</v>
      </c>
      <c r="G4" s="78">
        <f>F4+F5+F6</f>
      </c>
      <c r="H4" s="76" t="s">
        <v>432</v>
      </c>
      <c r="I4" s="42">
        <v>4637.27</v>
      </c>
      <c r="J4" s="25"/>
      <c r="K4" s="90">
        <v>4637.27</v>
      </c>
      <c r="L4" s="108">
        <f>K4/168</f>
      </c>
      <c r="M4" s="122">
        <f>L4*1.3</f>
      </c>
      <c r="N4" s="44"/>
      <c r="O4" s="4"/>
      <c r="P4" s="4"/>
    </row>
    <row x14ac:dyDescent="0.25" r="5" customHeight="1" ht="17.25">
      <c r="A5" s="102"/>
      <c r="B5" s="125"/>
      <c r="C5" s="121" t="s">
        <v>430</v>
      </c>
      <c r="D5" s="43" t="s">
        <v>433</v>
      </c>
      <c r="E5" s="72" t="s">
        <v>35</v>
      </c>
      <c r="F5" s="90">
        <f>3876.64</f>
      </c>
      <c r="G5" s="86"/>
      <c r="H5" s="87"/>
      <c r="I5" s="42">
        <v>3876.64</v>
      </c>
      <c r="J5" s="25"/>
      <c r="K5" s="90">
        <f>4416.45</f>
      </c>
      <c r="L5" s="108">
        <f>K5/168</f>
      </c>
      <c r="M5" s="122">
        <f>L5*1.3</f>
      </c>
      <c r="N5" s="4"/>
      <c r="O5" s="4"/>
      <c r="P5" s="4"/>
    </row>
    <row x14ac:dyDescent="0.25" r="6" customHeight="1" ht="17.25">
      <c r="A6" s="103"/>
      <c r="B6" s="126"/>
      <c r="C6" s="121" t="s">
        <v>430</v>
      </c>
      <c r="D6" s="43" t="s">
        <v>434</v>
      </c>
      <c r="E6" s="72" t="s">
        <v>35</v>
      </c>
      <c r="F6" s="90">
        <v>4637.27</v>
      </c>
      <c r="G6" s="82"/>
      <c r="H6" s="80"/>
      <c r="I6" s="42">
        <v>4637.27</v>
      </c>
      <c r="J6" s="25"/>
      <c r="K6" s="90">
        <v>3850</v>
      </c>
      <c r="L6" s="108">
        <f>K6/168</f>
      </c>
      <c r="M6" s="122">
        <f>L6*1.3</f>
      </c>
      <c r="N6" s="4"/>
      <c r="O6" s="4"/>
      <c r="P6" s="4"/>
    </row>
    <row x14ac:dyDescent="0.25" r="7" customHeight="1" ht="17.25">
      <c r="A7" s="102"/>
      <c r="B7" s="127" t="s">
        <v>435</v>
      </c>
      <c r="C7" s="121" t="s">
        <v>436</v>
      </c>
      <c r="D7" s="43" t="s">
        <v>437</v>
      </c>
      <c r="E7" s="72" t="s">
        <v>35</v>
      </c>
      <c r="F7" s="90">
        <f>2748.77</f>
      </c>
      <c r="G7" s="78">
        <f>F7+F8</f>
      </c>
      <c r="H7" s="76" t="s">
        <v>438</v>
      </c>
      <c r="I7" s="42">
        <v>5497.53</v>
      </c>
      <c r="J7" s="25"/>
      <c r="K7" s="90">
        <v>5497.53</v>
      </c>
      <c r="L7" s="108">
        <f>K7/168</f>
      </c>
      <c r="M7" s="122">
        <f>L7*1.3</f>
      </c>
      <c r="N7" s="4"/>
      <c r="O7" s="4"/>
      <c r="P7" s="4"/>
    </row>
    <row x14ac:dyDescent="0.25" r="8" customHeight="1" ht="17.25">
      <c r="A8" s="102"/>
      <c r="B8" s="126"/>
      <c r="C8" s="121" t="s">
        <v>436</v>
      </c>
      <c r="D8" s="43" t="s">
        <v>439</v>
      </c>
      <c r="E8" s="72" t="s">
        <v>35</v>
      </c>
      <c r="F8" s="90">
        <f>2748.77</f>
      </c>
      <c r="G8" s="82"/>
      <c r="H8" s="80"/>
      <c r="I8" s="42">
        <v>5497.53</v>
      </c>
      <c r="J8" s="25"/>
      <c r="K8" s="90">
        <v>3850</v>
      </c>
      <c r="L8" s="108">
        <f>K8/168</f>
      </c>
      <c r="M8" s="122">
        <f>L8*1.3</f>
      </c>
      <c r="N8" s="4"/>
      <c r="O8" s="4"/>
      <c r="P8" s="4"/>
    </row>
    <row x14ac:dyDescent="0.25" r="9" customHeight="1" ht="17.25">
      <c r="A9" s="102"/>
      <c r="B9" s="128" t="s">
        <v>440</v>
      </c>
      <c r="C9" s="123" t="s">
        <v>441</v>
      </c>
      <c r="D9" s="43" t="s">
        <v>442</v>
      </c>
      <c r="E9" s="72" t="s">
        <v>35</v>
      </c>
      <c r="F9" s="90">
        <v>3312.47</v>
      </c>
      <c r="G9" s="100">
        <f>F9</f>
      </c>
      <c r="H9" s="9" t="s">
        <v>443</v>
      </c>
      <c r="I9" s="42">
        <v>4637.27</v>
      </c>
      <c r="J9" s="25"/>
      <c r="K9" s="90">
        <f>3876.64</f>
      </c>
      <c r="L9" s="108">
        <f>K9/168</f>
      </c>
      <c r="M9" s="122">
        <f>L9*1.3</f>
      </c>
      <c r="N9" s="4"/>
      <c r="O9" s="4"/>
      <c r="P9" s="4"/>
    </row>
    <row x14ac:dyDescent="0.25" r="10" customHeight="1" ht="17.25">
      <c r="A10" s="102"/>
      <c r="B10" s="128" t="s">
        <v>444</v>
      </c>
      <c r="C10" s="121" t="s">
        <v>445</v>
      </c>
      <c r="D10" s="43" t="s">
        <v>446</v>
      </c>
      <c r="E10" s="72" t="s">
        <v>35</v>
      </c>
      <c r="F10" s="90">
        <v>2208.47</v>
      </c>
      <c r="G10" s="74">
        <f>F10</f>
      </c>
      <c r="H10" s="9" t="s">
        <v>447</v>
      </c>
      <c r="I10" s="42">
        <v>4637.27</v>
      </c>
      <c r="J10" s="25"/>
      <c r="K10" s="90">
        <f>4400</f>
      </c>
      <c r="L10" s="108">
        <f>K10/168</f>
      </c>
      <c r="M10" s="122">
        <f>L10*1.3</f>
      </c>
      <c r="N10" s="4"/>
      <c r="O10" s="4"/>
      <c r="P10" s="4"/>
    </row>
    <row x14ac:dyDescent="0.25" r="11" customHeight="1" ht="17.25">
      <c r="A11" s="103"/>
      <c r="B11" s="127" t="s">
        <v>448</v>
      </c>
      <c r="C11" s="121" t="s">
        <v>449</v>
      </c>
      <c r="D11" s="43" t="s">
        <v>450</v>
      </c>
      <c r="E11" s="72" t="s">
        <v>35</v>
      </c>
      <c r="F11" s="90">
        <v>5235.77</v>
      </c>
      <c r="G11" s="78">
        <f>F11+F13+F12</f>
      </c>
      <c r="H11" s="76" t="s">
        <v>451</v>
      </c>
      <c r="I11" s="42">
        <v>5497.53</v>
      </c>
      <c r="J11" s="25"/>
      <c r="K11" s="44"/>
      <c r="L11" s="27"/>
      <c r="M11" s="27"/>
      <c r="N11" s="4"/>
      <c r="O11" s="4"/>
      <c r="P11" s="118"/>
    </row>
    <row x14ac:dyDescent="0.25" r="12" customHeight="1" ht="17.25">
      <c r="A12" s="103"/>
      <c r="B12" s="125"/>
      <c r="C12" s="121" t="s">
        <v>449</v>
      </c>
      <c r="D12" s="43" t="s">
        <v>452</v>
      </c>
      <c r="E12" s="72" t="s">
        <v>35</v>
      </c>
      <c r="F12" s="90">
        <v>5497.53</v>
      </c>
      <c r="G12" s="86"/>
      <c r="H12" s="87"/>
      <c r="I12" s="42">
        <v>5497.53</v>
      </c>
      <c r="J12" s="25"/>
      <c r="K12" s="27"/>
      <c r="L12" s="27"/>
      <c r="M12" s="27"/>
      <c r="N12" s="4"/>
      <c r="O12" s="4"/>
      <c r="P12" s="4"/>
    </row>
    <row x14ac:dyDescent="0.25" r="13" customHeight="1" ht="17.25">
      <c r="A13" s="103"/>
      <c r="B13" s="125"/>
      <c r="C13" s="121" t="s">
        <v>449</v>
      </c>
      <c r="D13" s="43" t="s">
        <v>453</v>
      </c>
      <c r="E13" s="72" t="s">
        <v>35</v>
      </c>
      <c r="F13" s="90">
        <v>5497.53</v>
      </c>
      <c r="G13" s="86"/>
      <c r="H13" s="87"/>
      <c r="I13" s="42">
        <v>5497.53</v>
      </c>
      <c r="J13" s="25"/>
      <c r="K13" s="27"/>
      <c r="L13" s="27"/>
      <c r="M13" s="27"/>
      <c r="N13" s="4"/>
      <c r="O13" s="4"/>
      <c r="P13" s="4"/>
    </row>
    <row x14ac:dyDescent="0.25" r="14" customHeight="1" ht="17.25">
      <c r="A14" s="103"/>
      <c r="B14" s="127" t="s">
        <v>454</v>
      </c>
      <c r="C14" s="121" t="s">
        <v>455</v>
      </c>
      <c r="D14" s="43" t="s">
        <v>456</v>
      </c>
      <c r="E14" s="72" t="s">
        <v>35</v>
      </c>
      <c r="F14" s="90">
        <v>5497.53</v>
      </c>
      <c r="G14" s="78">
        <f>F14+F15</f>
      </c>
      <c r="H14" s="76" t="s">
        <v>268</v>
      </c>
      <c r="I14" s="42">
        <v>5497.53</v>
      </c>
      <c r="J14" s="25"/>
      <c r="K14" s="27"/>
      <c r="L14" s="27"/>
      <c r="M14" s="27"/>
      <c r="N14" s="4"/>
      <c r="O14" s="4"/>
      <c r="P14" s="4"/>
    </row>
    <row x14ac:dyDescent="0.25" r="15" customHeight="1" ht="17.25">
      <c r="A15" s="103"/>
      <c r="B15" s="126"/>
      <c r="C15" s="121" t="s">
        <v>455</v>
      </c>
      <c r="D15" s="43" t="s">
        <v>457</v>
      </c>
      <c r="E15" s="72" t="s">
        <v>35</v>
      </c>
      <c r="F15" s="90">
        <v>5497.53</v>
      </c>
      <c r="G15" s="82"/>
      <c r="H15" s="80"/>
      <c r="I15" s="42">
        <v>5497.53</v>
      </c>
      <c r="J15" s="25"/>
      <c r="K15" s="27"/>
      <c r="L15" s="27"/>
      <c r="M15" s="27"/>
      <c r="N15" s="4"/>
      <c r="O15" s="4"/>
      <c r="P15" s="4"/>
    </row>
    <row x14ac:dyDescent="0.25" r="16" customHeight="1" ht="17.25">
      <c r="A16" s="102"/>
      <c r="B16" s="129" t="s">
        <v>458</v>
      </c>
      <c r="C16" s="121" t="s">
        <v>459</v>
      </c>
      <c r="D16" s="43" t="s">
        <v>460</v>
      </c>
      <c r="E16" s="72" t="s">
        <v>35</v>
      </c>
      <c r="F16" s="90">
        <f>4637.27</f>
      </c>
      <c r="G16" s="100">
        <f>F16</f>
      </c>
      <c r="H16" s="20" t="s">
        <v>50</v>
      </c>
      <c r="I16" s="100">
        <v>4637.27</v>
      </c>
      <c r="J16" s="25"/>
      <c r="K16" s="27"/>
      <c r="L16" s="27"/>
      <c r="M16" s="27"/>
      <c r="N16" s="4"/>
      <c r="O16" s="4"/>
      <c r="P16" s="4"/>
    </row>
    <row x14ac:dyDescent="0.25" r="17" customHeight="1" ht="17.25">
      <c r="A17" s="102"/>
      <c r="B17" s="129" t="s">
        <v>461</v>
      </c>
      <c r="C17" s="121" t="s">
        <v>462</v>
      </c>
      <c r="D17" s="43" t="s">
        <v>463</v>
      </c>
      <c r="E17" s="72" t="s">
        <v>35</v>
      </c>
      <c r="F17" s="90">
        <f>4637.27</f>
      </c>
      <c r="G17" s="112">
        <f>F17</f>
      </c>
      <c r="H17" s="20" t="s">
        <v>50</v>
      </c>
      <c r="I17" s="42">
        <v>4637.27</v>
      </c>
      <c r="J17" s="25"/>
      <c r="K17" s="27"/>
      <c r="L17" s="27"/>
      <c r="M17" s="27"/>
      <c r="N17" s="4"/>
      <c r="O17" s="4"/>
      <c r="P17" s="4"/>
    </row>
    <row x14ac:dyDescent="0.25" r="18" customHeight="1" ht="17.25">
      <c r="A18" s="102"/>
      <c r="B18" s="129" t="s">
        <v>464</v>
      </c>
      <c r="C18" s="121" t="s">
        <v>465</v>
      </c>
      <c r="D18" s="43" t="s">
        <v>466</v>
      </c>
      <c r="E18" s="72" t="s">
        <v>35</v>
      </c>
      <c r="F18" s="90">
        <f>3850</f>
      </c>
      <c r="G18" s="112">
        <f>F18</f>
      </c>
      <c r="H18" s="9" t="s">
        <v>37</v>
      </c>
      <c r="I18" s="42">
        <v>3850</v>
      </c>
      <c r="J18" s="25"/>
      <c r="K18" s="27"/>
      <c r="L18" s="27"/>
      <c r="M18" s="27"/>
      <c r="N18" s="4"/>
      <c r="O18" s="4"/>
      <c r="P18" s="4"/>
    </row>
    <row x14ac:dyDescent="0.25" r="19" customHeight="1" ht="17.25">
      <c r="A19" s="102"/>
      <c r="B19" s="129" t="s">
        <v>467</v>
      </c>
      <c r="C19" s="121" t="s">
        <v>468</v>
      </c>
      <c r="D19" s="43" t="s">
        <v>469</v>
      </c>
      <c r="E19" s="72" t="s">
        <v>35</v>
      </c>
      <c r="F19" s="90">
        <v>4416.445</v>
      </c>
      <c r="G19" s="112">
        <f>F19</f>
      </c>
      <c r="H19" s="9" t="s">
        <v>80</v>
      </c>
      <c r="I19" s="42">
        <v>4416.45</v>
      </c>
      <c r="J19" s="25"/>
      <c r="K19" s="27"/>
      <c r="L19" s="27"/>
      <c r="M19" s="27"/>
      <c r="N19" s="4"/>
      <c r="O19" s="4"/>
      <c r="P19" s="4"/>
    </row>
    <row x14ac:dyDescent="0.25" r="20" customHeight="1" ht="17.25">
      <c r="A20" s="102"/>
      <c r="B20" s="129" t="s">
        <v>470</v>
      </c>
      <c r="C20" s="121" t="s">
        <v>471</v>
      </c>
      <c r="D20" s="43" t="s">
        <v>472</v>
      </c>
      <c r="E20" s="72" t="s">
        <v>35</v>
      </c>
      <c r="F20" s="90">
        <v>3876.64</v>
      </c>
      <c r="G20" s="112">
        <f>F20</f>
      </c>
      <c r="H20" s="9" t="s">
        <v>40</v>
      </c>
      <c r="I20" s="42">
        <v>3876.64</v>
      </c>
      <c r="J20" s="25"/>
      <c r="K20" s="27"/>
      <c r="L20" s="27"/>
      <c r="M20" s="27"/>
      <c r="N20" s="4"/>
      <c r="O20" s="4"/>
      <c r="P20" s="4"/>
    </row>
    <row x14ac:dyDescent="0.25" r="21" customHeight="1" ht="17.25">
      <c r="A21" s="102"/>
      <c r="B21" s="129" t="s">
        <v>473</v>
      </c>
      <c r="C21" s="121" t="s">
        <v>474</v>
      </c>
      <c r="D21" s="43" t="s">
        <v>475</v>
      </c>
      <c r="E21" s="72" t="s">
        <v>35</v>
      </c>
      <c r="F21" s="90">
        <v>3876.64</v>
      </c>
      <c r="G21" s="112">
        <f>F21</f>
      </c>
      <c r="H21" s="9" t="s">
        <v>40</v>
      </c>
      <c r="I21" s="42">
        <v>3876.64</v>
      </c>
      <c r="J21" s="25"/>
      <c r="K21" s="27"/>
      <c r="L21" s="27"/>
      <c r="M21" s="27"/>
      <c r="N21" s="4"/>
      <c r="O21" s="4"/>
      <c r="P21" s="4"/>
    </row>
    <row x14ac:dyDescent="0.25" r="22" customHeight="1" ht="17.25">
      <c r="A22" s="102"/>
      <c r="B22" s="129" t="s">
        <v>476</v>
      </c>
      <c r="C22" s="121" t="s">
        <v>477</v>
      </c>
      <c r="D22" s="43" t="s">
        <v>478</v>
      </c>
      <c r="E22" s="72" t="s">
        <v>35</v>
      </c>
      <c r="F22" s="90">
        <v>4637.27</v>
      </c>
      <c r="G22" s="112">
        <f>F22</f>
      </c>
      <c r="H22" s="9" t="s">
        <v>50</v>
      </c>
      <c r="I22" s="42">
        <v>4637.27</v>
      </c>
      <c r="J22" s="25"/>
      <c r="K22" s="27"/>
      <c r="L22" s="27"/>
      <c r="M22" s="27"/>
      <c r="N22" s="4"/>
      <c r="O22" s="4"/>
      <c r="P22" s="4"/>
    </row>
    <row x14ac:dyDescent="0.25" r="23" customHeight="1" ht="17.25">
      <c r="A23" s="102"/>
      <c r="B23" s="129" t="s">
        <v>479</v>
      </c>
      <c r="C23" s="121" t="s">
        <v>480</v>
      </c>
      <c r="D23" s="43" t="s">
        <v>481</v>
      </c>
      <c r="E23" s="72" t="s">
        <v>35</v>
      </c>
      <c r="F23" s="130">
        <v>4400</v>
      </c>
      <c r="G23" s="112">
        <f>F23</f>
      </c>
      <c r="H23" s="9" t="s">
        <v>428</v>
      </c>
      <c r="I23" s="42">
        <f>4400</f>
      </c>
      <c r="J23" s="25"/>
      <c r="K23" s="27"/>
      <c r="L23" s="27"/>
      <c r="M23" s="27"/>
      <c r="N23" s="4"/>
      <c r="O23" s="4"/>
      <c r="P23" s="4"/>
    </row>
    <row x14ac:dyDescent="0.25" r="24" customHeight="1" ht="17.25">
      <c r="A24" s="4"/>
      <c r="B24" s="112"/>
      <c r="C24" s="10"/>
      <c r="D24" s="43"/>
      <c r="E24" s="72"/>
      <c r="F24" s="130"/>
      <c r="G24" s="112"/>
      <c r="H24" s="9"/>
      <c r="I24" s="42"/>
      <c r="J24" s="25"/>
      <c r="K24" s="27"/>
      <c r="L24" s="27"/>
      <c r="M24" s="27"/>
      <c r="N24" s="4"/>
      <c r="O24" s="4"/>
      <c r="P24" s="4"/>
    </row>
    <row x14ac:dyDescent="0.25" r="25" customHeight="1" ht="17.25">
      <c r="A25" s="4"/>
      <c r="B25" s="4"/>
      <c r="C25" s="4"/>
      <c r="D25" s="58"/>
      <c r="E25" s="4"/>
      <c r="F25" s="27"/>
      <c r="G25" s="27"/>
      <c r="H25" s="4"/>
      <c r="I25" s="27"/>
      <c r="J25" s="25"/>
      <c r="K25" s="27"/>
      <c r="L25" s="27"/>
      <c r="M25" s="27"/>
      <c r="N25" s="4"/>
      <c r="O25" s="4"/>
      <c r="P25" s="4"/>
    </row>
    <row x14ac:dyDescent="0.25" r="26" customHeight="1" ht="17.25">
      <c r="A26" s="4"/>
      <c r="B26" s="4"/>
      <c r="C26" s="4"/>
      <c r="D26" s="89" t="s">
        <v>54</v>
      </c>
      <c r="E26" s="62"/>
      <c r="F26" s="64">
        <f>SUM(F4:F24)</f>
      </c>
      <c r="G26" s="64">
        <f>SUM(G4:G24)</f>
      </c>
      <c r="H26" s="4"/>
      <c r="I26" s="64">
        <f>SUM(I4:I24)</f>
      </c>
      <c r="J26" s="25"/>
      <c r="K26" s="27"/>
      <c r="L26" s="27"/>
      <c r="M26" s="27"/>
      <c r="N26" s="4"/>
      <c r="O26" s="4"/>
      <c r="P26" s="4"/>
    </row>
    <row x14ac:dyDescent="0.25" r="27" customHeight="1" ht="17.25">
      <c r="A27" s="4"/>
      <c r="B27" s="4"/>
      <c r="C27" s="4"/>
      <c r="D27" s="4"/>
      <c r="E27" s="4"/>
      <c r="F27" s="27"/>
      <c r="G27" s="27"/>
      <c r="H27" s="4"/>
      <c r="I27" s="27"/>
      <c r="J27" s="25"/>
      <c r="K27" s="27"/>
      <c r="L27" s="27"/>
      <c r="M27" s="27"/>
      <c r="N27" s="4"/>
      <c r="O27" s="4"/>
      <c r="P27" s="4"/>
    </row>
    <row x14ac:dyDescent="0.25" r="28" customHeight="1" ht="17.25">
      <c r="A28" s="4"/>
      <c r="B28" s="4"/>
      <c r="C28" s="4"/>
      <c r="D28" s="4"/>
      <c r="E28" s="4"/>
      <c r="F28" s="27"/>
      <c r="G28" s="44"/>
      <c r="H28" s="4"/>
      <c r="I28" s="27"/>
      <c r="J28" s="4"/>
      <c r="K28" s="27"/>
      <c r="L28" s="27"/>
      <c r="M28" s="27"/>
      <c r="N28" s="4"/>
      <c r="O28" s="4"/>
      <c r="P28" s="4"/>
    </row>
  </sheetData>
  <mergeCells count="12">
    <mergeCell ref="B4:B6"/>
    <mergeCell ref="G4:G6"/>
    <mergeCell ref="H4:H6"/>
    <mergeCell ref="B7:B8"/>
    <mergeCell ref="G7:G8"/>
    <mergeCell ref="H7:H8"/>
    <mergeCell ref="B11:B13"/>
    <mergeCell ref="G11:G13"/>
    <mergeCell ref="H11:H13"/>
    <mergeCell ref="B14:B15"/>
    <mergeCell ref="G14:G15"/>
    <mergeCell ref="H14:H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9"/>
  <sheetViews>
    <sheetView workbookViewId="0"/>
  </sheetViews>
  <sheetFormatPr defaultRowHeight="15" x14ac:dyDescent="0.25"/>
  <cols>
    <col min="1" max="1" style="23" width="10.862142857142858" customWidth="1" bestFit="1"/>
    <col min="2" max="2" style="23" width="14.862142857142858" customWidth="1" bestFit="1"/>
    <col min="3" max="3" style="23" width="22.862142857142857" customWidth="1" bestFit="1"/>
    <col min="4" max="4" style="23" width="75.14785714285713" customWidth="1" bestFit="1"/>
    <col min="5" max="5" style="23" width="13.005" customWidth="1" bestFit="1"/>
    <col min="6" max="6" style="68" width="20.576428571428572" customWidth="1" bestFit="1"/>
    <col min="7" max="7" style="68" width="18.576428571428572" customWidth="1" bestFit="1"/>
    <col min="8" max="8" style="23" width="46.14785714285715" customWidth="1" bestFit="1"/>
    <col min="9" max="9" style="68" width="18.576428571428572" customWidth="1" bestFit="1"/>
    <col min="10" max="10" style="23" width="18.576428571428572" customWidth="1" bestFit="1"/>
    <col min="11" max="11" style="68" width="11.43357142857143" customWidth="1" bestFit="1"/>
    <col min="12" max="12" style="68" width="12.576428571428572" customWidth="1" bestFit="1"/>
    <col min="13" max="13" style="68" width="12.43357142857143" customWidth="1" bestFit="1"/>
    <col min="14" max="14" style="23" width="12.43357142857143" customWidth="1" bestFit="1"/>
    <col min="15" max="15" style="23" width="12.43357142857143" customWidth="1" bestFit="1"/>
    <col min="16" max="16" style="23" width="11.576428571428572" customWidth="1" bestFit="1"/>
  </cols>
  <sheetData>
    <row x14ac:dyDescent="0.25" r="1" customHeight="1" ht="17.25">
      <c r="A1" s="4"/>
      <c r="B1" s="4"/>
      <c r="C1" s="4"/>
      <c r="D1" s="4"/>
      <c r="E1" s="4"/>
      <c r="F1" s="27"/>
      <c r="G1" s="27"/>
      <c r="H1" s="4"/>
      <c r="I1" s="27"/>
      <c r="J1" s="4"/>
      <c r="K1" s="27"/>
      <c r="L1" s="27"/>
      <c r="M1" s="27"/>
      <c r="N1" s="4"/>
      <c r="O1" s="4"/>
      <c r="P1" s="4"/>
    </row>
    <row x14ac:dyDescent="0.25" r="2" customHeight="1" ht="17.25">
      <c r="A2" s="4"/>
      <c r="B2" s="4"/>
      <c r="C2" s="4"/>
      <c r="D2" s="4"/>
      <c r="E2" s="4"/>
      <c r="F2" s="27"/>
      <c r="G2" s="27"/>
      <c r="H2" s="4"/>
      <c r="I2" s="27"/>
      <c r="J2" s="4"/>
      <c r="K2" s="27"/>
      <c r="L2" s="27"/>
      <c r="M2" s="27"/>
      <c r="N2" s="4"/>
      <c r="O2" s="4"/>
      <c r="P2" s="4"/>
    </row>
    <row x14ac:dyDescent="0.25" r="3" customHeight="1" ht="17.25">
      <c r="A3" s="4"/>
      <c r="B3" s="70" t="s">
        <v>18</v>
      </c>
      <c r="C3" s="70" t="s">
        <v>63</v>
      </c>
      <c r="D3" s="70" t="s">
        <v>19</v>
      </c>
      <c r="E3" s="70" t="s">
        <v>20</v>
      </c>
      <c r="F3" s="71" t="s">
        <v>64</v>
      </c>
      <c r="G3" s="71" t="s">
        <v>22</v>
      </c>
      <c r="H3" s="70" t="s">
        <v>23</v>
      </c>
      <c r="I3" s="71" t="s">
        <v>24</v>
      </c>
      <c r="J3" s="4"/>
      <c r="K3" s="32" t="s">
        <v>28</v>
      </c>
      <c r="L3" s="32" t="s">
        <v>29</v>
      </c>
      <c r="M3" s="32" t="s">
        <v>30</v>
      </c>
      <c r="N3" s="4"/>
      <c r="O3" s="4"/>
      <c r="P3" s="4"/>
    </row>
    <row x14ac:dyDescent="0.25" r="4" customHeight="1" ht="17.25">
      <c r="A4" s="102" t="s">
        <v>118</v>
      </c>
      <c r="B4" s="77" t="s">
        <v>374</v>
      </c>
      <c r="C4" s="121" t="s">
        <v>375</v>
      </c>
      <c r="D4" s="43" t="s">
        <v>376</v>
      </c>
      <c r="E4" s="72" t="s">
        <v>35</v>
      </c>
      <c r="F4" s="90">
        <f>4637.27</f>
      </c>
      <c r="G4" s="78">
        <f>F4+F5+F6</f>
      </c>
      <c r="H4" s="76" t="s">
        <v>377</v>
      </c>
      <c r="I4" s="42">
        <v>4637.27</v>
      </c>
      <c r="J4" s="25"/>
      <c r="K4" s="90">
        <v>4637.27</v>
      </c>
      <c r="L4" s="108">
        <f>K4/168</f>
      </c>
      <c r="M4" s="122">
        <f>L4*1.3</f>
      </c>
      <c r="N4" s="44"/>
      <c r="O4" s="4"/>
      <c r="P4" s="4"/>
    </row>
    <row x14ac:dyDescent="0.25" r="5" customHeight="1" ht="17.25">
      <c r="A5" s="102" t="s">
        <v>118</v>
      </c>
      <c r="B5" s="86"/>
      <c r="C5" s="121" t="s">
        <v>375</v>
      </c>
      <c r="D5" s="43" t="s">
        <v>378</v>
      </c>
      <c r="E5" s="72" t="s">
        <v>35</v>
      </c>
      <c r="F5" s="90">
        <f>3876.64</f>
      </c>
      <c r="G5" s="86"/>
      <c r="H5" s="87"/>
      <c r="I5" s="42">
        <v>3876.64</v>
      </c>
      <c r="J5" s="25"/>
      <c r="K5" s="90">
        <f>4416.45</f>
      </c>
      <c r="L5" s="108">
        <f>K5/168</f>
      </c>
      <c r="M5" s="122">
        <f>L5*1.3</f>
      </c>
      <c r="N5" s="4"/>
      <c r="O5" s="4"/>
      <c r="P5" s="4"/>
    </row>
    <row x14ac:dyDescent="0.25" r="6" customHeight="1" ht="17.25">
      <c r="A6" s="103" t="s">
        <v>118</v>
      </c>
      <c r="B6" s="82"/>
      <c r="C6" s="121" t="s">
        <v>375</v>
      </c>
      <c r="D6" s="43" t="s">
        <v>379</v>
      </c>
      <c r="E6" s="72" t="s">
        <v>35</v>
      </c>
      <c r="F6" s="90">
        <v>4637.27</v>
      </c>
      <c r="G6" s="82"/>
      <c r="H6" s="80"/>
      <c r="I6" s="42">
        <v>4637.27</v>
      </c>
      <c r="J6" s="25"/>
      <c r="K6" s="90">
        <v>3850</v>
      </c>
      <c r="L6" s="108">
        <f>K6/168</f>
      </c>
      <c r="M6" s="122">
        <f>L6*1.3</f>
      </c>
      <c r="N6" s="4"/>
      <c r="O6" s="4"/>
      <c r="P6" s="4"/>
    </row>
    <row x14ac:dyDescent="0.25" r="7" customHeight="1" ht="17.25">
      <c r="A7" s="103" t="s">
        <v>118</v>
      </c>
      <c r="B7" s="81" t="s">
        <v>380</v>
      </c>
      <c r="C7" s="121" t="s">
        <v>381</v>
      </c>
      <c r="D7" s="43" t="s">
        <v>382</v>
      </c>
      <c r="E7" s="72" t="s">
        <v>35</v>
      </c>
      <c r="F7" s="90">
        <f>71.76</f>
      </c>
      <c r="G7" s="82">
        <f>F7</f>
      </c>
      <c r="H7" s="80" t="s">
        <v>383</v>
      </c>
      <c r="I7" s="42">
        <f>F7</f>
      </c>
      <c r="J7" s="25"/>
      <c r="K7" s="90">
        <v>5497.53</v>
      </c>
      <c r="L7" s="108">
        <f>K7/168</f>
      </c>
      <c r="M7" s="122">
        <f>L7*1.3</f>
      </c>
      <c r="N7" s="4"/>
      <c r="O7" s="4"/>
      <c r="P7" s="4"/>
    </row>
    <row x14ac:dyDescent="0.25" r="8" customHeight="1" ht="17.25">
      <c r="A8" s="102" t="s">
        <v>118</v>
      </c>
      <c r="B8" s="81" t="s">
        <v>384</v>
      </c>
      <c r="C8" s="121" t="s">
        <v>385</v>
      </c>
      <c r="D8" s="43" t="s">
        <v>386</v>
      </c>
      <c r="E8" s="72" t="s">
        <v>35</v>
      </c>
      <c r="F8" s="90">
        <f>2748.77</f>
      </c>
      <c r="G8" s="74">
        <f>F8</f>
      </c>
      <c r="H8" s="9" t="s">
        <v>387</v>
      </c>
      <c r="I8" s="42">
        <v>5497.53</v>
      </c>
      <c r="J8" s="25"/>
      <c r="K8" s="90">
        <v>3850</v>
      </c>
      <c r="L8" s="108">
        <f>K8/168</f>
      </c>
      <c r="M8" s="122">
        <f>L8*1.3</f>
      </c>
      <c r="N8" s="4"/>
      <c r="O8" s="4"/>
      <c r="P8" s="4"/>
    </row>
    <row x14ac:dyDescent="0.25" r="9" customHeight="1" ht="17.25">
      <c r="A9" s="102" t="s">
        <v>118</v>
      </c>
      <c r="B9" s="81" t="s">
        <v>388</v>
      </c>
      <c r="C9" s="121" t="s">
        <v>385</v>
      </c>
      <c r="D9" s="43" t="s">
        <v>389</v>
      </c>
      <c r="E9" s="72" t="s">
        <v>35</v>
      </c>
      <c r="F9" s="90">
        <f>2748.77</f>
      </c>
      <c r="G9" s="74">
        <f>F9</f>
      </c>
      <c r="H9" s="9" t="s">
        <v>387</v>
      </c>
      <c r="I9" s="42">
        <v>5497.53</v>
      </c>
      <c r="J9" s="25"/>
      <c r="K9" s="90">
        <f>3876.64</f>
      </c>
      <c r="L9" s="108">
        <f>K9/168</f>
      </c>
      <c r="M9" s="122">
        <f>L9*1.3</f>
      </c>
      <c r="N9" s="4"/>
      <c r="O9" s="4"/>
      <c r="P9" s="4"/>
    </row>
    <row x14ac:dyDescent="0.25" r="10" customHeight="1" ht="17.25">
      <c r="A10" s="102" t="s">
        <v>118</v>
      </c>
      <c r="B10" s="81" t="s">
        <v>390</v>
      </c>
      <c r="C10" s="123" t="s">
        <v>391</v>
      </c>
      <c r="D10" s="43" t="s">
        <v>392</v>
      </c>
      <c r="E10" s="72" t="s">
        <v>35</v>
      </c>
      <c r="F10" s="90">
        <v>4637.27</v>
      </c>
      <c r="G10" s="100">
        <f>F10</f>
      </c>
      <c r="H10" s="9" t="s">
        <v>50</v>
      </c>
      <c r="I10" s="42">
        <v>4637.27</v>
      </c>
      <c r="J10" s="25"/>
      <c r="K10" s="90">
        <f>4400</f>
      </c>
      <c r="L10" s="108">
        <f>K10/168</f>
      </c>
      <c r="M10" s="122">
        <f>L10*1.3</f>
      </c>
      <c r="N10" s="4"/>
      <c r="O10" s="4"/>
      <c r="P10" s="4"/>
    </row>
    <row x14ac:dyDescent="0.25" r="11" customHeight="1" ht="17.25">
      <c r="A11" s="102" t="s">
        <v>118</v>
      </c>
      <c r="B11" s="81" t="s">
        <v>393</v>
      </c>
      <c r="C11" s="121" t="s">
        <v>394</v>
      </c>
      <c r="D11" s="43" t="s">
        <v>395</v>
      </c>
      <c r="E11" s="72" t="s">
        <v>35</v>
      </c>
      <c r="F11" s="90">
        <v>4637.27</v>
      </c>
      <c r="G11" s="74">
        <f>F11</f>
      </c>
      <c r="H11" s="9" t="s">
        <v>50</v>
      </c>
      <c r="I11" s="42">
        <v>4637.27</v>
      </c>
      <c r="J11" s="25"/>
      <c r="K11" s="44"/>
      <c r="L11" s="27"/>
      <c r="M11" s="27"/>
      <c r="N11" s="4"/>
      <c r="O11" s="4"/>
      <c r="P11" s="118"/>
    </row>
    <row x14ac:dyDescent="0.25" r="12" customHeight="1" ht="17.25">
      <c r="A12" s="103" t="s">
        <v>118</v>
      </c>
      <c r="B12" s="77" t="s">
        <v>396</v>
      </c>
      <c r="C12" s="121" t="s">
        <v>397</v>
      </c>
      <c r="D12" s="43" t="s">
        <v>398</v>
      </c>
      <c r="E12" s="72" t="s">
        <v>35</v>
      </c>
      <c r="F12" s="90">
        <f>4188.73</f>
      </c>
      <c r="G12" s="78">
        <f>F12+F14+F13</f>
      </c>
      <c r="H12" s="76" t="s">
        <v>399</v>
      </c>
      <c r="I12" s="42">
        <v>5497.53</v>
      </c>
      <c r="J12" s="25"/>
      <c r="K12" s="27"/>
      <c r="L12" s="27"/>
      <c r="M12" s="27"/>
      <c r="N12" s="4"/>
      <c r="O12" s="4"/>
      <c r="P12" s="4"/>
    </row>
    <row x14ac:dyDescent="0.25" r="13" customHeight="1" ht="17.25">
      <c r="A13" s="103" t="s">
        <v>118</v>
      </c>
      <c r="B13" s="86"/>
      <c r="C13" s="121" t="s">
        <v>397</v>
      </c>
      <c r="D13" s="43" t="s">
        <v>400</v>
      </c>
      <c r="E13" s="72" t="s">
        <v>35</v>
      </c>
      <c r="F13" s="90">
        <v>5497.53</v>
      </c>
      <c r="G13" s="86"/>
      <c r="H13" s="87"/>
      <c r="I13" s="42">
        <v>5497.53</v>
      </c>
      <c r="J13" s="25"/>
      <c r="K13" s="27"/>
      <c r="L13" s="27"/>
      <c r="M13" s="27"/>
      <c r="N13" s="4"/>
      <c r="O13" s="4"/>
      <c r="P13" s="4"/>
    </row>
    <row x14ac:dyDescent="0.25" r="14" customHeight="1" ht="17.25">
      <c r="A14" s="103" t="s">
        <v>118</v>
      </c>
      <c r="B14" s="86"/>
      <c r="C14" s="121" t="s">
        <v>397</v>
      </c>
      <c r="D14" s="43" t="s">
        <v>401</v>
      </c>
      <c r="E14" s="72" t="s">
        <v>35</v>
      </c>
      <c r="F14" s="90">
        <f>3403.45</f>
      </c>
      <c r="G14" s="86"/>
      <c r="H14" s="87"/>
      <c r="I14" s="42">
        <v>5497.53</v>
      </c>
      <c r="J14" s="25"/>
      <c r="K14" s="27"/>
      <c r="L14" s="27"/>
      <c r="M14" s="27"/>
      <c r="N14" s="4"/>
      <c r="O14" s="4"/>
      <c r="P14" s="4"/>
    </row>
    <row x14ac:dyDescent="0.25" r="15" customHeight="1" ht="17.25">
      <c r="A15" s="103" t="s">
        <v>118</v>
      </c>
      <c r="B15" s="77" t="s">
        <v>402</v>
      </c>
      <c r="C15" s="121" t="s">
        <v>403</v>
      </c>
      <c r="D15" s="43" t="s">
        <v>404</v>
      </c>
      <c r="E15" s="72" t="s">
        <v>35</v>
      </c>
      <c r="F15" s="90">
        <v>5497.53</v>
      </c>
      <c r="G15" s="78">
        <f>F15+F16</f>
      </c>
      <c r="H15" s="76" t="s">
        <v>268</v>
      </c>
      <c r="I15" s="42">
        <v>5497.53</v>
      </c>
      <c r="J15" s="25"/>
      <c r="K15" s="27"/>
      <c r="L15" s="27"/>
      <c r="M15" s="27"/>
      <c r="N15" s="4"/>
      <c r="O15" s="4"/>
      <c r="P15" s="4"/>
    </row>
    <row x14ac:dyDescent="0.25" r="16" customHeight="1" ht="17.25">
      <c r="A16" s="103" t="s">
        <v>118</v>
      </c>
      <c r="B16" s="82"/>
      <c r="C16" s="121" t="s">
        <v>403</v>
      </c>
      <c r="D16" s="43" t="s">
        <v>405</v>
      </c>
      <c r="E16" s="72" t="s">
        <v>35</v>
      </c>
      <c r="F16" s="90">
        <v>5497.53</v>
      </c>
      <c r="G16" s="82"/>
      <c r="H16" s="80"/>
      <c r="I16" s="42">
        <v>5497.53</v>
      </c>
      <c r="J16" s="25"/>
      <c r="K16" s="27"/>
      <c r="L16" s="27"/>
      <c r="M16" s="27"/>
      <c r="N16" s="4"/>
      <c r="O16" s="4"/>
      <c r="P16" s="4"/>
    </row>
    <row x14ac:dyDescent="0.25" r="17" customHeight="1" ht="17.25">
      <c r="A17" s="102" t="s">
        <v>118</v>
      </c>
      <c r="B17" s="98" t="s">
        <v>406</v>
      </c>
      <c r="C17" s="121" t="s">
        <v>407</v>
      </c>
      <c r="D17" s="43" t="s">
        <v>408</v>
      </c>
      <c r="E17" s="72" t="s">
        <v>35</v>
      </c>
      <c r="F17" s="90">
        <f>4637.27</f>
      </c>
      <c r="G17" s="100">
        <f>F17</f>
      </c>
      <c r="H17" s="20" t="s">
        <v>50</v>
      </c>
      <c r="I17" s="100">
        <v>4637.27</v>
      </c>
      <c r="J17" s="25"/>
      <c r="K17" s="27"/>
      <c r="L17" s="27"/>
      <c r="M17" s="27"/>
      <c r="N17" s="4"/>
      <c r="O17" s="4"/>
      <c r="P17" s="4"/>
    </row>
    <row x14ac:dyDescent="0.25" r="18" customHeight="1" ht="17.25">
      <c r="A18" s="102" t="s">
        <v>118</v>
      </c>
      <c r="B18" s="98" t="s">
        <v>409</v>
      </c>
      <c r="C18" s="121" t="s">
        <v>410</v>
      </c>
      <c r="D18" s="43" t="s">
        <v>411</v>
      </c>
      <c r="E18" s="72" t="s">
        <v>35</v>
      </c>
      <c r="F18" s="90">
        <f>4637.27</f>
      </c>
      <c r="G18" s="112">
        <f>F18</f>
      </c>
      <c r="H18" s="20" t="s">
        <v>50</v>
      </c>
      <c r="I18" s="42">
        <v>4637.27</v>
      </c>
      <c r="J18" s="25"/>
      <c r="K18" s="27"/>
      <c r="L18" s="27"/>
      <c r="M18" s="27"/>
      <c r="N18" s="4"/>
      <c r="O18" s="4"/>
      <c r="P18" s="4"/>
    </row>
    <row x14ac:dyDescent="0.25" r="19" customHeight="1" ht="17.25">
      <c r="A19" s="102" t="s">
        <v>118</v>
      </c>
      <c r="B19" s="98" t="s">
        <v>412</v>
      </c>
      <c r="C19" s="121" t="s">
        <v>413</v>
      </c>
      <c r="D19" s="43" t="s">
        <v>414</v>
      </c>
      <c r="E19" s="72" t="s">
        <v>35</v>
      </c>
      <c r="F19" s="90">
        <f>3850</f>
      </c>
      <c r="G19" s="112">
        <f>F19</f>
      </c>
      <c r="H19" s="9" t="s">
        <v>37</v>
      </c>
      <c r="I19" s="42">
        <v>3850</v>
      </c>
      <c r="J19" s="25"/>
      <c r="K19" s="27"/>
      <c r="L19" s="27"/>
      <c r="M19" s="27"/>
      <c r="N19" s="4"/>
      <c r="O19" s="4"/>
      <c r="P19" s="4"/>
    </row>
    <row x14ac:dyDescent="0.25" r="20" customHeight="1" ht="17.25">
      <c r="A20" s="102" t="s">
        <v>118</v>
      </c>
      <c r="B20" s="98" t="s">
        <v>415</v>
      </c>
      <c r="C20" s="121" t="s">
        <v>416</v>
      </c>
      <c r="D20" s="43" t="s">
        <v>417</v>
      </c>
      <c r="E20" s="72" t="s">
        <v>35</v>
      </c>
      <c r="F20" s="90">
        <v>4416.445</v>
      </c>
      <c r="G20" s="112">
        <f>F20</f>
      </c>
      <c r="H20" s="9" t="s">
        <v>373</v>
      </c>
      <c r="I20" s="42">
        <v>4416.45</v>
      </c>
      <c r="J20" s="25"/>
      <c r="K20" s="27"/>
      <c r="L20" s="27"/>
      <c r="M20" s="27"/>
      <c r="N20" s="4"/>
      <c r="O20" s="4"/>
      <c r="P20" s="4"/>
    </row>
    <row x14ac:dyDescent="0.25" r="21" customHeight="1" ht="17.25">
      <c r="A21" s="102" t="s">
        <v>118</v>
      </c>
      <c r="B21" s="98" t="s">
        <v>418</v>
      </c>
      <c r="C21" s="121" t="s">
        <v>419</v>
      </c>
      <c r="D21" s="43" t="s">
        <v>420</v>
      </c>
      <c r="E21" s="72" t="s">
        <v>35</v>
      </c>
      <c r="F21" s="90">
        <v>3876.64</v>
      </c>
      <c r="G21" s="112">
        <f>F21</f>
      </c>
      <c r="H21" s="9" t="s">
        <v>40</v>
      </c>
      <c r="I21" s="42">
        <v>3876.64</v>
      </c>
      <c r="J21" s="25"/>
      <c r="K21" s="27"/>
      <c r="L21" s="27"/>
      <c r="M21" s="27"/>
      <c r="N21" s="4"/>
      <c r="O21" s="4"/>
      <c r="P21" s="4"/>
    </row>
    <row x14ac:dyDescent="0.25" r="22" customHeight="1" ht="17.25">
      <c r="A22" s="102" t="s">
        <v>118</v>
      </c>
      <c r="B22" s="98" t="s">
        <v>421</v>
      </c>
      <c r="C22" s="121" t="s">
        <v>33</v>
      </c>
      <c r="D22" s="43" t="s">
        <v>422</v>
      </c>
      <c r="E22" s="72" t="s">
        <v>35</v>
      </c>
      <c r="F22" s="90">
        <v>3876.64</v>
      </c>
      <c r="G22" s="112">
        <f>F22</f>
      </c>
      <c r="H22" s="9" t="s">
        <v>40</v>
      </c>
      <c r="I22" s="42">
        <v>3876.64</v>
      </c>
      <c r="J22" s="25"/>
      <c r="K22" s="27"/>
      <c r="L22" s="27"/>
      <c r="M22" s="27"/>
      <c r="N22" s="4"/>
      <c r="O22" s="4"/>
      <c r="P22" s="4"/>
    </row>
    <row x14ac:dyDescent="0.25" r="23" customHeight="1" ht="17.25">
      <c r="A23" s="102" t="s">
        <v>118</v>
      </c>
      <c r="B23" s="98" t="s">
        <v>423</v>
      </c>
      <c r="C23" s="121" t="s">
        <v>33</v>
      </c>
      <c r="D23" s="43" t="s">
        <v>424</v>
      </c>
      <c r="E23" s="72" t="s">
        <v>35</v>
      </c>
      <c r="F23" s="90">
        <f>3533.27</f>
      </c>
      <c r="G23" s="112">
        <f>F23</f>
      </c>
      <c r="H23" s="9" t="s">
        <v>425</v>
      </c>
      <c r="I23" s="42">
        <v>4637.27</v>
      </c>
      <c r="J23" s="25"/>
      <c r="K23" s="27"/>
      <c r="L23" s="27"/>
      <c r="M23" s="27"/>
      <c r="N23" s="4"/>
      <c r="O23" s="4"/>
      <c r="P23" s="4"/>
    </row>
    <row x14ac:dyDescent="0.25" r="24" customHeight="1" ht="17.25">
      <c r="A24" s="102" t="s">
        <v>118</v>
      </c>
      <c r="B24" s="98" t="s">
        <v>426</v>
      </c>
      <c r="C24" s="121" t="s">
        <v>33</v>
      </c>
      <c r="D24" s="43" t="s">
        <v>427</v>
      </c>
      <c r="E24" s="72" t="s">
        <v>35</v>
      </c>
      <c r="F24" s="90">
        <v>4400</v>
      </c>
      <c r="G24" s="112">
        <f>F24</f>
      </c>
      <c r="H24" s="9" t="s">
        <v>428</v>
      </c>
      <c r="I24" s="42">
        <f>4400</f>
      </c>
      <c r="J24" s="25"/>
      <c r="K24" s="27"/>
      <c r="L24" s="27"/>
      <c r="M24" s="27"/>
      <c r="N24" s="4"/>
      <c r="O24" s="4"/>
      <c r="P24" s="4"/>
    </row>
    <row x14ac:dyDescent="0.25" r="25" customHeight="1" ht="17.25">
      <c r="A25" s="4"/>
      <c r="B25" s="112"/>
      <c r="C25" s="10"/>
      <c r="D25" s="43"/>
      <c r="E25" s="72"/>
      <c r="F25" s="90"/>
      <c r="G25" s="112"/>
      <c r="H25" s="9"/>
      <c r="I25" s="42"/>
      <c r="J25" s="25"/>
      <c r="K25" s="27"/>
      <c r="L25" s="27"/>
      <c r="M25" s="27"/>
      <c r="N25" s="4"/>
      <c r="O25" s="4"/>
      <c r="P25" s="4"/>
    </row>
    <row x14ac:dyDescent="0.25" r="26" customHeight="1" ht="17.25">
      <c r="A26" s="4"/>
      <c r="B26" s="4"/>
      <c r="C26" s="4"/>
      <c r="D26" s="58"/>
      <c r="E26" s="4"/>
      <c r="F26" s="27"/>
      <c r="G26" s="27"/>
      <c r="H26" s="4"/>
      <c r="I26" s="27"/>
      <c r="J26" s="25"/>
      <c r="K26" s="27"/>
      <c r="L26" s="27"/>
      <c r="M26" s="27"/>
      <c r="N26" s="4"/>
      <c r="O26" s="4"/>
      <c r="P26" s="4"/>
    </row>
    <row x14ac:dyDescent="0.25" r="27" customHeight="1" ht="17.25">
      <c r="A27" s="4"/>
      <c r="B27" s="4"/>
      <c r="C27" s="4"/>
      <c r="D27" s="89" t="s">
        <v>54</v>
      </c>
      <c r="E27" s="62"/>
      <c r="F27" s="64">
        <f>SUM(F4:F25)</f>
      </c>
      <c r="G27" s="64">
        <f>SUM(G4:G25)</f>
      </c>
      <c r="H27" s="4"/>
      <c r="I27" s="64">
        <f>SUM(I4:I25)</f>
      </c>
      <c r="J27" s="25"/>
      <c r="K27" s="27"/>
      <c r="L27" s="27"/>
      <c r="M27" s="27"/>
      <c r="N27" s="4"/>
      <c r="O27" s="4"/>
      <c r="P27" s="4"/>
    </row>
    <row x14ac:dyDescent="0.25" r="28" customHeight="1" ht="17.25">
      <c r="A28" s="4"/>
      <c r="B28" s="4"/>
      <c r="C28" s="4"/>
      <c r="D28" s="4"/>
      <c r="E28" s="4"/>
      <c r="F28" s="27"/>
      <c r="G28" s="27"/>
      <c r="H28" s="4"/>
      <c r="I28" s="27"/>
      <c r="J28" s="4"/>
      <c r="K28" s="27"/>
      <c r="L28" s="27"/>
      <c r="M28" s="27"/>
      <c r="N28" s="4"/>
      <c r="O28" s="4"/>
      <c r="P28" s="4"/>
    </row>
    <row x14ac:dyDescent="0.25" r="29" customHeight="1" ht="17.25">
      <c r="A29" s="4"/>
      <c r="B29" s="4"/>
      <c r="C29" s="4"/>
      <c r="D29" s="4"/>
      <c r="E29" s="4"/>
      <c r="F29" s="27"/>
      <c r="G29" s="44"/>
      <c r="H29" s="4"/>
      <c r="I29" s="27"/>
      <c r="J29" s="4"/>
      <c r="K29" s="27"/>
      <c r="L29" s="27"/>
      <c r="M29" s="27"/>
      <c r="N29" s="4"/>
      <c r="O29" s="4"/>
      <c r="P29" s="4"/>
    </row>
  </sheetData>
  <mergeCells count="9">
    <mergeCell ref="B4:B6"/>
    <mergeCell ref="G4:G6"/>
    <mergeCell ref="H4:H6"/>
    <mergeCell ref="B12:B14"/>
    <mergeCell ref="G12:G14"/>
    <mergeCell ref="H12:H14"/>
    <mergeCell ref="B15:B16"/>
    <mergeCell ref="G15:G16"/>
    <mergeCell ref="H15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6"/>
  <sheetViews>
    <sheetView workbookViewId="0"/>
  </sheetViews>
  <sheetFormatPr defaultRowHeight="15" x14ac:dyDescent="0.25"/>
  <cols>
    <col min="1" max="1" style="23" width="10.862142857142858" customWidth="1" bestFit="1"/>
    <col min="2" max="2" style="23" width="14.862142857142858" customWidth="1" bestFit="1"/>
    <col min="3" max="3" style="23" width="22.862142857142857" customWidth="1" bestFit="1"/>
    <col min="4" max="4" style="23" width="75.14785714285713" customWidth="1" bestFit="1"/>
    <col min="5" max="5" style="23" width="13.005" customWidth="1" bestFit="1"/>
    <col min="6" max="6" style="68" width="20.576428571428572" customWidth="1" bestFit="1"/>
    <col min="7" max="7" style="68" width="18.576428571428572" customWidth="1" bestFit="1"/>
    <col min="8" max="8" style="23" width="46.14785714285715" customWidth="1" bestFit="1"/>
    <col min="9" max="9" style="68" width="18.576428571428572" customWidth="1" bestFit="1"/>
    <col min="10" max="10" style="23" width="18.576428571428572" customWidth="1" bestFit="1"/>
    <col min="11" max="11" style="68" width="11.43357142857143" customWidth="1" bestFit="1"/>
    <col min="12" max="12" style="68" width="12.576428571428572" customWidth="1" bestFit="1"/>
    <col min="13" max="13" style="68" width="12.43357142857143" customWidth="1" bestFit="1"/>
    <col min="14" max="14" style="23" width="12.43357142857143" customWidth="1" bestFit="1"/>
    <col min="15" max="15" style="23" width="12.43357142857143" customWidth="1" bestFit="1"/>
    <col min="16" max="16" style="23" width="11.576428571428572" customWidth="1" bestFit="1"/>
  </cols>
  <sheetData>
    <row x14ac:dyDescent="0.25" r="1" customHeight="1" ht="17.25">
      <c r="A1" s="4"/>
      <c r="B1" s="4"/>
      <c r="C1" s="4"/>
      <c r="D1" s="4"/>
      <c r="E1" s="4"/>
      <c r="F1" s="27"/>
      <c r="G1" s="27"/>
      <c r="H1" s="4"/>
      <c r="I1" s="27"/>
      <c r="J1" s="4"/>
      <c r="K1" s="27"/>
      <c r="L1" s="27"/>
      <c r="M1" s="27"/>
      <c r="N1" s="4"/>
      <c r="O1" s="4"/>
      <c r="P1" s="4"/>
    </row>
    <row x14ac:dyDescent="0.25" r="2" customHeight="1" ht="17.25">
      <c r="A2" s="4"/>
      <c r="B2" s="4"/>
      <c r="C2" s="4"/>
      <c r="D2" s="4"/>
      <c r="E2" s="4"/>
      <c r="F2" s="27"/>
      <c r="G2" s="27"/>
      <c r="H2" s="4"/>
      <c r="I2" s="27"/>
      <c r="J2" s="4"/>
      <c r="K2" s="27"/>
      <c r="L2" s="27"/>
      <c r="M2" s="27"/>
      <c r="N2" s="4"/>
      <c r="O2" s="4"/>
      <c r="P2" s="4"/>
    </row>
    <row x14ac:dyDescent="0.25" r="3" customHeight="1" ht="17.25">
      <c r="A3" s="4"/>
      <c r="B3" s="70" t="s">
        <v>18</v>
      </c>
      <c r="C3" s="70" t="s">
        <v>63</v>
      </c>
      <c r="D3" s="70" t="s">
        <v>19</v>
      </c>
      <c r="E3" s="70" t="s">
        <v>20</v>
      </c>
      <c r="F3" s="71" t="s">
        <v>64</v>
      </c>
      <c r="G3" s="71" t="s">
        <v>22</v>
      </c>
      <c r="H3" s="70" t="s">
        <v>23</v>
      </c>
      <c r="I3" s="71" t="s">
        <v>24</v>
      </c>
      <c r="J3" s="4"/>
      <c r="K3" s="32" t="s">
        <v>28</v>
      </c>
      <c r="L3" s="32" t="s">
        <v>29</v>
      </c>
      <c r="M3" s="27"/>
      <c r="N3" s="4"/>
      <c r="O3" s="4"/>
      <c r="P3" s="4"/>
    </row>
    <row x14ac:dyDescent="0.25" r="4" customHeight="1" ht="17.25">
      <c r="A4" s="4"/>
      <c r="B4" s="77" t="s">
        <v>326</v>
      </c>
      <c r="C4" s="10" t="s">
        <v>327</v>
      </c>
      <c r="D4" s="43" t="s">
        <v>328</v>
      </c>
      <c r="E4" s="72" t="s">
        <v>35</v>
      </c>
      <c r="F4" s="90">
        <f>4637.27</f>
      </c>
      <c r="G4" s="78">
        <f>F4+F6+F7+F5</f>
      </c>
      <c r="H4" s="76" t="s">
        <v>329</v>
      </c>
      <c r="I4" s="42">
        <v>4637.27</v>
      </c>
      <c r="J4" s="25"/>
      <c r="K4" s="90">
        <v>4637.27</v>
      </c>
      <c r="L4" s="108">
        <f>K4/168</f>
      </c>
      <c r="M4" s="44">
        <f>L4*1.3</f>
      </c>
      <c r="N4" s="4"/>
      <c r="O4" s="4"/>
      <c r="P4" s="4"/>
    </row>
    <row x14ac:dyDescent="0.25" r="5" customHeight="1" ht="17.25">
      <c r="A5" s="4"/>
      <c r="B5" s="86"/>
      <c r="C5" s="10" t="s">
        <v>327</v>
      </c>
      <c r="D5" s="43" t="s">
        <v>330</v>
      </c>
      <c r="E5" s="72" t="s">
        <v>35</v>
      </c>
      <c r="F5" s="90">
        <f>2*M4</f>
      </c>
      <c r="G5" s="86"/>
      <c r="H5" s="87"/>
      <c r="I5" s="42">
        <f>F5</f>
      </c>
      <c r="J5" s="25"/>
      <c r="K5" s="90">
        <v>5497.53</v>
      </c>
      <c r="L5" s="108">
        <f>K5/168</f>
      </c>
      <c r="M5" s="44"/>
      <c r="N5" s="4"/>
      <c r="O5" s="4"/>
      <c r="P5" s="4"/>
    </row>
    <row x14ac:dyDescent="0.25" r="6" customHeight="1" ht="17.25">
      <c r="A6" s="4"/>
      <c r="B6" s="86"/>
      <c r="C6" s="10" t="s">
        <v>327</v>
      </c>
      <c r="D6" s="43" t="s">
        <v>331</v>
      </c>
      <c r="E6" s="72" t="s">
        <v>35</v>
      </c>
      <c r="F6" s="90">
        <f>3876.64</f>
      </c>
      <c r="G6" s="86"/>
      <c r="H6" s="87"/>
      <c r="I6" s="42">
        <v>3876.64</v>
      </c>
      <c r="J6" s="25"/>
      <c r="K6" s="90">
        <f>4416.45</f>
      </c>
      <c r="L6" s="108">
        <f>K6/168</f>
      </c>
      <c r="M6" s="27"/>
      <c r="N6" s="4"/>
      <c r="O6" s="4"/>
      <c r="P6" s="4"/>
    </row>
    <row x14ac:dyDescent="0.25" r="7" customHeight="1" ht="17.25">
      <c r="A7" s="79"/>
      <c r="B7" s="82"/>
      <c r="C7" s="10" t="s">
        <v>327</v>
      </c>
      <c r="D7" s="43" t="s">
        <v>332</v>
      </c>
      <c r="E7" s="72" t="s">
        <v>35</v>
      </c>
      <c r="F7" s="90">
        <v>4637.27</v>
      </c>
      <c r="G7" s="82"/>
      <c r="H7" s="80"/>
      <c r="I7" s="42">
        <v>4637.27</v>
      </c>
      <c r="J7" s="25"/>
      <c r="K7" s="90">
        <v>3850</v>
      </c>
      <c r="L7" s="108">
        <f>K7/168</f>
      </c>
      <c r="M7" s="27"/>
      <c r="N7" s="4"/>
      <c r="O7" s="4"/>
      <c r="P7" s="4"/>
    </row>
    <row x14ac:dyDescent="0.25" r="8" customHeight="1" ht="17.25">
      <c r="A8" s="4"/>
      <c r="B8" s="72" t="s">
        <v>333</v>
      </c>
      <c r="C8" s="10" t="s">
        <v>334</v>
      </c>
      <c r="D8" s="43" t="s">
        <v>335</v>
      </c>
      <c r="E8" s="72" t="s">
        <v>35</v>
      </c>
      <c r="F8" s="90">
        <f>2879.66</f>
      </c>
      <c r="G8" s="74">
        <f>F8</f>
      </c>
      <c r="H8" s="9" t="s">
        <v>336</v>
      </c>
      <c r="I8" s="42">
        <v>5497.53</v>
      </c>
      <c r="J8" s="25"/>
      <c r="K8" s="90">
        <v>3850</v>
      </c>
      <c r="L8" s="108">
        <f>K8/168</f>
      </c>
      <c r="M8" s="27"/>
      <c r="N8" s="4"/>
      <c r="O8" s="4"/>
      <c r="P8" s="4"/>
    </row>
    <row x14ac:dyDescent="0.25" r="9" customHeight="1" ht="17.25">
      <c r="A9" s="4"/>
      <c r="B9" s="72" t="s">
        <v>337</v>
      </c>
      <c r="C9" s="10" t="s">
        <v>338</v>
      </c>
      <c r="D9" s="43" t="s">
        <v>339</v>
      </c>
      <c r="E9" s="72" t="s">
        <v>35</v>
      </c>
      <c r="F9" s="90">
        <f>2617.87</f>
      </c>
      <c r="G9" s="74">
        <f>F9</f>
      </c>
      <c r="H9" s="9" t="s">
        <v>340</v>
      </c>
      <c r="I9" s="42">
        <v>5497.53</v>
      </c>
      <c r="J9" s="25"/>
      <c r="K9" s="90">
        <f>3876.64</f>
      </c>
      <c r="L9" s="108">
        <f>K9/168</f>
      </c>
      <c r="M9" s="27"/>
      <c r="N9" s="4"/>
      <c r="O9" s="4"/>
      <c r="P9" s="4"/>
    </row>
    <row x14ac:dyDescent="0.25" r="10" customHeight="1" ht="17.25">
      <c r="A10" s="4"/>
      <c r="B10" s="72" t="s">
        <v>341</v>
      </c>
      <c r="C10" s="117" t="s">
        <v>342</v>
      </c>
      <c r="D10" s="43" t="s">
        <v>343</v>
      </c>
      <c r="E10" s="72" t="s">
        <v>35</v>
      </c>
      <c r="F10" s="90">
        <v>4637.27</v>
      </c>
      <c r="G10" s="100">
        <f>F10</f>
      </c>
      <c r="H10" s="9" t="s">
        <v>50</v>
      </c>
      <c r="I10" s="42">
        <v>4637.27</v>
      </c>
      <c r="J10" s="25"/>
      <c r="K10" s="27"/>
      <c r="L10" s="27"/>
      <c r="M10" s="27"/>
      <c r="N10" s="4"/>
      <c r="O10" s="4"/>
      <c r="P10" s="4"/>
    </row>
    <row x14ac:dyDescent="0.25" r="11" customHeight="1" ht="17.25">
      <c r="A11" s="4"/>
      <c r="B11" s="72" t="s">
        <v>344</v>
      </c>
      <c r="C11" s="10" t="s">
        <v>345</v>
      </c>
      <c r="D11" s="43" t="s">
        <v>346</v>
      </c>
      <c r="E11" s="72" t="s">
        <v>35</v>
      </c>
      <c r="F11" s="90">
        <v>4637.27</v>
      </c>
      <c r="G11" s="74">
        <f>F11</f>
      </c>
      <c r="H11" s="9" t="s">
        <v>50</v>
      </c>
      <c r="I11" s="42">
        <v>4637.27</v>
      </c>
      <c r="J11" s="25"/>
      <c r="K11" s="44"/>
      <c r="L11" s="27"/>
      <c r="M11" s="27"/>
      <c r="N11" s="4"/>
      <c r="O11" s="4"/>
      <c r="P11" s="118"/>
    </row>
    <row x14ac:dyDescent="0.25" r="12" customHeight="1" ht="17.25">
      <c r="A12" s="79"/>
      <c r="B12" s="77" t="s">
        <v>347</v>
      </c>
      <c r="C12" s="10" t="s">
        <v>348</v>
      </c>
      <c r="D12" s="43" t="s">
        <v>349</v>
      </c>
      <c r="E12" s="72" t="s">
        <v>35</v>
      </c>
      <c r="F12" s="90">
        <v>5497.53</v>
      </c>
      <c r="G12" s="78">
        <f>F12+F14+F13</f>
      </c>
      <c r="H12" s="76" t="s">
        <v>350</v>
      </c>
      <c r="I12" s="42">
        <v>5497.53</v>
      </c>
      <c r="J12" s="25"/>
      <c r="K12" s="27"/>
      <c r="L12" s="27"/>
      <c r="M12" s="27"/>
      <c r="N12" s="4"/>
      <c r="O12" s="4"/>
      <c r="P12" s="4"/>
    </row>
    <row x14ac:dyDescent="0.25" r="13" customHeight="1" ht="17.25">
      <c r="A13" s="79"/>
      <c r="B13" s="86"/>
      <c r="C13" s="10" t="s">
        <v>348</v>
      </c>
      <c r="D13" s="43" t="s">
        <v>351</v>
      </c>
      <c r="E13" s="72" t="s">
        <v>35</v>
      </c>
      <c r="F13" s="90">
        <v>5497.53</v>
      </c>
      <c r="G13" s="86"/>
      <c r="H13" s="87"/>
      <c r="I13" s="42">
        <v>5497.53</v>
      </c>
      <c r="J13" s="25"/>
      <c r="K13" s="27"/>
      <c r="L13" s="27"/>
      <c r="M13" s="27"/>
      <c r="N13" s="4"/>
      <c r="O13" s="4"/>
      <c r="P13" s="4"/>
    </row>
    <row x14ac:dyDescent="0.25" r="14" customHeight="1" ht="17.25">
      <c r="A14" s="79"/>
      <c r="B14" s="86"/>
      <c r="C14" s="10" t="s">
        <v>348</v>
      </c>
      <c r="D14" s="43" t="s">
        <v>352</v>
      </c>
      <c r="E14" s="72" t="s">
        <v>35</v>
      </c>
      <c r="F14" s="90">
        <f>2879.93</f>
      </c>
      <c r="G14" s="86"/>
      <c r="H14" s="87"/>
      <c r="I14" s="42">
        <v>5497.53</v>
      </c>
      <c r="J14" s="25"/>
      <c r="K14" s="27"/>
      <c r="L14" s="27"/>
      <c r="M14" s="27"/>
      <c r="N14" s="4"/>
      <c r="O14" s="4"/>
      <c r="P14" s="4"/>
    </row>
    <row x14ac:dyDescent="0.25" r="15" customHeight="1" ht="17.25">
      <c r="A15" s="79"/>
      <c r="B15" s="77" t="s">
        <v>353</v>
      </c>
      <c r="C15" s="10" t="s">
        <v>354</v>
      </c>
      <c r="D15" s="43" t="s">
        <v>355</v>
      </c>
      <c r="E15" s="72" t="s">
        <v>35</v>
      </c>
      <c r="F15" s="90">
        <v>5497.53</v>
      </c>
      <c r="G15" s="78">
        <f>F15+F16</f>
      </c>
      <c r="H15" s="76" t="s">
        <v>268</v>
      </c>
      <c r="I15" s="42">
        <v>5497.53</v>
      </c>
      <c r="J15" s="25"/>
      <c r="K15" s="27"/>
      <c r="L15" s="27"/>
      <c r="M15" s="27"/>
      <c r="N15" s="4"/>
      <c r="O15" s="4"/>
      <c r="P15" s="4"/>
    </row>
    <row x14ac:dyDescent="0.25" r="16" customHeight="1" ht="17.25">
      <c r="A16" s="79"/>
      <c r="B16" s="82"/>
      <c r="C16" s="10" t="s">
        <v>354</v>
      </c>
      <c r="D16" s="43" t="s">
        <v>356</v>
      </c>
      <c r="E16" s="72" t="s">
        <v>35</v>
      </c>
      <c r="F16" s="90">
        <v>5497.53</v>
      </c>
      <c r="G16" s="82"/>
      <c r="H16" s="80"/>
      <c r="I16" s="42">
        <v>5497.53</v>
      </c>
      <c r="J16" s="25"/>
      <c r="K16" s="27"/>
      <c r="L16" s="27"/>
      <c r="M16" s="27"/>
      <c r="N16" s="4"/>
      <c r="O16" s="4"/>
      <c r="P16" s="4"/>
    </row>
    <row x14ac:dyDescent="0.25" r="17" customHeight="1" ht="17.25">
      <c r="A17" s="4"/>
      <c r="B17" s="77" t="s">
        <v>357</v>
      </c>
      <c r="C17" s="10" t="s">
        <v>358</v>
      </c>
      <c r="D17" s="43" t="s">
        <v>359</v>
      </c>
      <c r="E17" s="72" t="s">
        <v>35</v>
      </c>
      <c r="F17" s="90">
        <f>4637.27/2</f>
      </c>
      <c r="G17" s="78">
        <f>F17+F18</f>
      </c>
      <c r="H17" s="76" t="s">
        <v>50</v>
      </c>
      <c r="I17" s="78">
        <v>4637.27</v>
      </c>
      <c r="J17" s="25"/>
      <c r="K17" s="27"/>
      <c r="L17" s="27"/>
      <c r="M17" s="27"/>
      <c r="N17" s="4"/>
      <c r="O17" s="4"/>
      <c r="P17" s="4"/>
    </row>
    <row x14ac:dyDescent="0.25" r="18" customHeight="1" ht="17.25">
      <c r="A18" s="4"/>
      <c r="B18" s="82"/>
      <c r="C18" s="10" t="s">
        <v>358</v>
      </c>
      <c r="D18" s="43" t="s">
        <v>360</v>
      </c>
      <c r="E18" s="72" t="s">
        <v>35</v>
      </c>
      <c r="F18" s="90">
        <f>4637.27/2</f>
      </c>
      <c r="G18" s="82"/>
      <c r="H18" s="80"/>
      <c r="I18" s="82"/>
      <c r="J18" s="25"/>
      <c r="K18" s="27"/>
      <c r="L18" s="27"/>
      <c r="M18" s="27"/>
      <c r="N18" s="4"/>
      <c r="O18" s="4"/>
      <c r="P18" s="4"/>
    </row>
    <row x14ac:dyDescent="0.25" r="19" customHeight="1" ht="17.25">
      <c r="A19" s="4"/>
      <c r="B19" s="119" t="s">
        <v>361</v>
      </c>
      <c r="C19" s="10" t="s">
        <v>362</v>
      </c>
      <c r="D19" s="43" t="s">
        <v>363</v>
      </c>
      <c r="E19" s="72" t="s">
        <v>35</v>
      </c>
      <c r="F19" s="90">
        <f>2208.22</f>
      </c>
      <c r="G19" s="112">
        <f>F19</f>
      </c>
      <c r="H19" s="9" t="s">
        <v>364</v>
      </c>
      <c r="I19" s="42">
        <v>4637.27</v>
      </c>
      <c r="J19" s="25"/>
      <c r="K19" s="27"/>
      <c r="L19" s="27"/>
      <c r="M19" s="27"/>
      <c r="N19" s="4"/>
      <c r="O19" s="4"/>
      <c r="P19" s="4"/>
    </row>
    <row x14ac:dyDescent="0.25" r="20" customHeight="1" ht="17.25">
      <c r="A20" s="4"/>
      <c r="B20" s="120"/>
      <c r="C20" s="10" t="s">
        <v>362</v>
      </c>
      <c r="D20" s="43" t="s">
        <v>365</v>
      </c>
      <c r="E20" s="72" t="s">
        <v>35</v>
      </c>
      <c r="F20" s="90">
        <f>2429.05</f>
      </c>
      <c r="G20" s="112">
        <f>F20</f>
      </c>
      <c r="H20" s="9" t="s">
        <v>366</v>
      </c>
      <c r="I20" s="42">
        <v>4637.27</v>
      </c>
      <c r="J20" s="25"/>
      <c r="K20" s="27"/>
      <c r="L20" s="27"/>
      <c r="M20" s="27"/>
      <c r="N20" s="4"/>
      <c r="O20" s="4"/>
      <c r="P20" s="4"/>
    </row>
    <row x14ac:dyDescent="0.25" r="21" customHeight="1" ht="17.25">
      <c r="A21" s="4"/>
      <c r="B21" s="72" t="s">
        <v>367</v>
      </c>
      <c r="C21" s="10" t="s">
        <v>368</v>
      </c>
      <c r="D21" s="43" t="s">
        <v>369</v>
      </c>
      <c r="E21" s="72" t="s">
        <v>35</v>
      </c>
      <c r="F21" s="90">
        <f>3850</f>
      </c>
      <c r="G21" s="112">
        <f>F21</f>
      </c>
      <c r="H21" s="9" t="s">
        <v>37</v>
      </c>
      <c r="I21" s="42">
        <v>3850</v>
      </c>
      <c r="J21" s="25"/>
      <c r="K21" s="27"/>
      <c r="L21" s="27"/>
      <c r="M21" s="27"/>
      <c r="N21" s="4"/>
      <c r="O21" s="4"/>
      <c r="P21" s="4"/>
    </row>
    <row x14ac:dyDescent="0.25" r="22" customHeight="1" ht="17.25">
      <c r="A22" s="4"/>
      <c r="B22" s="72" t="s">
        <v>370</v>
      </c>
      <c r="C22" s="10" t="s">
        <v>371</v>
      </c>
      <c r="D22" s="43" t="s">
        <v>372</v>
      </c>
      <c r="E22" s="72" t="s">
        <v>35</v>
      </c>
      <c r="F22" s="90">
        <v>4416.445</v>
      </c>
      <c r="G22" s="112">
        <f>F22</f>
      </c>
      <c r="H22" s="9" t="s">
        <v>373</v>
      </c>
      <c r="I22" s="42">
        <v>4416.45</v>
      </c>
      <c r="J22" s="25"/>
      <c r="K22" s="27"/>
      <c r="L22" s="27"/>
      <c r="M22" s="27"/>
      <c r="N22" s="4"/>
      <c r="O22" s="4"/>
      <c r="P22" s="4"/>
    </row>
    <row x14ac:dyDescent="0.25" r="23" customHeight="1" ht="17.25">
      <c r="A23" s="4"/>
      <c r="B23" s="4"/>
      <c r="C23" s="4"/>
      <c r="D23" s="58"/>
      <c r="E23" s="4"/>
      <c r="F23" s="27"/>
      <c r="G23" s="27"/>
      <c r="H23" s="4"/>
      <c r="I23" s="27"/>
      <c r="J23" s="25"/>
      <c r="K23" s="27"/>
      <c r="L23" s="27"/>
      <c r="M23" s="27"/>
      <c r="N23" s="4"/>
      <c r="O23" s="4"/>
      <c r="P23" s="4"/>
    </row>
    <row x14ac:dyDescent="0.25" r="24" customHeight="1" ht="17.25">
      <c r="A24" s="4"/>
      <c r="B24" s="4"/>
      <c r="C24" s="4"/>
      <c r="D24" s="89" t="s">
        <v>54</v>
      </c>
      <c r="E24" s="62"/>
      <c r="F24" s="64">
        <f>SUM(F4:F22)</f>
      </c>
      <c r="G24" s="64">
        <f>SUM(G4:G22)</f>
      </c>
      <c r="H24" s="4"/>
      <c r="I24" s="64">
        <f>SUM(I4:I22)</f>
      </c>
      <c r="J24" s="25"/>
      <c r="K24" s="27"/>
      <c r="L24" s="27"/>
      <c r="M24" s="27"/>
      <c r="N24" s="4"/>
      <c r="O24" s="4"/>
      <c r="P24" s="4"/>
    </row>
    <row x14ac:dyDescent="0.25" r="25" customHeight="1" ht="17.25">
      <c r="A25" s="4"/>
      <c r="B25" s="4"/>
      <c r="C25" s="4"/>
      <c r="D25" s="4"/>
      <c r="E25" s="4"/>
      <c r="F25" s="27"/>
      <c r="G25" s="27"/>
      <c r="H25" s="4"/>
      <c r="I25" s="27"/>
      <c r="J25" s="4"/>
      <c r="K25" s="27"/>
      <c r="L25" s="27"/>
      <c r="M25" s="27"/>
      <c r="N25" s="4"/>
      <c r="O25" s="4"/>
      <c r="P25" s="4"/>
    </row>
    <row x14ac:dyDescent="0.25" r="26" customHeight="1" ht="17.25">
      <c r="A26" s="4"/>
      <c r="B26" s="4"/>
      <c r="C26" s="4"/>
      <c r="D26" s="4"/>
      <c r="E26" s="4"/>
      <c r="F26" s="27"/>
      <c r="G26" s="44"/>
      <c r="H26" s="4"/>
      <c r="I26" s="27"/>
      <c r="J26" s="4"/>
      <c r="K26" s="27"/>
      <c r="L26" s="27"/>
      <c r="M26" s="27"/>
      <c r="N26" s="4"/>
      <c r="O26" s="4"/>
      <c r="P26" s="4"/>
    </row>
  </sheetData>
  <mergeCells count="14">
    <mergeCell ref="B4:B7"/>
    <mergeCell ref="G4:G7"/>
    <mergeCell ref="H4:H7"/>
    <mergeCell ref="B12:B14"/>
    <mergeCell ref="G12:G14"/>
    <mergeCell ref="H12:H14"/>
    <mergeCell ref="B15:B16"/>
    <mergeCell ref="G15:G16"/>
    <mergeCell ref="H15:H16"/>
    <mergeCell ref="B17:B18"/>
    <mergeCell ref="G17:G18"/>
    <mergeCell ref="H17:H18"/>
    <mergeCell ref="I17:I18"/>
    <mergeCell ref="B19:B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3"/>
  <sheetViews>
    <sheetView workbookViewId="0"/>
  </sheetViews>
  <sheetFormatPr defaultRowHeight="15" x14ac:dyDescent="0.25"/>
  <cols>
    <col min="1" max="1" style="23" width="10.862142857142858" customWidth="1" bestFit="1"/>
    <col min="2" max="2" style="23" width="20.433571428571426" customWidth="1" bestFit="1"/>
    <col min="3" max="3" style="23" width="14.862142857142858" customWidth="1" bestFit="1"/>
    <col min="4" max="4" style="23" width="22.862142857142857" customWidth="1" bestFit="1"/>
    <col min="5" max="5" style="23" width="75.14785714285713" customWidth="1" bestFit="1"/>
    <col min="6" max="6" style="23" width="13.005" customWidth="1" bestFit="1"/>
    <col min="7" max="7" style="68" width="20.576428571428572" customWidth="1" bestFit="1"/>
    <col min="8" max="8" style="68" width="18.576428571428572" customWidth="1" bestFit="1"/>
    <col min="9" max="9" style="23" width="46.14785714285715" customWidth="1" bestFit="1"/>
    <col min="10" max="10" style="23" width="12.43357142857143" customWidth="1" bestFit="1"/>
    <col min="11" max="11" style="23" width="12.43357142857143" customWidth="1" bestFit="1"/>
  </cols>
  <sheetData>
    <row x14ac:dyDescent="0.25" r="1" customHeight="1" ht="17.25">
      <c r="A1" s="4"/>
      <c r="B1" s="4"/>
      <c r="C1" s="4"/>
      <c r="D1" s="4"/>
      <c r="E1" s="4"/>
      <c r="F1" s="4"/>
      <c r="G1" s="27"/>
      <c r="H1" s="27"/>
      <c r="I1" s="4"/>
      <c r="J1" s="4"/>
      <c r="K1" s="4"/>
    </row>
    <row x14ac:dyDescent="0.25" r="2" customHeight="1" ht="17.25">
      <c r="A2" s="4"/>
      <c r="B2" s="4"/>
      <c r="C2" s="4"/>
      <c r="D2" s="4"/>
      <c r="E2" s="4"/>
      <c r="F2" s="4"/>
      <c r="G2" s="27"/>
      <c r="H2" s="27"/>
      <c r="I2" s="4"/>
      <c r="J2" s="4"/>
      <c r="K2" s="4"/>
    </row>
    <row x14ac:dyDescent="0.25" r="3" customHeight="1" ht="17.25">
      <c r="A3" s="4"/>
      <c r="B3" s="70"/>
      <c r="C3" s="70" t="s">
        <v>18</v>
      </c>
      <c r="D3" s="70" t="s">
        <v>63</v>
      </c>
      <c r="E3" s="70" t="s">
        <v>19</v>
      </c>
      <c r="F3" s="70" t="s">
        <v>20</v>
      </c>
      <c r="G3" s="71" t="s">
        <v>64</v>
      </c>
      <c r="H3" s="71" t="s">
        <v>22</v>
      </c>
      <c r="I3" s="70" t="s">
        <v>23</v>
      </c>
      <c r="J3" s="4"/>
      <c r="K3" s="4"/>
    </row>
    <row x14ac:dyDescent="0.25" r="4" customHeight="1" ht="17.25">
      <c r="A4" s="102" t="s">
        <v>118</v>
      </c>
      <c r="B4" s="106" t="s">
        <v>287</v>
      </c>
      <c r="C4" s="77" t="s">
        <v>288</v>
      </c>
      <c r="D4" s="96" t="s">
        <v>69</v>
      </c>
      <c r="E4" s="43" t="s">
        <v>289</v>
      </c>
      <c r="F4" s="72" t="s">
        <v>35</v>
      </c>
      <c r="G4" s="42">
        <v>4637.27</v>
      </c>
      <c r="H4" s="78">
        <f>G4+G5</f>
      </c>
      <c r="I4" s="77" t="s">
        <v>290</v>
      </c>
      <c r="J4" s="4" t="s">
        <v>118</v>
      </c>
      <c r="K4" s="4"/>
    </row>
    <row x14ac:dyDescent="0.25" r="5" customHeight="1" ht="17.25">
      <c r="A5" s="102" t="s">
        <v>118</v>
      </c>
      <c r="B5" s="109"/>
      <c r="C5" s="81"/>
      <c r="D5" s="96" t="s">
        <v>235</v>
      </c>
      <c r="E5" s="43" t="s">
        <v>291</v>
      </c>
      <c r="F5" s="72" t="s">
        <v>35</v>
      </c>
      <c r="G5" s="42">
        <f>3876.64</f>
      </c>
      <c r="H5" s="82"/>
      <c r="I5" s="81"/>
      <c r="J5" s="4" t="s">
        <v>118</v>
      </c>
      <c r="K5" s="4"/>
    </row>
    <row x14ac:dyDescent="0.25" r="6" customHeight="1" ht="17.25">
      <c r="A6" s="102" t="s">
        <v>118</v>
      </c>
      <c r="B6" s="110" t="s">
        <v>292</v>
      </c>
      <c r="C6" s="72" t="s">
        <v>293</v>
      </c>
      <c r="D6" s="96" t="s">
        <v>73</v>
      </c>
      <c r="E6" s="43" t="s">
        <v>294</v>
      </c>
      <c r="F6" s="72" t="s">
        <v>35</v>
      </c>
      <c r="G6" s="42">
        <f>5497.53</f>
      </c>
      <c r="H6" s="74">
        <f>G6</f>
      </c>
      <c r="I6" s="9" t="s">
        <v>75</v>
      </c>
      <c r="J6" s="4" t="s">
        <v>118</v>
      </c>
      <c r="K6" s="4"/>
    </row>
    <row x14ac:dyDescent="0.25" r="7" customHeight="1" ht="17.25">
      <c r="A7" s="102" t="s">
        <v>118</v>
      </c>
      <c r="B7" s="113" t="s">
        <v>295</v>
      </c>
      <c r="C7" s="72" t="s">
        <v>296</v>
      </c>
      <c r="D7" s="99" t="s">
        <v>78</v>
      </c>
      <c r="E7" s="43" t="s">
        <v>297</v>
      </c>
      <c r="F7" s="72" t="s">
        <v>35</v>
      </c>
      <c r="G7" s="42">
        <v>4637.27</v>
      </c>
      <c r="H7" s="100">
        <f>G7</f>
      </c>
      <c r="I7" s="9" t="s">
        <v>50</v>
      </c>
      <c r="J7" s="4" t="s">
        <v>118</v>
      </c>
      <c r="K7" s="4"/>
    </row>
    <row x14ac:dyDescent="0.25" r="8" customHeight="1" ht="17.25">
      <c r="A8" s="103" t="s">
        <v>118</v>
      </c>
      <c r="B8" s="106" t="s">
        <v>298</v>
      </c>
      <c r="C8" s="77" t="s">
        <v>299</v>
      </c>
      <c r="D8" s="96" t="s">
        <v>84</v>
      </c>
      <c r="E8" s="43" t="s">
        <v>300</v>
      </c>
      <c r="F8" s="72" t="s">
        <v>35</v>
      </c>
      <c r="G8" s="42">
        <v>4637.27</v>
      </c>
      <c r="H8" s="78">
        <f>G8+G9</f>
      </c>
      <c r="I8" s="76" t="s">
        <v>86</v>
      </c>
      <c r="J8" s="4" t="s">
        <v>118</v>
      </c>
      <c r="K8" s="4"/>
    </row>
    <row x14ac:dyDescent="0.25" r="9" customHeight="1" ht="17.25">
      <c r="A9" s="103" t="s">
        <v>118</v>
      </c>
      <c r="B9" s="109"/>
      <c r="C9" s="81"/>
      <c r="D9" s="96" t="s">
        <v>87</v>
      </c>
      <c r="E9" s="43" t="s">
        <v>301</v>
      </c>
      <c r="F9" s="72" t="s">
        <v>35</v>
      </c>
      <c r="G9" s="42">
        <v>4637.27</v>
      </c>
      <c r="H9" s="82"/>
      <c r="I9" s="80"/>
      <c r="J9" s="4" t="s">
        <v>118</v>
      </c>
      <c r="K9" s="4"/>
    </row>
    <row x14ac:dyDescent="0.25" r="10" customHeight="1" ht="17.25">
      <c r="A10" s="102" t="s">
        <v>118</v>
      </c>
      <c r="B10" s="110" t="s">
        <v>302</v>
      </c>
      <c r="C10" s="72" t="s">
        <v>303</v>
      </c>
      <c r="D10" s="96" t="s">
        <v>91</v>
      </c>
      <c r="E10" s="43" t="s">
        <v>304</v>
      </c>
      <c r="F10" s="72" t="s">
        <v>35</v>
      </c>
      <c r="G10" s="42">
        <v>4637.27</v>
      </c>
      <c r="H10" s="74">
        <f>G10</f>
      </c>
      <c r="I10" s="9" t="s">
        <v>50</v>
      </c>
      <c r="J10" s="4" t="s">
        <v>118</v>
      </c>
      <c r="K10" s="4"/>
    </row>
    <row x14ac:dyDescent="0.25" r="11" customHeight="1" ht="17.25">
      <c r="A11" s="103" t="s">
        <v>118</v>
      </c>
      <c r="B11" s="114" t="s">
        <v>305</v>
      </c>
      <c r="C11" s="77" t="s">
        <v>306</v>
      </c>
      <c r="D11" s="96" t="s">
        <v>95</v>
      </c>
      <c r="E11" s="43" t="s">
        <v>307</v>
      </c>
      <c r="F11" s="72" t="s">
        <v>35</v>
      </c>
      <c r="G11" s="42">
        <v>5497.53</v>
      </c>
      <c r="H11" s="78">
        <f>G11+G13+G12</f>
      </c>
      <c r="I11" s="76" t="s">
        <v>97</v>
      </c>
      <c r="J11" s="4" t="s">
        <v>118</v>
      </c>
      <c r="K11" s="4"/>
    </row>
    <row x14ac:dyDescent="0.25" r="12" customHeight="1" ht="17.25">
      <c r="A12" s="103" t="s">
        <v>118</v>
      </c>
      <c r="B12" s="115"/>
      <c r="C12" s="85"/>
      <c r="D12" s="96" t="s">
        <v>98</v>
      </c>
      <c r="E12" s="43" t="s">
        <v>308</v>
      </c>
      <c r="F12" s="72" t="s">
        <v>35</v>
      </c>
      <c r="G12" s="42">
        <v>5497.53</v>
      </c>
      <c r="H12" s="86"/>
      <c r="I12" s="87"/>
      <c r="J12" s="4" t="s">
        <v>118</v>
      </c>
      <c r="K12" s="4"/>
    </row>
    <row x14ac:dyDescent="0.25" r="13" customHeight="1" ht="17.25">
      <c r="A13" s="103" t="s">
        <v>118</v>
      </c>
      <c r="B13" s="115"/>
      <c r="C13" s="85"/>
      <c r="D13" s="96" t="s">
        <v>100</v>
      </c>
      <c r="E13" s="43" t="s">
        <v>309</v>
      </c>
      <c r="F13" s="72" t="s">
        <v>35</v>
      </c>
      <c r="G13" s="42">
        <v>5497.53</v>
      </c>
      <c r="H13" s="86"/>
      <c r="I13" s="87"/>
      <c r="J13" s="4" t="s">
        <v>118</v>
      </c>
      <c r="K13" s="4"/>
    </row>
    <row x14ac:dyDescent="0.25" r="14" customHeight="1" ht="17.25">
      <c r="A14" s="103" t="s">
        <v>118</v>
      </c>
      <c r="B14" s="106" t="s">
        <v>310</v>
      </c>
      <c r="C14" s="77" t="s">
        <v>311</v>
      </c>
      <c r="D14" s="96" t="s">
        <v>104</v>
      </c>
      <c r="E14" s="43" t="s">
        <v>312</v>
      </c>
      <c r="F14" s="72" t="s">
        <v>35</v>
      </c>
      <c r="G14" s="42">
        <v>5497.53</v>
      </c>
      <c r="H14" s="78">
        <f>G14+G15</f>
      </c>
      <c r="I14" s="76" t="s">
        <v>313</v>
      </c>
      <c r="J14" s="4" t="s">
        <v>118</v>
      </c>
      <c r="K14" s="44"/>
    </row>
    <row x14ac:dyDescent="0.25" r="15" customHeight="1" ht="17.25">
      <c r="A15" s="103" t="s">
        <v>118</v>
      </c>
      <c r="B15" s="109"/>
      <c r="C15" s="81"/>
      <c r="D15" s="96" t="s">
        <v>107</v>
      </c>
      <c r="E15" s="43" t="s">
        <v>314</v>
      </c>
      <c r="F15" s="72" t="s">
        <v>35</v>
      </c>
      <c r="G15" s="42">
        <f>785.36</f>
      </c>
      <c r="H15" s="82"/>
      <c r="I15" s="80"/>
      <c r="J15" s="4" t="s">
        <v>118</v>
      </c>
      <c r="K15" s="4"/>
    </row>
    <row x14ac:dyDescent="0.25" r="16" customHeight="1" ht="17.25">
      <c r="A16" s="102" t="s">
        <v>118</v>
      </c>
      <c r="B16" s="106" t="s">
        <v>315</v>
      </c>
      <c r="C16" s="77" t="s">
        <v>316</v>
      </c>
      <c r="D16" s="96" t="s">
        <v>111</v>
      </c>
      <c r="E16" s="43" t="s">
        <v>317</v>
      </c>
      <c r="F16" s="72" t="s">
        <v>35</v>
      </c>
      <c r="G16" s="42">
        <f>4637.27/2</f>
      </c>
      <c r="H16" s="78">
        <f>G16+G17</f>
      </c>
      <c r="I16" s="76" t="s">
        <v>50</v>
      </c>
      <c r="J16" s="4" t="s">
        <v>118</v>
      </c>
      <c r="K16" s="4"/>
    </row>
    <row x14ac:dyDescent="0.25" r="17" customHeight="1" ht="17.25">
      <c r="A17" s="102" t="s">
        <v>118</v>
      </c>
      <c r="B17" s="109"/>
      <c r="C17" s="81"/>
      <c r="D17" s="96" t="s">
        <v>111</v>
      </c>
      <c r="E17" s="43" t="s">
        <v>318</v>
      </c>
      <c r="F17" s="72" t="s">
        <v>35</v>
      </c>
      <c r="G17" s="42">
        <f>4637.27/2</f>
      </c>
      <c r="H17" s="82"/>
      <c r="I17" s="80"/>
      <c r="J17" s="4" t="s">
        <v>118</v>
      </c>
      <c r="K17" s="4"/>
    </row>
    <row x14ac:dyDescent="0.25" r="18" customHeight="1" ht="17.25">
      <c r="A18" s="102" t="s">
        <v>118</v>
      </c>
      <c r="B18" s="72" t="s">
        <v>319</v>
      </c>
      <c r="C18" s="72" t="s">
        <v>320</v>
      </c>
      <c r="D18" s="96" t="s">
        <v>231</v>
      </c>
      <c r="E18" s="43" t="s">
        <v>321</v>
      </c>
      <c r="F18" s="72" t="s">
        <v>35</v>
      </c>
      <c r="G18" s="42">
        <f>4712.17</f>
      </c>
      <c r="H18" s="74">
        <f>G18</f>
      </c>
      <c r="I18" s="9" t="s">
        <v>322</v>
      </c>
      <c r="J18" s="4" t="s">
        <v>118</v>
      </c>
      <c r="K18" s="4"/>
    </row>
    <row x14ac:dyDescent="0.25" r="19" customHeight="1" ht="17.25">
      <c r="A19" s="102" t="s">
        <v>118</v>
      </c>
      <c r="B19" s="110" t="s">
        <v>323</v>
      </c>
      <c r="C19" s="72" t="s">
        <v>324</v>
      </c>
      <c r="D19" s="96" t="s">
        <v>115</v>
      </c>
      <c r="E19" s="43" t="s">
        <v>325</v>
      </c>
      <c r="F19" s="72" t="s">
        <v>35</v>
      </c>
      <c r="G19" s="42">
        <v>4637.27</v>
      </c>
      <c r="H19" s="112">
        <f>G19</f>
      </c>
      <c r="I19" s="9" t="s">
        <v>50</v>
      </c>
      <c r="J19" s="116" t="s">
        <v>118</v>
      </c>
      <c r="K19" s="4"/>
    </row>
    <row x14ac:dyDescent="0.25" r="20" customHeight="1" ht="17.25">
      <c r="A20" s="4"/>
      <c r="B20" s="4"/>
      <c r="C20" s="4"/>
      <c r="D20" s="4"/>
      <c r="E20" s="58"/>
      <c r="F20" s="4"/>
      <c r="G20" s="27"/>
      <c r="H20" s="27"/>
      <c r="I20" s="4"/>
      <c r="J20" s="4"/>
      <c r="K20" s="4"/>
    </row>
    <row x14ac:dyDescent="0.25" r="21" customHeight="1" ht="17.25">
      <c r="A21" s="4"/>
      <c r="B21" s="4"/>
      <c r="C21" s="4"/>
      <c r="D21" s="4"/>
      <c r="E21" s="89" t="s">
        <v>54</v>
      </c>
      <c r="F21" s="62"/>
      <c r="G21" s="64">
        <f>SUM(G4:G19)</f>
      </c>
      <c r="H21" s="64">
        <f>SUM(H4:H19)</f>
      </c>
      <c r="I21" s="4"/>
      <c r="J21" s="4"/>
      <c r="K21" s="4"/>
    </row>
    <row x14ac:dyDescent="0.25" r="22" customHeight="1" ht="17.25">
      <c r="A22" s="4"/>
      <c r="B22" s="4"/>
      <c r="C22" s="4"/>
      <c r="D22" s="4"/>
      <c r="E22" s="4"/>
      <c r="F22" s="4"/>
      <c r="G22" s="27"/>
      <c r="H22" s="27"/>
      <c r="I22" s="4"/>
      <c r="J22" s="4"/>
      <c r="K22" s="4"/>
    </row>
    <row x14ac:dyDescent="0.25" r="23" customHeight="1" ht="17.25">
      <c r="A23" s="4"/>
      <c r="B23" s="4"/>
      <c r="C23" s="4"/>
      <c r="D23" s="4"/>
      <c r="E23" s="4"/>
      <c r="F23" s="4"/>
      <c r="G23" s="27"/>
      <c r="H23" s="44"/>
      <c r="I23" s="4"/>
      <c r="J23" s="4"/>
      <c r="K23" s="4"/>
    </row>
  </sheetData>
  <mergeCells count="20">
    <mergeCell ref="B4:B5"/>
    <mergeCell ref="C4:C5"/>
    <mergeCell ref="H4:H5"/>
    <mergeCell ref="I4:I5"/>
    <mergeCell ref="B8:B9"/>
    <mergeCell ref="C8:C9"/>
    <mergeCell ref="H8:H9"/>
    <mergeCell ref="I8:I9"/>
    <mergeCell ref="B11:B13"/>
    <mergeCell ref="C11:C13"/>
    <mergeCell ref="H11:H13"/>
    <mergeCell ref="I11:I13"/>
    <mergeCell ref="B14:B15"/>
    <mergeCell ref="C14:C15"/>
    <mergeCell ref="H14:H15"/>
    <mergeCell ref="I14:I15"/>
    <mergeCell ref="B16:B17"/>
    <mergeCell ref="C16:C17"/>
    <mergeCell ref="H16:H17"/>
    <mergeCell ref="I16:I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4"/>
  <sheetViews>
    <sheetView workbookViewId="0"/>
  </sheetViews>
  <sheetFormatPr defaultRowHeight="15" x14ac:dyDescent="0.25"/>
  <cols>
    <col min="1" max="1" style="23" width="10.862142857142858" customWidth="1" bestFit="1"/>
    <col min="2" max="2" style="23" width="20.433571428571426" customWidth="1" bestFit="1"/>
    <col min="3" max="3" style="23" width="14.862142857142858" customWidth="1" bestFit="1"/>
    <col min="4" max="4" style="23" width="22.862142857142857" customWidth="1" bestFit="1"/>
    <col min="5" max="5" style="23" width="75.14785714285713" customWidth="1" bestFit="1"/>
    <col min="6" max="6" style="23" width="13.005" customWidth="1" bestFit="1"/>
    <col min="7" max="7" style="68" width="20.576428571428572" customWidth="1" bestFit="1"/>
    <col min="8" max="8" style="68" width="18.576428571428572" customWidth="1" bestFit="1"/>
    <col min="9" max="9" style="23" width="46.14785714285715" customWidth="1" bestFit="1"/>
    <col min="10" max="10" style="68" width="18.576428571428572" customWidth="1" bestFit="1"/>
    <col min="11" max="11" style="23" width="18.576428571428572" customWidth="1" bestFit="1"/>
    <col min="12" max="12" style="68" width="11.43357142857143" customWidth="1" bestFit="1"/>
    <col min="13" max="13" style="68" width="12.576428571428572" customWidth="1" bestFit="1"/>
  </cols>
  <sheetData>
    <row x14ac:dyDescent="0.25" r="1" customHeight="1" ht="17.25">
      <c r="A1" s="4"/>
      <c r="B1" s="4"/>
      <c r="C1" s="4"/>
      <c r="D1" s="4"/>
      <c r="E1" s="4"/>
      <c r="F1" s="4"/>
      <c r="G1" s="27"/>
      <c r="H1" s="27"/>
      <c r="I1" s="4"/>
      <c r="J1" s="27"/>
      <c r="K1" s="4"/>
      <c r="L1" s="27"/>
      <c r="M1" s="27"/>
    </row>
    <row x14ac:dyDescent="0.25" r="2" customHeight="1" ht="17.25">
      <c r="A2" s="4"/>
      <c r="B2" s="4"/>
      <c r="C2" s="4"/>
      <c r="D2" s="4"/>
      <c r="E2" s="4"/>
      <c r="F2" s="4"/>
      <c r="G2" s="27"/>
      <c r="H2" s="104"/>
      <c r="I2" s="4"/>
      <c r="J2" s="27"/>
      <c r="K2" s="4"/>
      <c r="L2" s="27"/>
      <c r="M2" s="27"/>
    </row>
    <row x14ac:dyDescent="0.25" r="3" customHeight="1" ht="17.25">
      <c r="A3" s="4"/>
      <c r="B3" s="70"/>
      <c r="C3" s="70" t="s">
        <v>18</v>
      </c>
      <c r="D3" s="70" t="s">
        <v>63</v>
      </c>
      <c r="E3" s="70" t="s">
        <v>19</v>
      </c>
      <c r="F3" s="70" t="s">
        <v>20</v>
      </c>
      <c r="G3" s="71" t="s">
        <v>64</v>
      </c>
      <c r="H3" s="71" t="s">
        <v>22</v>
      </c>
      <c r="I3" s="70" t="s">
        <v>23</v>
      </c>
      <c r="J3" s="71" t="s">
        <v>24</v>
      </c>
      <c r="K3" s="4"/>
      <c r="L3" s="32" t="s">
        <v>28</v>
      </c>
      <c r="M3" s="32" t="s">
        <v>29</v>
      </c>
    </row>
    <row x14ac:dyDescent="0.25" r="4" customHeight="1" ht="17.25">
      <c r="A4" s="102" t="s">
        <v>155</v>
      </c>
      <c r="B4" s="105" t="s">
        <v>241</v>
      </c>
      <c r="C4" s="106" t="s">
        <v>242</v>
      </c>
      <c r="D4" s="96" t="s">
        <v>69</v>
      </c>
      <c r="E4" s="43" t="s">
        <v>243</v>
      </c>
      <c r="F4" s="72" t="s">
        <v>35</v>
      </c>
      <c r="G4" s="90">
        <f>3533.27</f>
      </c>
      <c r="H4" s="78">
        <f>G4+G5</f>
      </c>
      <c r="I4" s="76" t="s">
        <v>244</v>
      </c>
      <c r="J4" s="107">
        <v>4637.27</v>
      </c>
      <c r="K4" s="25"/>
      <c r="L4" s="90">
        <v>4637.27</v>
      </c>
      <c r="M4" s="108">
        <f>L4/168</f>
      </c>
    </row>
    <row x14ac:dyDescent="0.25" r="5" customHeight="1" ht="17.25">
      <c r="A5" s="102" t="s">
        <v>155</v>
      </c>
      <c r="B5" s="105" t="s">
        <v>241</v>
      </c>
      <c r="C5" s="109"/>
      <c r="D5" s="96" t="s">
        <v>235</v>
      </c>
      <c r="E5" s="43" t="s">
        <v>245</v>
      </c>
      <c r="F5" s="72" t="s">
        <v>35</v>
      </c>
      <c r="G5" s="90">
        <f>3876.64</f>
      </c>
      <c r="H5" s="82"/>
      <c r="I5" s="80"/>
      <c r="J5" s="107">
        <v>3876.64</v>
      </c>
      <c r="K5" s="25"/>
      <c r="L5" s="90">
        <v>5497.53</v>
      </c>
      <c r="M5" s="108">
        <f>L5/168</f>
      </c>
    </row>
    <row x14ac:dyDescent="0.25" r="6" customHeight="1" ht="17.25">
      <c r="A6" s="102" t="s">
        <v>155</v>
      </c>
      <c r="B6" s="105" t="s">
        <v>246</v>
      </c>
      <c r="C6" s="110" t="s">
        <v>247</v>
      </c>
      <c r="D6" s="96" t="s">
        <v>73</v>
      </c>
      <c r="E6" s="43" t="s">
        <v>248</v>
      </c>
      <c r="F6" s="72" t="s">
        <v>35</v>
      </c>
      <c r="G6" s="90">
        <f>5497.53</f>
      </c>
      <c r="H6" s="74">
        <f>G6</f>
      </c>
      <c r="I6" s="9" t="s">
        <v>75</v>
      </c>
      <c r="J6" s="107">
        <v>5497.53</v>
      </c>
      <c r="K6" s="25"/>
      <c r="L6" s="90">
        <v>3850</v>
      </c>
      <c r="M6" s="108">
        <f>L6/168</f>
      </c>
    </row>
    <row x14ac:dyDescent="0.25" r="7" customHeight="1" ht="17.25">
      <c r="A7" s="102" t="s">
        <v>155</v>
      </c>
      <c r="B7" s="105" t="s">
        <v>249</v>
      </c>
      <c r="C7" s="111" t="s">
        <v>250</v>
      </c>
      <c r="D7" s="99" t="s">
        <v>78</v>
      </c>
      <c r="E7" s="43" t="s">
        <v>251</v>
      </c>
      <c r="F7" s="72" t="s">
        <v>35</v>
      </c>
      <c r="G7" s="90">
        <v>4637.27</v>
      </c>
      <c r="H7" s="100">
        <f>G7</f>
      </c>
      <c r="I7" s="9" t="s">
        <v>50</v>
      </c>
      <c r="J7" s="107">
        <v>4637.27</v>
      </c>
      <c r="K7" s="25"/>
      <c r="L7" s="90">
        <f>3876.64</f>
      </c>
      <c r="M7" s="108">
        <f>L7/168</f>
      </c>
    </row>
    <row x14ac:dyDescent="0.25" r="8" customHeight="1" ht="17.25">
      <c r="A8" s="103" t="s">
        <v>155</v>
      </c>
      <c r="B8" s="105" t="s">
        <v>241</v>
      </c>
      <c r="C8" s="77" t="s">
        <v>252</v>
      </c>
      <c r="D8" s="96" t="s">
        <v>84</v>
      </c>
      <c r="E8" s="43" t="s">
        <v>253</v>
      </c>
      <c r="F8" s="72" t="s">
        <v>35</v>
      </c>
      <c r="G8" s="90">
        <f>4195.67</f>
      </c>
      <c r="H8" s="78">
        <f>G8+G9</f>
      </c>
      <c r="I8" s="76" t="s">
        <v>254</v>
      </c>
      <c r="J8" s="107">
        <v>4637.27</v>
      </c>
      <c r="K8" s="25"/>
      <c r="L8" s="90">
        <f>4416.45</f>
      </c>
      <c r="M8" s="108">
        <f>L8/168</f>
      </c>
    </row>
    <row x14ac:dyDescent="0.25" r="9" customHeight="1" ht="17.25">
      <c r="A9" s="103" t="s">
        <v>155</v>
      </c>
      <c r="B9" s="105" t="s">
        <v>241</v>
      </c>
      <c r="C9" s="81"/>
      <c r="D9" s="96" t="s">
        <v>87</v>
      </c>
      <c r="E9" s="43" t="s">
        <v>255</v>
      </c>
      <c r="F9" s="72" t="s">
        <v>35</v>
      </c>
      <c r="G9" s="90">
        <f>1104.47</f>
      </c>
      <c r="H9" s="82"/>
      <c r="I9" s="80"/>
      <c r="J9" s="107">
        <v>4637.27</v>
      </c>
      <c r="K9" s="25"/>
      <c r="L9" s="27"/>
      <c r="M9" s="27"/>
    </row>
    <row x14ac:dyDescent="0.25" r="10" customHeight="1" ht="17.25">
      <c r="A10" s="102" t="s">
        <v>155</v>
      </c>
      <c r="B10" s="105" t="s">
        <v>256</v>
      </c>
      <c r="C10" s="72" t="s">
        <v>257</v>
      </c>
      <c r="D10" s="96" t="s">
        <v>91</v>
      </c>
      <c r="E10" s="43" t="s">
        <v>258</v>
      </c>
      <c r="F10" s="72" t="s">
        <v>35</v>
      </c>
      <c r="G10" s="90">
        <v>4637.27</v>
      </c>
      <c r="H10" s="74">
        <f>G10</f>
      </c>
      <c r="I10" s="9" t="s">
        <v>50</v>
      </c>
      <c r="J10" s="107">
        <v>4637.27</v>
      </c>
      <c r="K10" s="25"/>
      <c r="L10" s="27"/>
      <c r="M10" s="27"/>
    </row>
    <row x14ac:dyDescent="0.25" r="11" customHeight="1" ht="17.25">
      <c r="A11" s="103" t="s">
        <v>155</v>
      </c>
      <c r="B11" s="105" t="s">
        <v>259</v>
      </c>
      <c r="C11" s="77" t="s">
        <v>260</v>
      </c>
      <c r="D11" s="96" t="s">
        <v>95</v>
      </c>
      <c r="E11" s="43" t="s">
        <v>261</v>
      </c>
      <c r="F11" s="72" t="s">
        <v>35</v>
      </c>
      <c r="G11" s="90">
        <v>5497.53</v>
      </c>
      <c r="H11" s="78">
        <f>G11+G13+G12</f>
      </c>
      <c r="I11" s="76" t="s">
        <v>262</v>
      </c>
      <c r="J11" s="107">
        <v>5497.53</v>
      </c>
      <c r="K11" s="25"/>
      <c r="L11" s="44"/>
      <c r="M11" s="27"/>
    </row>
    <row x14ac:dyDescent="0.25" r="12" customHeight="1" ht="17.25">
      <c r="A12" s="103" t="s">
        <v>155</v>
      </c>
      <c r="B12" s="105" t="s">
        <v>259</v>
      </c>
      <c r="C12" s="85"/>
      <c r="D12" s="96" t="s">
        <v>98</v>
      </c>
      <c r="E12" s="43" t="s">
        <v>263</v>
      </c>
      <c r="F12" s="72" t="s">
        <v>35</v>
      </c>
      <c r="G12" s="90">
        <v>4188.73</v>
      </c>
      <c r="H12" s="86"/>
      <c r="I12" s="87"/>
      <c r="J12" s="107">
        <v>5497.53</v>
      </c>
      <c r="K12" s="25"/>
      <c r="L12" s="27"/>
      <c r="M12" s="27"/>
    </row>
    <row x14ac:dyDescent="0.25" r="13" customHeight="1" ht="17.25">
      <c r="A13" s="103" t="s">
        <v>155</v>
      </c>
      <c r="B13" s="105" t="s">
        <v>259</v>
      </c>
      <c r="C13" s="85"/>
      <c r="D13" s="96" t="s">
        <v>100</v>
      </c>
      <c r="E13" s="43" t="s">
        <v>264</v>
      </c>
      <c r="F13" s="72" t="s">
        <v>35</v>
      </c>
      <c r="G13" s="90">
        <v>5497.53</v>
      </c>
      <c r="H13" s="86"/>
      <c r="I13" s="87"/>
      <c r="J13" s="107">
        <v>5497.53</v>
      </c>
      <c r="K13" s="25"/>
      <c r="L13" s="27"/>
      <c r="M13" s="27"/>
    </row>
    <row x14ac:dyDescent="0.25" r="14" customHeight="1" ht="17.25">
      <c r="A14" s="103" t="s">
        <v>155</v>
      </c>
      <c r="B14" s="105" t="s">
        <v>265</v>
      </c>
      <c r="C14" s="77" t="s">
        <v>266</v>
      </c>
      <c r="D14" s="96" t="s">
        <v>104</v>
      </c>
      <c r="E14" s="43" t="s">
        <v>267</v>
      </c>
      <c r="F14" s="72" t="s">
        <v>35</v>
      </c>
      <c r="G14" s="90">
        <v>5497.53</v>
      </c>
      <c r="H14" s="78">
        <f>G14+G15</f>
      </c>
      <c r="I14" s="76" t="s">
        <v>268</v>
      </c>
      <c r="J14" s="107">
        <v>5497.53</v>
      </c>
      <c r="K14" s="25"/>
      <c r="L14" s="27"/>
      <c r="M14" s="27"/>
    </row>
    <row x14ac:dyDescent="0.25" r="15" customHeight="1" ht="17.25">
      <c r="A15" s="103" t="s">
        <v>155</v>
      </c>
      <c r="B15" s="105" t="s">
        <v>265</v>
      </c>
      <c r="C15" s="81"/>
      <c r="D15" s="96" t="s">
        <v>107</v>
      </c>
      <c r="E15" s="43" t="s">
        <v>269</v>
      </c>
      <c r="F15" s="72" t="s">
        <v>35</v>
      </c>
      <c r="G15" s="90">
        <v>5497.53</v>
      </c>
      <c r="H15" s="82"/>
      <c r="I15" s="80"/>
      <c r="J15" s="107">
        <v>5497.53</v>
      </c>
      <c r="K15" s="25"/>
      <c r="L15" s="27"/>
      <c r="M15" s="27"/>
    </row>
    <row x14ac:dyDescent="0.25" r="16" customHeight="1" ht="17.25">
      <c r="A16" s="102" t="s">
        <v>155</v>
      </c>
      <c r="B16" s="105" t="s">
        <v>270</v>
      </c>
      <c r="C16" s="77" t="s">
        <v>271</v>
      </c>
      <c r="D16" s="96" t="s">
        <v>111</v>
      </c>
      <c r="E16" s="43" t="s">
        <v>272</v>
      </c>
      <c r="F16" s="72" t="s">
        <v>35</v>
      </c>
      <c r="G16" s="90">
        <f>4637.27/2</f>
      </c>
      <c r="H16" s="78">
        <f>G16+G17</f>
      </c>
      <c r="I16" s="76" t="s">
        <v>50</v>
      </c>
      <c r="J16" s="107">
        <v>4637.27</v>
      </c>
      <c r="K16" s="25"/>
      <c r="L16" s="27"/>
      <c r="M16" s="27"/>
    </row>
    <row x14ac:dyDescent="0.25" r="17" customHeight="1" ht="17.25">
      <c r="A17" s="102" t="s">
        <v>155</v>
      </c>
      <c r="B17" s="105" t="s">
        <v>270</v>
      </c>
      <c r="C17" s="81"/>
      <c r="D17" s="96" t="s">
        <v>111</v>
      </c>
      <c r="E17" s="43" t="s">
        <v>273</v>
      </c>
      <c r="F17" s="72" t="s">
        <v>35</v>
      </c>
      <c r="G17" s="90">
        <f>4637.27/2</f>
      </c>
      <c r="H17" s="82"/>
      <c r="I17" s="80"/>
      <c r="J17" s="107">
        <v>0</v>
      </c>
      <c r="K17" s="25"/>
      <c r="L17" s="27"/>
      <c r="M17" s="27"/>
    </row>
    <row x14ac:dyDescent="0.25" r="18" customHeight="1" ht="17.25">
      <c r="A18" s="102" t="s">
        <v>155</v>
      </c>
      <c r="B18" s="105" t="s">
        <v>274</v>
      </c>
      <c r="C18" s="72" t="s">
        <v>275</v>
      </c>
      <c r="D18" s="96" t="s">
        <v>115</v>
      </c>
      <c r="E18" s="43" t="s">
        <v>276</v>
      </c>
      <c r="F18" s="72" t="s">
        <v>35</v>
      </c>
      <c r="G18" s="90">
        <v>4637.27</v>
      </c>
      <c r="H18" s="112">
        <f>G18</f>
      </c>
      <c r="I18" s="9" t="s">
        <v>50</v>
      </c>
      <c r="J18" s="107">
        <v>4637.27</v>
      </c>
      <c r="K18" s="25"/>
      <c r="L18" s="27"/>
      <c r="M18" s="27"/>
    </row>
    <row x14ac:dyDescent="0.25" r="19" customHeight="1" ht="17.25">
      <c r="A19" s="102" t="s">
        <v>155</v>
      </c>
      <c r="B19" s="105" t="s">
        <v>277</v>
      </c>
      <c r="C19" s="72" t="s">
        <v>278</v>
      </c>
      <c r="D19" s="96" t="s">
        <v>279</v>
      </c>
      <c r="E19" s="43" t="s">
        <v>280</v>
      </c>
      <c r="F19" s="72" t="s">
        <v>35</v>
      </c>
      <c r="G19" s="97">
        <f>3666.67</f>
      </c>
      <c r="H19" s="112">
        <f>G19</f>
      </c>
      <c r="I19" s="9" t="s">
        <v>281</v>
      </c>
      <c r="J19" s="107">
        <v>3850</v>
      </c>
      <c r="K19" s="25"/>
      <c r="L19" s="27"/>
      <c r="M19" s="27"/>
    </row>
    <row x14ac:dyDescent="0.25" r="20" customHeight="1" ht="17.25">
      <c r="A20" s="102" t="s">
        <v>155</v>
      </c>
      <c r="B20" s="105" t="s">
        <v>282</v>
      </c>
      <c r="C20" s="72" t="s">
        <v>283</v>
      </c>
      <c r="D20" s="96" t="s">
        <v>284</v>
      </c>
      <c r="E20" s="43" t="s">
        <v>285</v>
      </c>
      <c r="F20" s="72" t="s">
        <v>35</v>
      </c>
      <c r="G20" s="97">
        <f>4206.14</f>
      </c>
      <c r="H20" s="112">
        <f>G20</f>
      </c>
      <c r="I20" s="9" t="s">
        <v>286</v>
      </c>
      <c r="J20" s="107">
        <v>4416.16</v>
      </c>
      <c r="K20" s="25"/>
      <c r="L20" s="27"/>
      <c r="M20" s="27"/>
    </row>
    <row x14ac:dyDescent="0.25" r="21" customHeight="1" ht="17.25">
      <c r="A21" s="4"/>
      <c r="B21" s="4"/>
      <c r="C21" s="4"/>
      <c r="D21" s="4"/>
      <c r="E21" s="58"/>
      <c r="F21" s="4"/>
      <c r="G21" s="27"/>
      <c r="H21" s="27"/>
      <c r="I21" s="4"/>
      <c r="J21" s="27"/>
      <c r="K21" s="25"/>
      <c r="L21" s="27"/>
      <c r="M21" s="27"/>
    </row>
    <row x14ac:dyDescent="0.25" r="22" customHeight="1" ht="17.25">
      <c r="A22" s="4"/>
      <c r="B22" s="4"/>
      <c r="C22" s="4"/>
      <c r="D22" s="4"/>
      <c r="E22" s="89" t="s">
        <v>54</v>
      </c>
      <c r="F22" s="62"/>
      <c r="G22" s="64">
        <f>SUM(G4:G20)</f>
      </c>
      <c r="H22" s="64">
        <f>SUM(H4:H20)</f>
      </c>
      <c r="I22" s="4"/>
      <c r="J22" s="64">
        <f>SUM(J4:J20)</f>
      </c>
      <c r="K22" s="25"/>
      <c r="L22" s="27"/>
      <c r="M22" s="27"/>
    </row>
    <row x14ac:dyDescent="0.25" r="23" customHeight="1" ht="17.25">
      <c r="A23" s="4"/>
      <c r="B23" s="4"/>
      <c r="C23" s="4"/>
      <c r="D23" s="4"/>
      <c r="E23" s="4"/>
      <c r="F23" s="4"/>
      <c r="G23" s="27"/>
      <c r="H23" s="27"/>
      <c r="I23" s="4"/>
      <c r="J23" s="27"/>
      <c r="K23" s="4"/>
      <c r="L23" s="27"/>
      <c r="M23" s="27"/>
    </row>
    <row x14ac:dyDescent="0.25" r="24" customHeight="1" ht="17.25">
      <c r="A24" s="4"/>
      <c r="B24" s="4"/>
      <c r="C24" s="4"/>
      <c r="D24" s="4"/>
      <c r="E24" s="4"/>
      <c r="F24" s="4"/>
      <c r="G24" s="27"/>
      <c r="H24" s="44"/>
      <c r="I24" s="4"/>
      <c r="J24" s="27"/>
      <c r="K24" s="4"/>
      <c r="L24" s="27"/>
      <c r="M24" s="27"/>
    </row>
  </sheetData>
  <mergeCells count="15">
    <mergeCell ref="C4:C5"/>
    <mergeCell ref="H4:H5"/>
    <mergeCell ref="I4:I5"/>
    <mergeCell ref="C8:C9"/>
    <mergeCell ref="H8:H9"/>
    <mergeCell ref="I8:I9"/>
    <mergeCell ref="C11:C13"/>
    <mergeCell ref="H11:H13"/>
    <mergeCell ref="I11:I13"/>
    <mergeCell ref="C14:C15"/>
    <mergeCell ref="H14:H15"/>
    <mergeCell ref="I14:I15"/>
    <mergeCell ref="C16:C17"/>
    <mergeCell ref="H16:H17"/>
    <mergeCell ref="I16:I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3"/>
  <sheetViews>
    <sheetView workbookViewId="0"/>
  </sheetViews>
  <sheetFormatPr defaultRowHeight="15" x14ac:dyDescent="0.25"/>
  <cols>
    <col min="1" max="1" style="23" width="10.862142857142858" customWidth="1" bestFit="1"/>
    <col min="2" max="2" style="23" width="20.433571428571426" customWidth="1" bestFit="1"/>
    <col min="3" max="3" style="23" width="14.862142857142858" customWidth="1" bestFit="1"/>
    <col min="4" max="4" style="23" width="22.862142857142857" customWidth="1" bestFit="1"/>
    <col min="5" max="5" style="23" width="75.14785714285713" customWidth="1" bestFit="1"/>
    <col min="6" max="6" style="23" width="13.005" customWidth="1" bestFit="1"/>
    <col min="7" max="7" style="68" width="20.576428571428572" customWidth="1" bestFit="1"/>
    <col min="8" max="8" style="68" width="18.576428571428572" customWidth="1" bestFit="1"/>
    <col min="9" max="9" style="23" width="46.14785714285715" customWidth="1" bestFit="1"/>
    <col min="10" max="10" style="23" width="12.43357142857143" customWidth="1" bestFit="1"/>
  </cols>
  <sheetData>
    <row x14ac:dyDescent="0.25" r="1" customHeight="1" ht="17.25">
      <c r="A1" s="4"/>
      <c r="B1" s="4"/>
      <c r="C1" s="4"/>
      <c r="D1" s="4"/>
      <c r="E1" s="4"/>
      <c r="F1" s="4"/>
      <c r="G1" s="27"/>
      <c r="H1" s="27"/>
      <c r="I1" s="4"/>
      <c r="J1" s="4"/>
    </row>
    <row x14ac:dyDescent="0.25" r="2" customHeight="1" ht="17.25">
      <c r="A2" s="4"/>
      <c r="B2" s="4"/>
      <c r="C2" s="4"/>
      <c r="D2" s="4"/>
      <c r="E2" s="4"/>
      <c r="F2" s="4"/>
      <c r="G2" s="27"/>
      <c r="H2" s="27"/>
      <c r="I2" s="4"/>
      <c r="J2" s="4"/>
    </row>
    <row x14ac:dyDescent="0.25" r="3" customHeight="1" ht="17.25">
      <c r="A3" s="4"/>
      <c r="B3" s="70"/>
      <c r="C3" s="70" t="s">
        <v>18</v>
      </c>
      <c r="D3" s="70" t="s">
        <v>63</v>
      </c>
      <c r="E3" s="70" t="s">
        <v>19</v>
      </c>
      <c r="F3" s="70" t="s">
        <v>20</v>
      </c>
      <c r="G3" s="71" t="s">
        <v>64</v>
      </c>
      <c r="H3" s="71" t="s">
        <v>22</v>
      </c>
      <c r="I3" s="70" t="s">
        <v>23</v>
      </c>
      <c r="J3" s="4"/>
    </row>
    <row x14ac:dyDescent="0.25" r="4" customHeight="1" ht="17.25">
      <c r="A4" s="102" t="s">
        <v>118</v>
      </c>
      <c r="B4" s="72" t="s">
        <v>196</v>
      </c>
      <c r="C4" s="72" t="s">
        <v>197</v>
      </c>
      <c r="D4" s="96" t="s">
        <v>69</v>
      </c>
      <c r="E4" s="43" t="s">
        <v>198</v>
      </c>
      <c r="F4" s="72" t="s">
        <v>35</v>
      </c>
      <c r="G4" s="42">
        <v>4637.27</v>
      </c>
      <c r="H4" s="100">
        <f>G4</f>
      </c>
      <c r="I4" s="9" t="s">
        <v>50</v>
      </c>
      <c r="J4" s="4"/>
    </row>
    <row x14ac:dyDescent="0.25" r="5" customHeight="1" ht="17.25">
      <c r="A5" s="102" t="s">
        <v>118</v>
      </c>
      <c r="B5" s="72" t="s">
        <v>199</v>
      </c>
      <c r="C5" s="72" t="s">
        <v>200</v>
      </c>
      <c r="D5" s="96" t="s">
        <v>73</v>
      </c>
      <c r="E5" s="43" t="s">
        <v>201</v>
      </c>
      <c r="F5" s="72" t="s">
        <v>35</v>
      </c>
      <c r="G5" s="42">
        <f>5497.53/168*(168-13*8)</f>
      </c>
      <c r="H5" s="74">
        <f>G5</f>
      </c>
      <c r="I5" s="9" t="s">
        <v>202</v>
      </c>
      <c r="J5" s="4"/>
    </row>
    <row x14ac:dyDescent="0.25" r="6" customHeight="1" ht="17.25">
      <c r="A6" s="102" t="s">
        <v>118</v>
      </c>
      <c r="B6" s="98" t="s">
        <v>203</v>
      </c>
      <c r="C6" s="72" t="s">
        <v>204</v>
      </c>
      <c r="D6" s="99" t="s">
        <v>78</v>
      </c>
      <c r="E6" s="43" t="s">
        <v>205</v>
      </c>
      <c r="F6" s="72" t="s">
        <v>35</v>
      </c>
      <c r="G6" s="42">
        <v>4637.27</v>
      </c>
      <c r="H6" s="100">
        <f>G6</f>
      </c>
      <c r="I6" s="9" t="s">
        <v>50</v>
      </c>
      <c r="J6" s="4"/>
    </row>
    <row x14ac:dyDescent="0.25" r="7" customHeight="1" ht="17.25">
      <c r="A7" s="103" t="s">
        <v>118</v>
      </c>
      <c r="B7" s="77" t="s">
        <v>206</v>
      </c>
      <c r="C7" s="77" t="s">
        <v>207</v>
      </c>
      <c r="D7" s="96" t="s">
        <v>84</v>
      </c>
      <c r="E7" s="43" t="s">
        <v>208</v>
      </c>
      <c r="F7" s="72" t="s">
        <v>35</v>
      </c>
      <c r="G7" s="42">
        <v>4637.27</v>
      </c>
      <c r="H7" s="78">
        <f>G7+G8</f>
      </c>
      <c r="I7" s="76" t="s">
        <v>86</v>
      </c>
      <c r="J7" s="4"/>
    </row>
    <row x14ac:dyDescent="0.25" r="8" customHeight="1" ht="17.25">
      <c r="A8" s="103" t="s">
        <v>118</v>
      </c>
      <c r="B8" s="81"/>
      <c r="C8" s="81"/>
      <c r="D8" s="96" t="s">
        <v>87</v>
      </c>
      <c r="E8" s="43" t="s">
        <v>209</v>
      </c>
      <c r="F8" s="72" t="s">
        <v>35</v>
      </c>
      <c r="G8" s="42">
        <v>4637.27</v>
      </c>
      <c r="H8" s="82"/>
      <c r="I8" s="80"/>
      <c r="J8" s="4"/>
    </row>
    <row x14ac:dyDescent="0.25" r="9" customHeight="1" ht="17.25">
      <c r="A9" s="102" t="s">
        <v>118</v>
      </c>
      <c r="B9" s="72" t="s">
        <v>210</v>
      </c>
      <c r="C9" s="72" t="s">
        <v>211</v>
      </c>
      <c r="D9" s="96" t="s">
        <v>91</v>
      </c>
      <c r="E9" s="43" t="s">
        <v>212</v>
      </c>
      <c r="F9" s="72" t="s">
        <v>35</v>
      </c>
      <c r="G9" s="42">
        <v>4637.27</v>
      </c>
      <c r="H9" s="74">
        <f>G9</f>
      </c>
      <c r="I9" s="9" t="s">
        <v>50</v>
      </c>
      <c r="J9" s="4"/>
    </row>
    <row x14ac:dyDescent="0.25" r="10" customHeight="1" ht="17.25">
      <c r="A10" s="103" t="s">
        <v>118</v>
      </c>
      <c r="B10" s="93" t="s">
        <v>213</v>
      </c>
      <c r="C10" s="77" t="s">
        <v>214</v>
      </c>
      <c r="D10" s="96" t="s">
        <v>95</v>
      </c>
      <c r="E10" s="43" t="s">
        <v>215</v>
      </c>
      <c r="F10" s="72" t="s">
        <v>35</v>
      </c>
      <c r="G10" s="42">
        <v>4712.25</v>
      </c>
      <c r="H10" s="78">
        <f>G10+G12+G11</f>
      </c>
      <c r="I10" s="76" t="s">
        <v>216</v>
      </c>
      <c r="J10" s="4"/>
    </row>
    <row x14ac:dyDescent="0.25" r="11" customHeight="1" ht="17.25">
      <c r="A11" s="103" t="s">
        <v>118</v>
      </c>
      <c r="B11" s="94"/>
      <c r="C11" s="85"/>
      <c r="D11" s="96" t="s">
        <v>98</v>
      </c>
      <c r="E11" s="43" t="s">
        <v>217</v>
      </c>
      <c r="F11" s="72" t="s">
        <v>35</v>
      </c>
      <c r="G11" s="42">
        <v>5497.53</v>
      </c>
      <c r="H11" s="86"/>
      <c r="I11" s="87"/>
      <c r="J11" s="44"/>
    </row>
    <row x14ac:dyDescent="0.25" r="12" customHeight="1" ht="17.25">
      <c r="A12" s="103" t="s">
        <v>118</v>
      </c>
      <c r="B12" s="94"/>
      <c r="C12" s="85"/>
      <c r="D12" s="96" t="s">
        <v>100</v>
      </c>
      <c r="E12" s="43" t="s">
        <v>218</v>
      </c>
      <c r="F12" s="72" t="s">
        <v>35</v>
      </c>
      <c r="G12" s="42">
        <v>5497.53</v>
      </c>
      <c r="H12" s="86"/>
      <c r="I12" s="87"/>
      <c r="J12" s="4"/>
    </row>
    <row x14ac:dyDescent="0.25" r="13" customHeight="1" ht="17.25">
      <c r="A13" s="103" t="s">
        <v>118</v>
      </c>
      <c r="B13" s="77" t="s">
        <v>219</v>
      </c>
      <c r="C13" s="77" t="s">
        <v>220</v>
      </c>
      <c r="D13" s="96" t="s">
        <v>104</v>
      </c>
      <c r="E13" s="43" t="s">
        <v>221</v>
      </c>
      <c r="F13" s="72" t="s">
        <v>35</v>
      </c>
      <c r="G13" s="42">
        <v>5497.53</v>
      </c>
      <c r="H13" s="78">
        <f>G13+G14</f>
      </c>
      <c r="I13" s="76" t="s">
        <v>106</v>
      </c>
      <c r="J13" s="4"/>
    </row>
    <row x14ac:dyDescent="0.25" r="14" customHeight="1" ht="17.25">
      <c r="A14" s="103" t="s">
        <v>118</v>
      </c>
      <c r="B14" s="81"/>
      <c r="C14" s="81"/>
      <c r="D14" s="96" t="s">
        <v>107</v>
      </c>
      <c r="E14" s="43" t="s">
        <v>222</v>
      </c>
      <c r="F14" s="72" t="s">
        <v>35</v>
      </c>
      <c r="G14" s="42">
        <v>5497.53</v>
      </c>
      <c r="H14" s="82"/>
      <c r="I14" s="80"/>
      <c r="J14" s="4"/>
    </row>
    <row x14ac:dyDescent="0.25" r="15" customHeight="1" ht="17.25">
      <c r="A15" s="102" t="s">
        <v>118</v>
      </c>
      <c r="B15" s="72" t="s">
        <v>223</v>
      </c>
      <c r="C15" s="72" t="s">
        <v>224</v>
      </c>
      <c r="D15" s="96" t="s">
        <v>111</v>
      </c>
      <c r="E15" s="43" t="s">
        <v>225</v>
      </c>
      <c r="F15" s="72" t="s">
        <v>35</v>
      </c>
      <c r="G15" s="42">
        <f>4637.27/2</f>
      </c>
      <c r="H15" s="100">
        <f>G15</f>
      </c>
      <c r="I15" s="9" t="s">
        <v>226</v>
      </c>
      <c r="J15" s="4"/>
    </row>
    <row x14ac:dyDescent="0.25" r="16" customHeight="1" ht="17.25">
      <c r="A16" s="102" t="s">
        <v>118</v>
      </c>
      <c r="B16" s="72" t="s">
        <v>223</v>
      </c>
      <c r="C16" s="72" t="s">
        <v>227</v>
      </c>
      <c r="D16" s="96" t="s">
        <v>111</v>
      </c>
      <c r="E16" s="43" t="s">
        <v>228</v>
      </c>
      <c r="F16" s="72" t="s">
        <v>35</v>
      </c>
      <c r="G16" s="42">
        <f>4637.27/2</f>
      </c>
      <c r="H16" s="100">
        <f>G16</f>
      </c>
      <c r="I16" s="9" t="s">
        <v>226</v>
      </c>
      <c r="J16" s="4"/>
    </row>
    <row x14ac:dyDescent="0.25" r="17" customHeight="1" ht="17.25">
      <c r="A17" s="102" t="s">
        <v>118</v>
      </c>
      <c r="B17" s="72" t="s">
        <v>229</v>
      </c>
      <c r="C17" s="72" t="s">
        <v>230</v>
      </c>
      <c r="D17" s="96" t="s">
        <v>231</v>
      </c>
      <c r="E17" s="43" t="s">
        <v>232</v>
      </c>
      <c r="F17" s="72" t="s">
        <v>35</v>
      </c>
      <c r="G17" s="42">
        <f>5497.53/168*(13*8)</f>
      </c>
      <c r="H17" s="74">
        <f>G17</f>
      </c>
      <c r="I17" s="9" t="s">
        <v>233</v>
      </c>
      <c r="J17" s="4"/>
    </row>
    <row x14ac:dyDescent="0.25" r="18" customHeight="1" ht="17.25">
      <c r="A18" s="102" t="s">
        <v>118</v>
      </c>
      <c r="B18" s="72" t="s">
        <v>196</v>
      </c>
      <c r="C18" s="72" t="s">
        <v>234</v>
      </c>
      <c r="D18" s="96" t="s">
        <v>235</v>
      </c>
      <c r="E18" s="43" t="s">
        <v>236</v>
      </c>
      <c r="F18" s="72" t="s">
        <v>35</v>
      </c>
      <c r="G18" s="42">
        <v>3322.96</v>
      </c>
      <c r="H18" s="74">
        <f>G18</f>
      </c>
      <c r="I18" s="9" t="s">
        <v>237</v>
      </c>
      <c r="J18" s="4"/>
    </row>
    <row x14ac:dyDescent="0.25" r="19" customHeight="1" ht="17.25">
      <c r="A19" s="102" t="s">
        <v>118</v>
      </c>
      <c r="B19" s="72" t="s">
        <v>238</v>
      </c>
      <c r="C19" s="72" t="s">
        <v>239</v>
      </c>
      <c r="D19" s="96" t="s">
        <v>115</v>
      </c>
      <c r="E19" s="43" t="s">
        <v>240</v>
      </c>
      <c r="F19" s="72" t="s">
        <v>35</v>
      </c>
      <c r="G19" s="42">
        <v>4637.27</v>
      </c>
      <c r="H19" s="100">
        <f>G19</f>
      </c>
      <c r="I19" s="9" t="s">
        <v>50</v>
      </c>
      <c r="J19" s="44"/>
    </row>
    <row x14ac:dyDescent="0.25" r="20" customHeight="1" ht="17.25">
      <c r="A20" s="4"/>
      <c r="B20" s="4"/>
      <c r="C20" s="4"/>
      <c r="D20" s="4"/>
      <c r="E20" s="58"/>
      <c r="F20" s="4"/>
      <c r="G20" s="27"/>
      <c r="H20" s="27"/>
      <c r="I20" s="4"/>
      <c r="J20" s="4"/>
    </row>
    <row x14ac:dyDescent="0.25" r="21" customHeight="1" ht="17.25">
      <c r="A21" s="4"/>
      <c r="B21" s="4"/>
      <c r="C21" s="4"/>
      <c r="D21" s="4"/>
      <c r="E21" s="89" t="s">
        <v>54</v>
      </c>
      <c r="F21" s="62"/>
      <c r="G21" s="64">
        <f>SUM(G4:G19)</f>
      </c>
      <c r="H21" s="64">
        <f>SUM(H4:H19)</f>
      </c>
      <c r="I21" s="4"/>
      <c r="J21" s="4"/>
    </row>
    <row x14ac:dyDescent="0.25" r="22" customHeight="1" ht="17.25">
      <c r="A22" s="4"/>
      <c r="B22" s="4"/>
      <c r="C22" s="4"/>
      <c r="D22" s="4"/>
      <c r="E22" s="4"/>
      <c r="F22" s="4"/>
      <c r="G22" s="27"/>
      <c r="H22" s="27"/>
      <c r="I22" s="4"/>
      <c r="J22" s="4"/>
    </row>
    <row x14ac:dyDescent="0.25" r="23" customHeight="1" ht="17.25">
      <c r="A23" s="4"/>
      <c r="B23" s="4"/>
      <c r="C23" s="4"/>
      <c r="D23" s="4"/>
      <c r="E23" s="4"/>
      <c r="F23" s="4"/>
      <c r="G23" s="27"/>
      <c r="H23" s="44"/>
      <c r="I23" s="4"/>
      <c r="J23" s="4"/>
    </row>
  </sheetData>
  <mergeCells count="12">
    <mergeCell ref="B7:B8"/>
    <mergeCell ref="C7:C8"/>
    <mergeCell ref="H7:H8"/>
    <mergeCell ref="I7:I8"/>
    <mergeCell ref="B10:B12"/>
    <mergeCell ref="C10:C12"/>
    <mergeCell ref="H10:H12"/>
    <mergeCell ref="I10:I12"/>
    <mergeCell ref="B13:B14"/>
    <mergeCell ref="C13:C14"/>
    <mergeCell ref="H13:H14"/>
    <mergeCell ref="I13:I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6"/>
  <sheetViews>
    <sheetView workbookViewId="0"/>
  </sheetViews>
  <sheetFormatPr defaultRowHeight="15" x14ac:dyDescent="0.25"/>
  <cols>
    <col min="1" max="1" style="23" width="10.862142857142858" customWidth="1" bestFit="1"/>
    <col min="2" max="2" style="23" width="20.433571428571426" customWidth="1" bestFit="1"/>
    <col min="3" max="3" style="23" width="14.862142857142858" customWidth="1" bestFit="1"/>
    <col min="4" max="4" style="23" width="22.862142857142857" customWidth="1" bestFit="1"/>
    <col min="5" max="5" style="23" width="75.14785714285713" customWidth="1" bestFit="1"/>
    <col min="6" max="6" style="23" width="13.005" customWidth="1" bestFit="1"/>
    <col min="7" max="7" style="67" width="20.576428571428572" customWidth="1" bestFit="1"/>
    <col min="8" max="8" style="68" width="18.576428571428572" customWidth="1" bestFit="1"/>
    <col min="9" max="9" style="23" width="46.14785714285715" customWidth="1" bestFit="1"/>
    <col min="10" max="10" style="23" width="12.43357142857143" customWidth="1" bestFit="1"/>
    <col min="11" max="11" style="23" width="12.43357142857143" customWidth="1" bestFit="1"/>
  </cols>
  <sheetData>
    <row x14ac:dyDescent="0.25" r="1" customHeight="1" ht="17.25">
      <c r="A1" s="4"/>
      <c r="B1" s="4"/>
      <c r="C1" s="4"/>
      <c r="D1" s="4"/>
      <c r="E1" s="4"/>
      <c r="F1" s="4"/>
      <c r="G1" s="26"/>
      <c r="H1" s="27"/>
      <c r="I1" s="4"/>
      <c r="J1" s="4"/>
      <c r="K1" s="4"/>
    </row>
    <row x14ac:dyDescent="0.25" r="2" customHeight="1" ht="17.25">
      <c r="A2" s="4"/>
      <c r="B2" s="4"/>
      <c r="C2" s="4"/>
      <c r="D2" s="4"/>
      <c r="E2" s="4"/>
      <c r="F2" s="4"/>
      <c r="G2" s="26"/>
      <c r="H2" s="27"/>
      <c r="I2" s="4"/>
      <c r="J2" s="4"/>
      <c r="K2" s="4"/>
    </row>
    <row x14ac:dyDescent="0.25" r="3" customHeight="1" ht="17.25">
      <c r="A3" s="4"/>
      <c r="B3" s="70"/>
      <c r="C3" s="70" t="s">
        <v>18</v>
      </c>
      <c r="D3" s="70" t="s">
        <v>63</v>
      </c>
      <c r="E3" s="70" t="s">
        <v>19</v>
      </c>
      <c r="F3" s="70" t="s">
        <v>20</v>
      </c>
      <c r="G3" s="71" t="s">
        <v>64</v>
      </c>
      <c r="H3" s="71" t="s">
        <v>22</v>
      </c>
      <c r="I3" s="70" t="s">
        <v>23</v>
      </c>
      <c r="J3" s="4"/>
      <c r="K3" s="4"/>
    </row>
    <row x14ac:dyDescent="0.25" r="4" customHeight="1" ht="17.25">
      <c r="A4" s="25" t="s">
        <v>155</v>
      </c>
      <c r="B4" s="72" t="s">
        <v>156</v>
      </c>
      <c r="C4" s="72" t="s">
        <v>157</v>
      </c>
      <c r="D4" s="96" t="s">
        <v>69</v>
      </c>
      <c r="E4" s="43" t="s">
        <v>158</v>
      </c>
      <c r="F4" s="72" t="s">
        <v>35</v>
      </c>
      <c r="G4" s="97">
        <v>3754.07</v>
      </c>
      <c r="H4" s="74">
        <f>G4</f>
      </c>
      <c r="I4" s="9" t="s">
        <v>159</v>
      </c>
      <c r="J4" s="4"/>
      <c r="K4" s="4"/>
    </row>
    <row x14ac:dyDescent="0.25" r="5" customHeight="1" ht="17.25">
      <c r="A5" s="25" t="s">
        <v>155</v>
      </c>
      <c r="B5" s="72" t="s">
        <v>160</v>
      </c>
      <c r="C5" s="72" t="s">
        <v>161</v>
      </c>
      <c r="D5" s="96" t="s">
        <v>73</v>
      </c>
      <c r="E5" s="43" t="s">
        <v>162</v>
      </c>
      <c r="F5" s="72" t="s">
        <v>35</v>
      </c>
      <c r="G5" s="42">
        <v>5497.53</v>
      </c>
      <c r="H5" s="74">
        <f>G5</f>
      </c>
      <c r="I5" s="9" t="s">
        <v>75</v>
      </c>
      <c r="J5" s="44"/>
      <c r="K5" s="4"/>
    </row>
    <row x14ac:dyDescent="0.25" r="6" customHeight="1" ht="17.25">
      <c r="A6" s="25" t="s">
        <v>155</v>
      </c>
      <c r="B6" s="98" t="s">
        <v>163</v>
      </c>
      <c r="C6" s="72" t="s">
        <v>164</v>
      </c>
      <c r="D6" s="99" t="s">
        <v>78</v>
      </c>
      <c r="E6" s="43" t="s">
        <v>165</v>
      </c>
      <c r="F6" s="72" t="s">
        <v>35</v>
      </c>
      <c r="G6" s="42">
        <v>4637.27</v>
      </c>
      <c r="H6" s="100">
        <f>G6</f>
      </c>
      <c r="I6" s="9" t="s">
        <v>50</v>
      </c>
      <c r="J6" s="4"/>
      <c r="K6" s="4"/>
    </row>
    <row x14ac:dyDescent="0.25" r="7" customHeight="1" ht="17.25">
      <c r="A7" s="79" t="s">
        <v>155</v>
      </c>
      <c r="B7" s="77" t="s">
        <v>156</v>
      </c>
      <c r="C7" s="77" t="s">
        <v>166</v>
      </c>
      <c r="D7" s="96" t="s">
        <v>84</v>
      </c>
      <c r="E7" s="43" t="s">
        <v>167</v>
      </c>
      <c r="F7" s="72" t="s">
        <v>35</v>
      </c>
      <c r="G7" s="42">
        <v>4637.27</v>
      </c>
      <c r="H7" s="78">
        <f>G7+G8</f>
      </c>
      <c r="I7" s="76" t="s">
        <v>86</v>
      </c>
      <c r="J7" s="44"/>
      <c r="K7" s="4"/>
    </row>
    <row x14ac:dyDescent="0.25" r="8" customHeight="1" ht="17.25">
      <c r="A8" s="79" t="s">
        <v>155</v>
      </c>
      <c r="B8" s="81"/>
      <c r="C8" s="81"/>
      <c r="D8" s="96" t="s">
        <v>87</v>
      </c>
      <c r="E8" s="43" t="s">
        <v>168</v>
      </c>
      <c r="F8" s="72" t="s">
        <v>35</v>
      </c>
      <c r="G8" s="42">
        <v>4637.27</v>
      </c>
      <c r="H8" s="82"/>
      <c r="I8" s="80"/>
      <c r="J8" s="4"/>
      <c r="K8" s="4"/>
    </row>
    <row x14ac:dyDescent="0.25" r="9" customHeight="1" ht="17.25">
      <c r="A9" s="25" t="s">
        <v>155</v>
      </c>
      <c r="B9" s="72" t="s">
        <v>169</v>
      </c>
      <c r="C9" s="72" t="s">
        <v>170</v>
      </c>
      <c r="D9" s="96" t="s">
        <v>91</v>
      </c>
      <c r="E9" s="43" t="s">
        <v>171</v>
      </c>
      <c r="F9" s="72" t="s">
        <v>35</v>
      </c>
      <c r="G9" s="42">
        <v>4637.27</v>
      </c>
      <c r="H9" s="74">
        <f>G9</f>
      </c>
      <c r="I9" s="9" t="s">
        <v>50</v>
      </c>
      <c r="J9" s="4"/>
      <c r="K9" s="4"/>
    </row>
    <row x14ac:dyDescent="0.25" r="10" customHeight="1" ht="17.25">
      <c r="A10" s="79" t="s">
        <v>155</v>
      </c>
      <c r="B10" s="93" t="s">
        <v>172</v>
      </c>
      <c r="C10" s="77" t="s">
        <v>173</v>
      </c>
      <c r="D10" s="96" t="s">
        <v>95</v>
      </c>
      <c r="E10" s="43" t="s">
        <v>174</v>
      </c>
      <c r="F10" s="72" t="s">
        <v>35</v>
      </c>
      <c r="G10" s="42">
        <v>5497.53</v>
      </c>
      <c r="H10" s="78">
        <f>G10+G12+G13+G11</f>
      </c>
      <c r="I10" s="76" t="s">
        <v>175</v>
      </c>
      <c r="J10" s="4"/>
      <c r="K10" s="4"/>
    </row>
    <row x14ac:dyDescent="0.25" r="11" customHeight="1" ht="17.25">
      <c r="A11" s="79" t="s">
        <v>155</v>
      </c>
      <c r="B11" s="94"/>
      <c r="C11" s="85"/>
      <c r="D11" s="96" t="s">
        <v>98</v>
      </c>
      <c r="E11" s="43" t="s">
        <v>176</v>
      </c>
      <c r="F11" s="72" t="s">
        <v>35</v>
      </c>
      <c r="G11" s="42">
        <v>5497.53</v>
      </c>
      <c r="H11" s="86"/>
      <c r="I11" s="87"/>
      <c r="J11" s="44"/>
      <c r="K11" s="44"/>
    </row>
    <row x14ac:dyDescent="0.25" r="12" customHeight="1" ht="17.25">
      <c r="A12" s="79" t="s">
        <v>155</v>
      </c>
      <c r="B12" s="94"/>
      <c r="C12" s="85"/>
      <c r="D12" s="96" t="s">
        <v>98</v>
      </c>
      <c r="E12" s="101" t="s">
        <v>177</v>
      </c>
      <c r="F12" s="72" t="s">
        <v>35</v>
      </c>
      <c r="G12" s="97">
        <f>G11/168*1.3*6</f>
      </c>
      <c r="H12" s="86"/>
      <c r="I12" s="87"/>
      <c r="J12" s="4"/>
      <c r="K12" s="4"/>
    </row>
    <row x14ac:dyDescent="0.25" r="13" customHeight="1" ht="17.25">
      <c r="A13" s="79" t="s">
        <v>155</v>
      </c>
      <c r="B13" s="94"/>
      <c r="C13" s="85"/>
      <c r="D13" s="96" t="s">
        <v>100</v>
      </c>
      <c r="E13" s="43" t="s">
        <v>178</v>
      </c>
      <c r="F13" s="72" t="s">
        <v>35</v>
      </c>
      <c r="G13" s="42">
        <v>5497.53</v>
      </c>
      <c r="H13" s="86"/>
      <c r="I13" s="87"/>
      <c r="J13" s="4"/>
      <c r="K13" s="4"/>
    </row>
    <row x14ac:dyDescent="0.25" r="14" customHeight="1" ht="17.25">
      <c r="A14" s="79" t="s">
        <v>155</v>
      </c>
      <c r="B14" s="77" t="s">
        <v>179</v>
      </c>
      <c r="C14" s="77" t="s">
        <v>180</v>
      </c>
      <c r="D14" s="96" t="s">
        <v>104</v>
      </c>
      <c r="E14" s="43" t="s">
        <v>181</v>
      </c>
      <c r="F14" s="72" t="s">
        <v>35</v>
      </c>
      <c r="G14" s="42">
        <v>5497.53</v>
      </c>
      <c r="H14" s="78">
        <f>G14+G15</f>
      </c>
      <c r="I14" s="76" t="s">
        <v>106</v>
      </c>
      <c r="J14" s="4"/>
      <c r="K14" s="4"/>
    </row>
    <row x14ac:dyDescent="0.25" r="15" customHeight="1" ht="17.25">
      <c r="A15" s="79" t="s">
        <v>155</v>
      </c>
      <c r="B15" s="81"/>
      <c r="C15" s="81"/>
      <c r="D15" s="96" t="s">
        <v>107</v>
      </c>
      <c r="E15" s="43" t="s">
        <v>182</v>
      </c>
      <c r="F15" s="72" t="s">
        <v>35</v>
      </c>
      <c r="G15" s="42">
        <v>5497.53</v>
      </c>
      <c r="H15" s="82"/>
      <c r="I15" s="80"/>
      <c r="J15" s="4"/>
      <c r="K15" s="4"/>
    </row>
    <row x14ac:dyDescent="0.25" r="16" customHeight="1" ht="17.25">
      <c r="A16" s="25" t="s">
        <v>155</v>
      </c>
      <c r="B16" s="72" t="s">
        <v>183</v>
      </c>
      <c r="C16" s="72" t="s">
        <v>184</v>
      </c>
      <c r="D16" s="96" t="s">
        <v>111</v>
      </c>
      <c r="E16" s="43" t="s">
        <v>185</v>
      </c>
      <c r="F16" s="72" t="s">
        <v>35</v>
      </c>
      <c r="G16" s="97">
        <f>4526.88/2</f>
      </c>
      <c r="H16" s="74">
        <f>G16</f>
      </c>
      <c r="I16" s="9" t="s">
        <v>186</v>
      </c>
      <c r="J16" s="97"/>
      <c r="K16" s="4"/>
    </row>
    <row x14ac:dyDescent="0.25" r="17" customHeight="1" ht="17.25">
      <c r="A17" s="25" t="s">
        <v>155</v>
      </c>
      <c r="B17" s="72" t="s">
        <v>183</v>
      </c>
      <c r="C17" s="72" t="s">
        <v>187</v>
      </c>
      <c r="D17" s="96" t="s">
        <v>111</v>
      </c>
      <c r="E17" s="43" t="s">
        <v>188</v>
      </c>
      <c r="F17" s="72" t="s">
        <v>35</v>
      </c>
      <c r="G17" s="97">
        <f>4526.88/2</f>
      </c>
      <c r="H17" s="74">
        <f>G17</f>
      </c>
      <c r="I17" s="9" t="s">
        <v>186</v>
      </c>
      <c r="J17" s="97"/>
      <c r="K17" s="4"/>
    </row>
    <row x14ac:dyDescent="0.25" r="18" customHeight="1" ht="17.25">
      <c r="A18" s="25" t="s">
        <v>155</v>
      </c>
      <c r="B18" s="72" t="s">
        <v>189</v>
      </c>
      <c r="C18" s="72" t="s">
        <v>190</v>
      </c>
      <c r="D18" s="96" t="s">
        <v>115</v>
      </c>
      <c r="E18" s="43" t="s">
        <v>191</v>
      </c>
      <c r="F18" s="72" t="s">
        <v>35</v>
      </c>
      <c r="G18" s="97">
        <v>2208</v>
      </c>
      <c r="H18" s="74">
        <f>G18</f>
      </c>
      <c r="I18" s="9" t="s">
        <v>192</v>
      </c>
      <c r="J18" s="4"/>
      <c r="K18" s="4"/>
    </row>
    <row x14ac:dyDescent="0.25" r="19" customHeight="1" ht="17.25">
      <c r="A19" s="25" t="s">
        <v>155</v>
      </c>
      <c r="B19" s="72" t="s">
        <v>189</v>
      </c>
      <c r="C19" s="72" t="s">
        <v>193</v>
      </c>
      <c r="D19" s="96" t="s">
        <v>115</v>
      </c>
      <c r="E19" s="43" t="s">
        <v>194</v>
      </c>
      <c r="F19" s="72" t="s">
        <v>35</v>
      </c>
      <c r="G19" s="97">
        <v>2429</v>
      </c>
      <c r="H19" s="74">
        <f>G19</f>
      </c>
      <c r="I19" s="9" t="s">
        <v>195</v>
      </c>
      <c r="J19" s="4"/>
      <c r="K19" s="4"/>
    </row>
    <row x14ac:dyDescent="0.25" r="20" customHeight="1" ht="17.25">
      <c r="A20" s="4"/>
      <c r="B20" s="4"/>
      <c r="C20" s="4"/>
      <c r="D20" s="4"/>
      <c r="E20" s="58"/>
      <c r="F20" s="4"/>
      <c r="G20" s="26"/>
      <c r="H20" s="27"/>
      <c r="I20" s="4"/>
      <c r="J20" s="4"/>
      <c r="K20" s="4"/>
    </row>
    <row x14ac:dyDescent="0.25" r="21" customHeight="1" ht="17.25">
      <c r="A21" s="4"/>
      <c r="B21" s="4"/>
      <c r="C21" s="4"/>
      <c r="D21" s="4"/>
      <c r="E21" s="89" t="s">
        <v>54</v>
      </c>
      <c r="F21" s="62"/>
      <c r="G21" s="64">
        <f>SUM(G4:G19)</f>
      </c>
      <c r="H21" s="64">
        <f>SUM(H4:H19)</f>
      </c>
      <c r="I21" s="4"/>
      <c r="J21" s="4"/>
      <c r="K21" s="4"/>
    </row>
    <row x14ac:dyDescent="0.25" r="22" customHeight="1" ht="17.25">
      <c r="A22" s="4"/>
      <c r="B22" s="4"/>
      <c r="C22" s="4"/>
      <c r="D22" s="4"/>
      <c r="E22" s="4"/>
      <c r="F22" s="4"/>
      <c r="G22" s="26"/>
      <c r="H22" s="27"/>
      <c r="I22" s="4"/>
      <c r="J22" s="4"/>
      <c r="K22" s="4"/>
    </row>
    <row x14ac:dyDescent="0.25" r="23" customHeight="1" ht="17.25">
      <c r="A23" s="4"/>
      <c r="B23" s="4"/>
      <c r="C23" s="4"/>
      <c r="D23" s="4"/>
      <c r="E23" s="4"/>
      <c r="F23" s="4"/>
      <c r="G23" s="44">
        <f>G17/2</f>
      </c>
      <c r="H23" s="44"/>
      <c r="I23" s="4"/>
      <c r="J23" s="4"/>
      <c r="K23" s="4"/>
    </row>
    <row x14ac:dyDescent="0.25" r="24" customHeight="1" ht="17.25">
      <c r="A24" s="4"/>
      <c r="B24" s="4"/>
      <c r="C24" s="4"/>
      <c r="D24" s="4"/>
      <c r="E24" s="4"/>
      <c r="F24" s="4"/>
      <c r="G24" s="26"/>
      <c r="H24" s="27"/>
      <c r="I24" s="4"/>
      <c r="J24" s="4"/>
      <c r="K24" s="4"/>
    </row>
    <row x14ac:dyDescent="0.25" r="25" customHeight="1" ht="17.25">
      <c r="A25" s="4"/>
      <c r="B25" s="4"/>
      <c r="C25" s="4"/>
      <c r="D25" s="4"/>
      <c r="E25" s="4"/>
      <c r="F25" s="4"/>
      <c r="G25" s="44">
        <v>2208</v>
      </c>
      <c r="H25" s="27"/>
      <c r="I25" s="4"/>
      <c r="J25" s="4"/>
      <c r="K25" s="4"/>
    </row>
    <row x14ac:dyDescent="0.25" r="26" customHeight="1" ht="17.25">
      <c r="A26" s="4"/>
      <c r="B26" s="4"/>
      <c r="C26" s="4"/>
      <c r="D26" s="4"/>
      <c r="E26" s="4"/>
      <c r="F26" s="4"/>
      <c r="G26" s="44">
        <v>2429</v>
      </c>
      <c r="H26" s="27"/>
      <c r="I26" s="4"/>
      <c r="J26" s="4"/>
      <c r="K26" s="4"/>
    </row>
  </sheetData>
  <mergeCells count="12">
    <mergeCell ref="B7:B8"/>
    <mergeCell ref="C7:C8"/>
    <mergeCell ref="H7:H8"/>
    <mergeCell ref="I7:I8"/>
    <mergeCell ref="B10:B13"/>
    <mergeCell ref="C10:C13"/>
    <mergeCell ref="H10:H13"/>
    <mergeCell ref="I10:I13"/>
    <mergeCell ref="B14:B15"/>
    <mergeCell ref="C14:C15"/>
    <mergeCell ref="H14:H15"/>
    <mergeCell ref="I14:I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5"/>
  <sheetViews>
    <sheetView workbookViewId="0"/>
  </sheetViews>
  <sheetFormatPr defaultRowHeight="15" x14ac:dyDescent="0.25"/>
  <cols>
    <col min="1" max="1" style="23" width="10.862142857142858" customWidth="1" bestFit="1"/>
    <col min="2" max="2" style="23" width="20.433571428571426" customWidth="1" bestFit="1"/>
    <col min="3" max="3" style="23" width="14.862142857142858" customWidth="1" bestFit="1"/>
    <col min="4" max="4" style="23" width="22.862142857142857" customWidth="1" bestFit="1"/>
    <col min="5" max="5" style="23" width="75.14785714285713" customWidth="1" bestFit="1"/>
    <col min="6" max="6" style="23" width="13.005" customWidth="1" bestFit="1"/>
    <col min="7" max="7" style="67" width="20.576428571428572" customWidth="1" bestFit="1"/>
    <col min="8" max="8" style="68" width="18.576428571428572" customWidth="1" bestFit="1"/>
    <col min="9" max="9" style="23" width="46.14785714285715" customWidth="1" bestFit="1"/>
    <col min="10" max="10" style="68" width="12.43357142857143" customWidth="1" bestFit="1"/>
    <col min="11" max="11" style="68" width="18.576428571428572" customWidth="1" bestFit="1"/>
    <col min="12" max="12" style="68" width="17.005" customWidth="1" bestFit="1"/>
    <col min="13" max="13" style="68" width="12.43357142857143" customWidth="1" bestFit="1"/>
    <col min="14" max="14" style="68" width="12.43357142857143" customWidth="1" bestFit="1"/>
  </cols>
  <sheetData>
    <row x14ac:dyDescent="0.25" r="1" customHeight="1" ht="17.25">
      <c r="A1" s="4"/>
      <c r="B1" s="4"/>
      <c r="C1" s="4"/>
      <c r="D1" s="4"/>
      <c r="E1" s="4"/>
      <c r="F1" s="4"/>
      <c r="G1" s="26"/>
      <c r="H1" s="27"/>
      <c r="I1" s="4"/>
      <c r="J1" s="27"/>
      <c r="K1" s="27"/>
      <c r="L1" s="27"/>
      <c r="M1" s="27"/>
      <c r="N1" s="27"/>
    </row>
    <row x14ac:dyDescent="0.25" r="2" customHeight="1" ht="17.25">
      <c r="A2" s="4"/>
      <c r="B2" s="4"/>
      <c r="C2" s="4"/>
      <c r="D2" s="4"/>
      <c r="E2" s="4"/>
      <c r="F2" s="4"/>
      <c r="G2" s="26"/>
      <c r="H2" s="27"/>
      <c r="I2" s="4"/>
      <c r="J2" s="27"/>
      <c r="K2" s="27"/>
      <c r="L2" s="27"/>
      <c r="M2" s="27"/>
      <c r="N2" s="27"/>
    </row>
    <row x14ac:dyDescent="0.25" r="3" customHeight="1" ht="17.25">
      <c r="A3" s="4"/>
      <c r="B3" s="70" t="s">
        <v>62</v>
      </c>
      <c r="C3" s="70" t="s">
        <v>18</v>
      </c>
      <c r="D3" s="70" t="s">
        <v>63</v>
      </c>
      <c r="E3" s="70" t="s">
        <v>19</v>
      </c>
      <c r="F3" s="70" t="s">
        <v>20</v>
      </c>
      <c r="G3" s="71" t="s">
        <v>64</v>
      </c>
      <c r="H3" s="71" t="s">
        <v>22</v>
      </c>
      <c r="I3" s="70" t="s">
        <v>23</v>
      </c>
      <c r="J3" s="27"/>
      <c r="K3" s="71" t="s">
        <v>65</v>
      </c>
      <c r="L3" s="71" t="s">
        <v>66</v>
      </c>
      <c r="M3" s="27"/>
      <c r="N3" s="27"/>
    </row>
    <row x14ac:dyDescent="0.25" r="4" customHeight="1" ht="17.25">
      <c r="A4" s="25" t="s">
        <v>118</v>
      </c>
      <c r="B4" s="72" t="s">
        <v>119</v>
      </c>
      <c r="C4" s="72" t="s">
        <v>120</v>
      </c>
      <c r="D4" s="10" t="s">
        <v>69</v>
      </c>
      <c r="E4" s="43" t="s">
        <v>121</v>
      </c>
      <c r="F4" s="72" t="s">
        <v>35</v>
      </c>
      <c r="G4" s="90">
        <v>4637.27</v>
      </c>
      <c r="H4" s="74">
        <f>G4</f>
      </c>
      <c r="I4" s="9" t="s">
        <v>50</v>
      </c>
      <c r="J4" s="27"/>
      <c r="K4" s="42">
        <v>4637.27</v>
      </c>
      <c r="L4" s="42">
        <f>K4-G4</f>
      </c>
      <c r="M4" s="27"/>
      <c r="N4" s="27"/>
    </row>
    <row x14ac:dyDescent="0.25" r="5" customHeight="1" ht="17.25">
      <c r="A5" s="25" t="s">
        <v>118</v>
      </c>
      <c r="B5" s="72" t="s">
        <v>122</v>
      </c>
      <c r="C5" s="72" t="s">
        <v>123</v>
      </c>
      <c r="D5" s="10" t="s">
        <v>73</v>
      </c>
      <c r="E5" s="43" t="s">
        <v>124</v>
      </c>
      <c r="F5" s="72" t="s">
        <v>35</v>
      </c>
      <c r="G5" s="90">
        <v>5497.53</v>
      </c>
      <c r="H5" s="74">
        <f>G5</f>
      </c>
      <c r="I5" s="9" t="s">
        <v>75</v>
      </c>
      <c r="J5" s="44">
        <f>G5/168</f>
      </c>
      <c r="K5" s="42">
        <v>5497.53</v>
      </c>
      <c r="L5" s="42">
        <f>K5-G5</f>
      </c>
      <c r="M5" s="27"/>
      <c r="N5" s="27"/>
    </row>
    <row x14ac:dyDescent="0.25" r="6" customHeight="1" ht="17.25">
      <c r="A6" s="25" t="s">
        <v>118</v>
      </c>
      <c r="B6" s="77" t="s">
        <v>125</v>
      </c>
      <c r="C6" s="77" t="s">
        <v>126</v>
      </c>
      <c r="D6" s="91" t="s">
        <v>78</v>
      </c>
      <c r="E6" s="43" t="s">
        <v>127</v>
      </c>
      <c r="F6" s="72" t="s">
        <v>35</v>
      </c>
      <c r="G6" s="90">
        <v>4637.27</v>
      </c>
      <c r="H6" s="78">
        <f>G6+G7</f>
      </c>
      <c r="I6" s="76" t="s">
        <v>128</v>
      </c>
      <c r="J6" s="44">
        <f>G6/168</f>
      </c>
      <c r="K6" s="42">
        <v>4637.27</v>
      </c>
      <c r="L6" s="42">
        <f>'FEBRERO ENV'!L6</f>
      </c>
      <c r="M6" s="27"/>
      <c r="N6" s="27"/>
    </row>
    <row x14ac:dyDescent="0.25" r="7" customHeight="1" ht="17.25">
      <c r="A7" s="4"/>
      <c r="B7" s="81"/>
      <c r="C7" s="81"/>
      <c r="D7" s="92"/>
      <c r="E7" s="43" t="s">
        <v>129</v>
      </c>
      <c r="F7" s="72" t="s">
        <v>35</v>
      </c>
      <c r="G7" s="90">
        <v>220.82000000000062</v>
      </c>
      <c r="H7" s="82"/>
      <c r="I7" s="80"/>
      <c r="J7" s="44"/>
      <c r="K7" s="42"/>
      <c r="L7" s="42"/>
      <c r="M7" s="27"/>
      <c r="N7" s="27"/>
    </row>
    <row x14ac:dyDescent="0.25" r="8" customHeight="1" ht="17.25">
      <c r="A8" s="79" t="s">
        <v>118</v>
      </c>
      <c r="B8" s="77" t="s">
        <v>130</v>
      </c>
      <c r="C8" s="77" t="s">
        <v>131</v>
      </c>
      <c r="D8" s="10" t="s">
        <v>84</v>
      </c>
      <c r="E8" s="43" t="s">
        <v>132</v>
      </c>
      <c r="F8" s="72" t="s">
        <v>35</v>
      </c>
      <c r="G8" s="90">
        <v>4637.27</v>
      </c>
      <c r="H8" s="78">
        <f>G8+G9</f>
      </c>
      <c r="I8" s="76" t="s">
        <v>86</v>
      </c>
      <c r="J8" s="27"/>
      <c r="K8" s="42">
        <v>4637.27</v>
      </c>
      <c r="L8" s="42">
        <f>K8-G8</f>
      </c>
      <c r="M8" s="27"/>
      <c r="N8" s="27"/>
    </row>
    <row x14ac:dyDescent="0.25" r="9" customHeight="1" ht="17.25">
      <c r="A9" s="79" t="s">
        <v>118</v>
      </c>
      <c r="B9" s="81"/>
      <c r="C9" s="81"/>
      <c r="D9" s="10" t="s">
        <v>87</v>
      </c>
      <c r="E9" s="43" t="s">
        <v>133</v>
      </c>
      <c r="F9" s="72" t="s">
        <v>35</v>
      </c>
      <c r="G9" s="90">
        <v>4637.27</v>
      </c>
      <c r="H9" s="82"/>
      <c r="I9" s="80"/>
      <c r="J9" s="27"/>
      <c r="K9" s="42">
        <v>4637.27</v>
      </c>
      <c r="L9" s="42">
        <f>K9-G9</f>
      </c>
      <c r="M9" s="27"/>
      <c r="N9" s="27"/>
    </row>
    <row x14ac:dyDescent="0.25" r="10" customHeight="1" ht="17.25">
      <c r="A10" s="25" t="s">
        <v>118</v>
      </c>
      <c r="B10" s="72" t="s">
        <v>134</v>
      </c>
      <c r="C10" s="72" t="s">
        <v>135</v>
      </c>
      <c r="D10" s="10" t="s">
        <v>91</v>
      </c>
      <c r="E10" s="43" t="s">
        <v>136</v>
      </c>
      <c r="F10" s="72" t="s">
        <v>35</v>
      </c>
      <c r="G10" s="90">
        <v>4637.27</v>
      </c>
      <c r="H10" s="74">
        <f>G10</f>
      </c>
      <c r="I10" s="9" t="s">
        <v>50</v>
      </c>
      <c r="J10" s="27"/>
      <c r="K10" s="42">
        <v>4637.27</v>
      </c>
      <c r="L10" s="42">
        <f>K10-G10</f>
      </c>
      <c r="M10" s="27"/>
      <c r="N10" s="27"/>
    </row>
    <row x14ac:dyDescent="0.25" r="11" customHeight="1" ht="17.25">
      <c r="A11" s="79" t="s">
        <v>118</v>
      </c>
      <c r="B11" s="93" t="s">
        <v>137</v>
      </c>
      <c r="C11" s="77" t="s">
        <v>138</v>
      </c>
      <c r="D11" s="10" t="s">
        <v>95</v>
      </c>
      <c r="E11" s="43" t="s">
        <v>139</v>
      </c>
      <c r="F11" s="72" t="s">
        <v>35</v>
      </c>
      <c r="G11" s="90">
        <v>5497.53</v>
      </c>
      <c r="H11" s="78">
        <f>G11+G13+G15+G14+G12</f>
      </c>
      <c r="I11" s="76" t="s">
        <v>140</v>
      </c>
      <c r="J11" s="27"/>
      <c r="K11" s="42">
        <v>5497.53</v>
      </c>
      <c r="L11" s="42">
        <f>K11-G11</f>
      </c>
      <c r="M11" s="44">
        <f>G11/168</f>
      </c>
      <c r="N11" s="44">
        <f>M11*1.3</f>
      </c>
    </row>
    <row x14ac:dyDescent="0.25" r="12" customHeight="1" ht="17.25">
      <c r="A12" s="79" t="s">
        <v>118</v>
      </c>
      <c r="B12" s="94"/>
      <c r="C12" s="85"/>
      <c r="D12" s="10" t="s">
        <v>98</v>
      </c>
      <c r="E12" s="43" t="s">
        <v>141</v>
      </c>
      <c r="F12" s="72" t="s">
        <v>35</v>
      </c>
      <c r="G12" s="90">
        <v>5497.53</v>
      </c>
      <c r="H12" s="86"/>
      <c r="I12" s="87"/>
      <c r="J12" s="27"/>
      <c r="K12" s="42">
        <v>5497.53</v>
      </c>
      <c r="L12" s="42">
        <v>0</v>
      </c>
      <c r="M12" s="44">
        <f>K12/168*88*1.3</f>
      </c>
      <c r="N12" s="44">
        <f>K12+M12</f>
      </c>
    </row>
    <row x14ac:dyDescent="0.25" r="13" customHeight="1" ht="17.25">
      <c r="A13" s="79" t="s">
        <v>118</v>
      </c>
      <c r="B13" s="94"/>
      <c r="C13" s="85"/>
      <c r="D13" s="10" t="s">
        <v>98</v>
      </c>
      <c r="E13" s="43" t="s">
        <v>142</v>
      </c>
      <c r="F13" s="72" t="s">
        <v>35</v>
      </c>
      <c r="G13" s="90">
        <v>3743.56</v>
      </c>
      <c r="H13" s="86"/>
      <c r="I13" s="87"/>
      <c r="J13" s="27"/>
      <c r="K13" s="42">
        <v>5497.53</v>
      </c>
      <c r="L13" s="42">
        <v>0</v>
      </c>
      <c r="M13" s="44">
        <f>K13/168*88*1.3</f>
      </c>
      <c r="N13" s="44">
        <f>K13+M13</f>
      </c>
    </row>
    <row x14ac:dyDescent="0.25" r="14" customHeight="1" ht="17.25">
      <c r="A14" s="79"/>
      <c r="B14" s="94"/>
      <c r="C14" s="85"/>
      <c r="D14" s="10" t="s">
        <v>100</v>
      </c>
      <c r="E14" s="43" t="s">
        <v>143</v>
      </c>
      <c r="F14" s="72" t="s">
        <v>35</v>
      </c>
      <c r="G14" s="90">
        <v>5497.53</v>
      </c>
      <c r="H14" s="86"/>
      <c r="I14" s="87"/>
      <c r="J14" s="27"/>
      <c r="K14" s="42"/>
      <c r="L14" s="42"/>
      <c r="M14" s="44"/>
      <c r="N14" s="44"/>
    </row>
    <row x14ac:dyDescent="0.25" r="15" customHeight="1" ht="17.25">
      <c r="A15" s="79" t="s">
        <v>118</v>
      </c>
      <c r="B15" s="95"/>
      <c r="C15" s="81"/>
      <c r="D15" s="10" t="s">
        <v>100</v>
      </c>
      <c r="E15" s="43" t="s">
        <v>144</v>
      </c>
      <c r="F15" s="72" t="s">
        <v>35</v>
      </c>
      <c r="G15" s="90">
        <v>3126.72</v>
      </c>
      <c r="H15" s="82"/>
      <c r="I15" s="80"/>
      <c r="J15" s="27"/>
      <c r="K15" s="42">
        <v>5497.53</v>
      </c>
      <c r="L15" s="42">
        <v>0</v>
      </c>
      <c r="M15" s="44">
        <f>K15/168*73.5*1.3</f>
      </c>
      <c r="N15" s="44">
        <f>K15+M15</f>
      </c>
    </row>
    <row x14ac:dyDescent="0.25" r="16" customHeight="1" ht="17.25">
      <c r="A16" s="79" t="s">
        <v>118</v>
      </c>
      <c r="B16" s="77" t="s">
        <v>145</v>
      </c>
      <c r="C16" s="77" t="s">
        <v>146</v>
      </c>
      <c r="D16" s="10" t="s">
        <v>104</v>
      </c>
      <c r="E16" s="43" t="s">
        <v>147</v>
      </c>
      <c r="F16" s="72" t="s">
        <v>35</v>
      </c>
      <c r="G16" s="90">
        <v>5497.53</v>
      </c>
      <c r="H16" s="78">
        <f>G16+G17</f>
      </c>
      <c r="I16" s="76" t="s">
        <v>106</v>
      </c>
      <c r="J16" s="27"/>
      <c r="K16" s="42">
        <v>5497.53</v>
      </c>
      <c r="L16" s="42">
        <f>K16-G16</f>
      </c>
      <c r="M16" s="27"/>
      <c r="N16" s="27"/>
    </row>
    <row x14ac:dyDescent="0.25" r="17" customHeight="1" ht="17.25">
      <c r="A17" s="79" t="s">
        <v>118</v>
      </c>
      <c r="B17" s="81"/>
      <c r="C17" s="81"/>
      <c r="D17" s="10" t="s">
        <v>107</v>
      </c>
      <c r="E17" s="43" t="s">
        <v>148</v>
      </c>
      <c r="F17" s="72" t="s">
        <v>35</v>
      </c>
      <c r="G17" s="90">
        <v>5497.53</v>
      </c>
      <c r="H17" s="82"/>
      <c r="I17" s="80"/>
      <c r="J17" s="27"/>
      <c r="K17" s="42">
        <v>5497.53</v>
      </c>
      <c r="L17" s="42">
        <f>K17-G17</f>
      </c>
      <c r="M17" s="27"/>
      <c r="N17" s="27"/>
    </row>
    <row x14ac:dyDescent="0.25" r="18" customHeight="1" ht="17.25">
      <c r="A18" s="25" t="s">
        <v>118</v>
      </c>
      <c r="B18" s="72" t="s">
        <v>149</v>
      </c>
      <c r="C18" s="72" t="s">
        <v>150</v>
      </c>
      <c r="D18" s="10" t="s">
        <v>111</v>
      </c>
      <c r="E18" s="43" t="s">
        <v>151</v>
      </c>
      <c r="F18" s="72" t="s">
        <v>35</v>
      </c>
      <c r="G18" s="90">
        <v>4637.27</v>
      </c>
      <c r="H18" s="74">
        <f>G18</f>
      </c>
      <c r="I18" s="9" t="s">
        <v>50</v>
      </c>
      <c r="J18" s="27"/>
      <c r="K18" s="42">
        <v>4637.27</v>
      </c>
      <c r="L18" s="42">
        <f>'FEBRERO ENV'!L15</f>
      </c>
      <c r="M18" s="27"/>
      <c r="N18" s="27"/>
    </row>
    <row x14ac:dyDescent="0.25" r="19" customHeight="1" ht="17.25">
      <c r="A19" s="25" t="s">
        <v>118</v>
      </c>
      <c r="B19" s="72" t="s">
        <v>152</v>
      </c>
      <c r="C19" s="72" t="s">
        <v>153</v>
      </c>
      <c r="D19" s="10" t="s">
        <v>115</v>
      </c>
      <c r="E19" s="43" t="s">
        <v>154</v>
      </c>
      <c r="F19" s="72" t="s">
        <v>35</v>
      </c>
      <c r="G19" s="90">
        <v>4637.27</v>
      </c>
      <c r="H19" s="74">
        <f>G19</f>
      </c>
      <c r="I19" s="9" t="s">
        <v>50</v>
      </c>
      <c r="J19" s="27"/>
      <c r="K19" s="42">
        <v>4637.27</v>
      </c>
      <c r="L19" s="42">
        <f>K19-G19</f>
      </c>
      <c r="M19" s="27"/>
      <c r="N19" s="27"/>
    </row>
    <row x14ac:dyDescent="0.25" r="20" customHeight="1" ht="17.25">
      <c r="A20" s="4"/>
      <c r="B20" s="4"/>
      <c r="C20" s="4"/>
      <c r="D20" s="4"/>
      <c r="E20" s="58"/>
      <c r="F20" s="4"/>
      <c r="G20" s="26"/>
      <c r="H20" s="27"/>
      <c r="I20" s="4"/>
      <c r="J20" s="27"/>
      <c r="K20" s="27"/>
      <c r="L20" s="27"/>
      <c r="M20" s="27"/>
      <c r="N20" s="27"/>
    </row>
    <row x14ac:dyDescent="0.25" r="21" customHeight="1" ht="17.25">
      <c r="A21" s="4"/>
      <c r="B21" s="4"/>
      <c r="C21" s="4"/>
      <c r="D21" s="4"/>
      <c r="E21" s="89" t="s">
        <v>54</v>
      </c>
      <c r="F21" s="62"/>
      <c r="G21" s="64">
        <f>SUM(G4:G19)</f>
      </c>
      <c r="H21" s="64">
        <f>SUM(H4:H19)</f>
      </c>
      <c r="I21" s="4"/>
      <c r="J21" s="27"/>
      <c r="K21" s="64">
        <f>SUM(K4:K19)</f>
      </c>
      <c r="L21" s="64">
        <f>SUM(L4:L19)</f>
      </c>
      <c r="M21" s="27"/>
      <c r="N21" s="27"/>
    </row>
    <row x14ac:dyDescent="0.25" r="22" customHeight="1" ht="17.25">
      <c r="A22" s="4"/>
      <c r="B22" s="4"/>
      <c r="C22" s="4"/>
      <c r="D22" s="4"/>
      <c r="E22" s="4"/>
      <c r="F22" s="4"/>
      <c r="G22" s="26"/>
      <c r="H22" s="27"/>
      <c r="I22" s="4"/>
      <c r="J22" s="27"/>
      <c r="K22" s="27"/>
      <c r="L22" s="27"/>
      <c r="M22" s="27"/>
      <c r="N22" s="27"/>
    </row>
    <row x14ac:dyDescent="0.25" r="23" customHeight="1" ht="17.25">
      <c r="A23" s="4"/>
      <c r="B23" s="4"/>
      <c r="C23" s="4"/>
      <c r="D23" s="4"/>
      <c r="E23" s="4"/>
      <c r="F23" s="4"/>
      <c r="G23" s="44">
        <f>G21+L6</f>
      </c>
      <c r="H23" s="44"/>
      <c r="I23" s="4"/>
      <c r="J23" s="27"/>
      <c r="K23" s="27"/>
      <c r="L23" s="27"/>
      <c r="M23" s="27"/>
      <c r="N23" s="27"/>
    </row>
    <row x14ac:dyDescent="0.25" r="24" customHeight="1" ht="17.25">
      <c r="A24" s="4"/>
      <c r="B24" s="4"/>
      <c r="C24" s="4"/>
      <c r="D24" s="4"/>
      <c r="E24" s="4"/>
      <c r="F24" s="4"/>
      <c r="G24" s="26"/>
      <c r="H24" s="27"/>
      <c r="I24" s="4"/>
      <c r="J24" s="27"/>
      <c r="K24" s="27"/>
      <c r="L24" s="27"/>
      <c r="M24" s="27"/>
      <c r="N24" s="27"/>
    </row>
    <row x14ac:dyDescent="0.25" r="25" customHeight="1" ht="17.25">
      <c r="A25" s="4"/>
      <c r="B25" s="4"/>
      <c r="C25" s="4"/>
      <c r="D25" s="4"/>
      <c r="E25" s="4"/>
      <c r="F25" s="4"/>
      <c r="G25" s="44">
        <f>G23*3900</f>
      </c>
      <c r="H25" s="27"/>
      <c r="I25" s="4"/>
      <c r="J25" s="27"/>
      <c r="K25" s="27"/>
      <c r="L25" s="27"/>
      <c r="M25" s="27"/>
      <c r="N25" s="27"/>
    </row>
  </sheetData>
  <mergeCells count="17">
    <mergeCell ref="B6:B7"/>
    <mergeCell ref="C6:C7"/>
    <mergeCell ref="D6:D7"/>
    <mergeCell ref="H6:H7"/>
    <mergeCell ref="I6:I7"/>
    <mergeCell ref="B8:B9"/>
    <mergeCell ref="C8:C9"/>
    <mergeCell ref="H8:H9"/>
    <mergeCell ref="I8:I9"/>
    <mergeCell ref="B11:B15"/>
    <mergeCell ref="C11:C15"/>
    <mergeCell ref="H11:H15"/>
    <mergeCell ref="I11:I15"/>
    <mergeCell ref="B16:B17"/>
    <mergeCell ref="C16:C17"/>
    <mergeCell ref="H16:H17"/>
    <mergeCell ref="I16:I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0"/>
  <sheetViews>
    <sheetView workbookViewId="0"/>
  </sheetViews>
  <sheetFormatPr defaultRowHeight="15" x14ac:dyDescent="0.25"/>
  <cols>
    <col min="1" max="1" style="23" width="10.862142857142858" customWidth="1" bestFit="1"/>
    <col min="2" max="2" style="23" width="20.433571428571426" customWidth="1" bestFit="1"/>
    <col min="3" max="3" style="23" width="14.862142857142858" customWidth="1" bestFit="1"/>
    <col min="4" max="4" style="23" width="22.862142857142857" customWidth="1" bestFit="1"/>
    <col min="5" max="5" style="23" width="75.14785714285713" customWidth="1" bestFit="1"/>
    <col min="6" max="6" style="23" width="13.005" customWidth="1" bestFit="1"/>
    <col min="7" max="7" style="67" width="20.576428571428572" customWidth="1" bestFit="1"/>
    <col min="8" max="8" style="67" width="18.576428571428572" customWidth="1" bestFit="1"/>
    <col min="9" max="9" style="23" width="46.14785714285715" customWidth="1" bestFit="1"/>
    <col min="10" max="10" style="68" width="12.43357142857143" customWidth="1" bestFit="1"/>
    <col min="11" max="11" style="68" width="18.576428571428572" customWidth="1" bestFit="1"/>
    <col min="12" max="12" style="68" width="17.005" customWidth="1" bestFit="1"/>
    <col min="13" max="13" style="23" width="12.43357142857143" customWidth="1" bestFit="1"/>
  </cols>
  <sheetData>
    <row x14ac:dyDescent="0.25" r="1" customHeight="1" ht="17.25">
      <c r="A1" s="4"/>
      <c r="B1" s="4"/>
      <c r="C1" s="4"/>
      <c r="D1" s="4"/>
      <c r="E1" s="4"/>
      <c r="F1" s="4"/>
      <c r="G1" s="26"/>
      <c r="H1" s="26"/>
      <c r="I1" s="4"/>
      <c r="J1" s="27"/>
      <c r="K1" s="27"/>
      <c r="L1" s="27"/>
      <c r="M1" s="4"/>
    </row>
    <row x14ac:dyDescent="0.25" r="2" customHeight="1" ht="17.25">
      <c r="A2" s="4"/>
      <c r="B2" s="4"/>
      <c r="C2" s="4"/>
      <c r="D2" s="4"/>
      <c r="E2" s="4"/>
      <c r="F2" s="4"/>
      <c r="G2" s="26"/>
      <c r="H2" s="26"/>
      <c r="I2" s="4"/>
      <c r="J2" s="27"/>
      <c r="K2" s="27"/>
      <c r="L2" s="27"/>
      <c r="M2" s="4"/>
    </row>
    <row x14ac:dyDescent="0.25" r="3" customHeight="1" ht="17.25">
      <c r="A3" s="4"/>
      <c r="B3" s="70" t="s">
        <v>62</v>
      </c>
      <c r="C3" s="70" t="s">
        <v>18</v>
      </c>
      <c r="D3" s="70" t="s">
        <v>63</v>
      </c>
      <c r="E3" s="70" t="s">
        <v>19</v>
      </c>
      <c r="F3" s="70" t="s">
        <v>20</v>
      </c>
      <c r="G3" s="71" t="s">
        <v>64</v>
      </c>
      <c r="H3" s="71" t="s">
        <v>22</v>
      </c>
      <c r="I3" s="70" t="s">
        <v>23</v>
      </c>
      <c r="J3" s="27"/>
      <c r="K3" s="71" t="s">
        <v>65</v>
      </c>
      <c r="L3" s="71" t="s">
        <v>66</v>
      </c>
      <c r="M3" s="4"/>
    </row>
    <row x14ac:dyDescent="0.25" r="4" customHeight="1" ht="17.25">
      <c r="A4" s="4"/>
      <c r="B4" s="9" t="s">
        <v>67</v>
      </c>
      <c r="C4" s="72" t="s">
        <v>68</v>
      </c>
      <c r="D4" s="10" t="s">
        <v>69</v>
      </c>
      <c r="E4" s="43" t="s">
        <v>70</v>
      </c>
      <c r="F4" s="72" t="s">
        <v>35</v>
      </c>
      <c r="G4" s="73">
        <f>K4</f>
      </c>
      <c r="H4" s="74">
        <f>G4</f>
      </c>
      <c r="I4" s="43" t="s">
        <v>50</v>
      </c>
      <c r="J4" s="27"/>
      <c r="K4" s="42">
        <v>4637.27</v>
      </c>
      <c r="L4" s="42">
        <f>K4-G4</f>
      </c>
      <c r="M4" s="4"/>
    </row>
    <row x14ac:dyDescent="0.25" r="5" customHeight="1" ht="17.25">
      <c r="A5" s="4"/>
      <c r="B5" s="9" t="s">
        <v>71</v>
      </c>
      <c r="C5" s="72" t="s">
        <v>72</v>
      </c>
      <c r="D5" s="10" t="s">
        <v>73</v>
      </c>
      <c r="E5" s="43" t="s">
        <v>74</v>
      </c>
      <c r="F5" s="72" t="s">
        <v>35</v>
      </c>
      <c r="G5" s="42">
        <v>5497.53</v>
      </c>
      <c r="H5" s="74">
        <f>G5</f>
      </c>
      <c r="I5" s="43" t="s">
        <v>75</v>
      </c>
      <c r="J5" s="44">
        <f>G5/168</f>
      </c>
      <c r="K5" s="42">
        <v>5497.53</v>
      </c>
      <c r="L5" s="42">
        <f>K5-G5</f>
      </c>
      <c r="M5" s="4"/>
    </row>
    <row x14ac:dyDescent="0.25" r="6" customHeight="1" ht="17.25">
      <c r="A6" s="4"/>
      <c r="B6" s="9" t="s">
        <v>76</v>
      </c>
      <c r="C6" s="72" t="s">
        <v>77</v>
      </c>
      <c r="D6" s="10" t="s">
        <v>78</v>
      </c>
      <c r="E6" s="43" t="s">
        <v>79</v>
      </c>
      <c r="F6" s="72" t="s">
        <v>35</v>
      </c>
      <c r="G6" s="73">
        <v>4416.45</v>
      </c>
      <c r="H6" s="74">
        <f>G6</f>
      </c>
      <c r="I6" s="43" t="s">
        <v>80</v>
      </c>
      <c r="J6" s="44">
        <f>G6/168</f>
      </c>
      <c r="K6" s="42">
        <v>4637.27</v>
      </c>
      <c r="L6" s="42">
        <f>K6-G6</f>
      </c>
      <c r="M6" s="4" t="s">
        <v>81</v>
      </c>
    </row>
    <row x14ac:dyDescent="0.25" r="7" customHeight="1" ht="17.25">
      <c r="A7" s="75"/>
      <c r="B7" s="76" t="s">
        <v>82</v>
      </c>
      <c r="C7" s="77" t="s">
        <v>83</v>
      </c>
      <c r="D7" s="10" t="s">
        <v>84</v>
      </c>
      <c r="E7" s="43" t="s">
        <v>85</v>
      </c>
      <c r="F7" s="72" t="s">
        <v>35</v>
      </c>
      <c r="G7" s="42">
        <f>K7</f>
      </c>
      <c r="H7" s="78">
        <f>G7+G8</f>
      </c>
      <c r="I7" s="76" t="s">
        <v>86</v>
      </c>
      <c r="J7" s="27"/>
      <c r="K7" s="42">
        <v>4637.27</v>
      </c>
      <c r="L7" s="42">
        <f>K7-G7</f>
      </c>
      <c r="M7" s="4"/>
    </row>
    <row x14ac:dyDescent="0.25" r="8" customHeight="1" ht="17.25">
      <c r="A8" s="79"/>
      <c r="B8" s="80"/>
      <c r="C8" s="81"/>
      <c r="D8" s="10" t="s">
        <v>87</v>
      </c>
      <c r="E8" s="43" t="s">
        <v>88</v>
      </c>
      <c r="F8" s="72" t="s">
        <v>35</v>
      </c>
      <c r="G8" s="42">
        <f>K8</f>
      </c>
      <c r="H8" s="82"/>
      <c r="I8" s="80"/>
      <c r="J8" s="27"/>
      <c r="K8" s="42">
        <v>4637.27</v>
      </c>
      <c r="L8" s="42">
        <f>K8-G8</f>
      </c>
      <c r="M8" s="4"/>
    </row>
    <row x14ac:dyDescent="0.25" r="9" customHeight="1" ht="17.25">
      <c r="A9" s="4"/>
      <c r="B9" s="9" t="s">
        <v>89</v>
      </c>
      <c r="C9" s="72" t="s">
        <v>90</v>
      </c>
      <c r="D9" s="10" t="s">
        <v>91</v>
      </c>
      <c r="E9" s="43" t="s">
        <v>92</v>
      </c>
      <c r="F9" s="72" t="s">
        <v>35</v>
      </c>
      <c r="G9" s="73">
        <f>K9</f>
      </c>
      <c r="H9" s="74">
        <f>G9</f>
      </c>
      <c r="I9" s="43" t="s">
        <v>50</v>
      </c>
      <c r="J9" s="27"/>
      <c r="K9" s="42">
        <v>4637.27</v>
      </c>
      <c r="L9" s="42">
        <f>K9-G9</f>
      </c>
      <c r="M9" s="4"/>
    </row>
    <row x14ac:dyDescent="0.25" r="10" customHeight="1" ht="17.25">
      <c r="A10" s="75"/>
      <c r="B10" s="83" t="s">
        <v>93</v>
      </c>
      <c r="C10" s="77" t="s">
        <v>94</v>
      </c>
      <c r="D10" s="10" t="s">
        <v>95</v>
      </c>
      <c r="E10" s="43" t="s">
        <v>96</v>
      </c>
      <c r="F10" s="72" t="s">
        <v>35</v>
      </c>
      <c r="G10" s="73">
        <f>K10</f>
      </c>
      <c r="H10" s="78">
        <f>G10+G11+G12</f>
      </c>
      <c r="I10" s="76" t="s">
        <v>97</v>
      </c>
      <c r="J10" s="27"/>
      <c r="K10" s="42">
        <v>5497.53</v>
      </c>
      <c r="L10" s="42">
        <f>K10-G10</f>
      </c>
      <c r="M10" s="4"/>
    </row>
    <row x14ac:dyDescent="0.25" r="11" customHeight="1" ht="17.25">
      <c r="A11" s="79"/>
      <c r="B11" s="84"/>
      <c r="C11" s="85"/>
      <c r="D11" s="10" t="s">
        <v>98</v>
      </c>
      <c r="E11" s="43" t="s">
        <v>99</v>
      </c>
      <c r="F11" s="72" t="s">
        <v>35</v>
      </c>
      <c r="G11" s="73">
        <f>K11</f>
      </c>
      <c r="H11" s="86"/>
      <c r="I11" s="87"/>
      <c r="J11" s="27"/>
      <c r="K11" s="42">
        <v>5497.53</v>
      </c>
      <c r="L11" s="42">
        <f>K11-G11</f>
      </c>
      <c r="M11" s="4"/>
    </row>
    <row x14ac:dyDescent="0.25" r="12" customHeight="1" ht="17.25">
      <c r="A12" s="79"/>
      <c r="B12" s="88"/>
      <c r="C12" s="81"/>
      <c r="D12" s="10" t="s">
        <v>100</v>
      </c>
      <c r="E12" s="43" t="s">
        <v>101</v>
      </c>
      <c r="F12" s="72" t="s">
        <v>35</v>
      </c>
      <c r="G12" s="73">
        <f>K12</f>
      </c>
      <c r="H12" s="82"/>
      <c r="I12" s="80"/>
      <c r="J12" s="27"/>
      <c r="K12" s="42">
        <v>5497.53</v>
      </c>
      <c r="L12" s="42">
        <f>K12-G12</f>
      </c>
      <c r="M12" s="4"/>
    </row>
    <row x14ac:dyDescent="0.25" r="13" customHeight="1" ht="17.25">
      <c r="A13" s="75"/>
      <c r="B13" s="76" t="s">
        <v>102</v>
      </c>
      <c r="C13" s="77" t="s">
        <v>103</v>
      </c>
      <c r="D13" s="10" t="s">
        <v>104</v>
      </c>
      <c r="E13" s="43" t="s">
        <v>105</v>
      </c>
      <c r="F13" s="72" t="s">
        <v>35</v>
      </c>
      <c r="G13" s="73">
        <f>K13</f>
      </c>
      <c r="H13" s="78">
        <f>G13+G14</f>
      </c>
      <c r="I13" s="76" t="s">
        <v>106</v>
      </c>
      <c r="J13" s="27"/>
      <c r="K13" s="42">
        <v>5497.53</v>
      </c>
      <c r="L13" s="42">
        <f>K13-G13</f>
      </c>
      <c r="M13" s="4"/>
    </row>
    <row x14ac:dyDescent="0.25" r="14" customHeight="1" ht="17.25">
      <c r="A14" s="79"/>
      <c r="B14" s="80"/>
      <c r="C14" s="81"/>
      <c r="D14" s="10" t="s">
        <v>107</v>
      </c>
      <c r="E14" s="43" t="s">
        <v>108</v>
      </c>
      <c r="F14" s="72" t="s">
        <v>35</v>
      </c>
      <c r="G14" s="73">
        <f>K14</f>
      </c>
      <c r="H14" s="82"/>
      <c r="I14" s="80"/>
      <c r="J14" s="27"/>
      <c r="K14" s="42">
        <v>5497.53</v>
      </c>
      <c r="L14" s="42">
        <f>K14-G14</f>
      </c>
      <c r="M14" s="4"/>
    </row>
    <row x14ac:dyDescent="0.25" r="15" customHeight="1" ht="17.25">
      <c r="A15" s="4"/>
      <c r="B15" s="9" t="s">
        <v>109</v>
      </c>
      <c r="C15" s="72" t="s">
        <v>110</v>
      </c>
      <c r="D15" s="10" t="s">
        <v>111</v>
      </c>
      <c r="E15" s="43" t="s">
        <v>112</v>
      </c>
      <c r="F15" s="72" t="s">
        <v>35</v>
      </c>
      <c r="G15" s="42">
        <v>4416.45</v>
      </c>
      <c r="H15" s="74">
        <f>G15</f>
      </c>
      <c r="I15" s="43" t="s">
        <v>80</v>
      </c>
      <c r="J15" s="27"/>
      <c r="K15" s="42">
        <v>4637.27</v>
      </c>
      <c r="L15" s="42">
        <f>K15-G15</f>
      </c>
      <c r="M15" s="4"/>
    </row>
    <row x14ac:dyDescent="0.25" r="16" customHeight="1" ht="17.25">
      <c r="A16" s="4"/>
      <c r="B16" s="9" t="s">
        <v>113</v>
      </c>
      <c r="C16" s="72" t="s">
        <v>114</v>
      </c>
      <c r="D16" s="10" t="s">
        <v>115</v>
      </c>
      <c r="E16" s="43" t="s">
        <v>116</v>
      </c>
      <c r="F16" s="72" t="s">
        <v>35</v>
      </c>
      <c r="G16" s="42">
        <v>2429.05</v>
      </c>
      <c r="H16" s="74">
        <f>G16</f>
      </c>
      <c r="I16" s="43" t="s">
        <v>117</v>
      </c>
      <c r="J16" s="27"/>
      <c r="K16" s="42">
        <f>4637.27/168*88</f>
      </c>
      <c r="L16" s="42">
        <f>K16-G16</f>
      </c>
      <c r="M16" s="4"/>
    </row>
    <row x14ac:dyDescent="0.25" r="17" customHeight="1" ht="17.25">
      <c r="A17" s="4"/>
      <c r="B17" s="4"/>
      <c r="C17" s="4"/>
      <c r="D17" s="4"/>
      <c r="E17" s="58"/>
      <c r="F17" s="4"/>
      <c r="G17" s="26"/>
      <c r="H17" s="26"/>
      <c r="I17" s="4"/>
      <c r="J17" s="27"/>
      <c r="K17" s="27"/>
      <c r="L17" s="27"/>
      <c r="M17" s="4"/>
    </row>
    <row x14ac:dyDescent="0.25" r="18" customHeight="1" ht="17.25">
      <c r="A18" s="4"/>
      <c r="B18" s="4"/>
      <c r="C18" s="4"/>
      <c r="D18" s="4"/>
      <c r="E18" s="89" t="s">
        <v>54</v>
      </c>
      <c r="F18" s="62"/>
      <c r="G18" s="64">
        <f>SUM(G4:G16)</f>
      </c>
      <c r="H18" s="64">
        <f>SUM(H4:H16)</f>
      </c>
      <c r="I18" s="4"/>
      <c r="J18" s="27"/>
      <c r="K18" s="64">
        <f>SUM(K4:K16)</f>
      </c>
      <c r="L18" s="64">
        <f>SUM(L4:L16)</f>
      </c>
      <c r="M18" s="4"/>
    </row>
    <row x14ac:dyDescent="0.25" r="19" customHeight="1" ht="17.25">
      <c r="A19" s="4"/>
      <c r="B19" s="4"/>
      <c r="C19" s="4"/>
      <c r="D19" s="4"/>
      <c r="E19" s="4"/>
      <c r="F19" s="4"/>
      <c r="G19" s="26"/>
      <c r="H19" s="26"/>
      <c r="I19" s="4"/>
      <c r="J19" s="27"/>
      <c r="K19" s="27"/>
      <c r="L19" s="27"/>
      <c r="M19" s="4"/>
    </row>
    <row x14ac:dyDescent="0.25" r="20" customHeight="1" ht="17.25">
      <c r="A20" s="4"/>
      <c r="B20" s="4"/>
      <c r="C20" s="4"/>
      <c r="D20" s="4"/>
      <c r="E20" s="4"/>
      <c r="F20" s="4"/>
      <c r="G20" s="44">
        <f>K18-G18</f>
      </c>
      <c r="H20" s="44">
        <f>G20*4000</f>
      </c>
      <c r="I20" s="4"/>
      <c r="J20" s="27"/>
      <c r="K20" s="27"/>
      <c r="L20" s="27"/>
      <c r="M20" s="4"/>
    </row>
  </sheetData>
  <mergeCells count="15">
    <mergeCell ref="A7:A8"/>
    <mergeCell ref="B7:B8"/>
    <mergeCell ref="C7:C8"/>
    <mergeCell ref="H7:H8"/>
    <mergeCell ref="I7:I8"/>
    <mergeCell ref="A10:A12"/>
    <mergeCell ref="B10:B12"/>
    <mergeCell ref="C10:C12"/>
    <mergeCell ref="H10:H12"/>
    <mergeCell ref="I10:I12"/>
    <mergeCell ref="A13:A14"/>
    <mergeCell ref="B13:B14"/>
    <mergeCell ref="C13:C14"/>
    <mergeCell ref="H13:H14"/>
    <mergeCell ref="I13:I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 tabSelected="1"/>
  </sheetViews>
  <sheetFormatPr defaultRowHeight="15" x14ac:dyDescent="0.25"/>
  <cols>
    <col min="1" max="1" style="23" width="15.862142857142858" customWidth="1" bestFit="1"/>
    <col min="2" max="2" style="23" width="18.005" customWidth="1" bestFit="1"/>
    <col min="3" max="3" style="23" width="24.005" customWidth="1" bestFit="1"/>
    <col min="4" max="4" style="23" width="74.86214285714286" customWidth="1" bestFit="1"/>
    <col min="5" max="5" style="67" width="13.862142857142858" customWidth="1" bestFit="1"/>
    <col min="6" max="6" style="68" width="24.14785714285714" customWidth="1" bestFit="1"/>
    <col min="7" max="7" style="68" width="26.14785714285714" customWidth="1" bestFit="1"/>
    <col min="8" max="8" style="23" width="38.43357142857143" customWidth="1" bestFit="1"/>
    <col min="9" max="9" style="68" width="22.576428571428572" customWidth="1" bestFit="1"/>
    <col min="10" max="10" style="69" width="20.14785714285714" customWidth="1" bestFit="1"/>
    <col min="11" max="11" style="68" width="23.862142857142857" customWidth="1" bestFit="1"/>
    <col min="12" max="12" style="68" width="13.576428571428572" customWidth="1" bestFit="1"/>
    <col min="13" max="13" style="23" width="12.147857142857141" customWidth="1" bestFit="1"/>
    <col min="14" max="14" style="23" width="8.147857142857141" customWidth="1" bestFit="1"/>
    <col min="15" max="15" style="68" width="13.862142857142858" customWidth="1" bestFit="1"/>
    <col min="16" max="16" style="68" width="15.005" customWidth="1" bestFit="1"/>
    <col min="17" max="17" style="68" width="21.005" customWidth="1" bestFit="1"/>
    <col min="18" max="18" style="23" width="45.005" customWidth="1" bestFit="1"/>
    <col min="19" max="19" style="23" width="12.43357142857143" customWidth="1" bestFit="1"/>
    <col min="20" max="20" style="23" width="12.43357142857143" customWidth="1" bestFit="1"/>
    <col min="21" max="21" style="23" width="12.43357142857143" customWidth="1" bestFit="1"/>
    <col min="22" max="22" style="23" width="12.43357142857143" customWidth="1" bestFit="1"/>
    <col min="23" max="23" style="23" width="12.43357142857143" customWidth="1" bestFit="1"/>
  </cols>
  <sheetData>
    <row x14ac:dyDescent="0.25" r="1" customHeight="1" ht="17.25">
      <c r="A1" s="25" t="s">
        <v>15</v>
      </c>
      <c r="B1" s="25" t="s">
        <v>16</v>
      </c>
      <c r="C1" s="4"/>
      <c r="D1" s="4"/>
      <c r="E1" s="26"/>
      <c r="F1" s="27"/>
      <c r="G1" s="27"/>
      <c r="H1" s="4"/>
      <c r="I1" s="27"/>
      <c r="J1" s="28"/>
      <c r="K1" s="27"/>
      <c r="L1" s="27"/>
      <c r="M1" s="4"/>
      <c r="N1" s="4"/>
      <c r="O1" s="27"/>
      <c r="P1" s="27"/>
      <c r="Q1" s="27"/>
      <c r="R1" s="4"/>
      <c r="S1" s="4"/>
      <c r="T1" s="4"/>
      <c r="U1" s="4"/>
      <c r="V1" s="4"/>
      <c r="W1" s="4"/>
    </row>
    <row x14ac:dyDescent="0.25" r="2" customHeight="1" ht="17.25">
      <c r="A2" s="4"/>
      <c r="B2" s="4"/>
      <c r="C2" s="4"/>
      <c r="D2" s="4"/>
      <c r="E2" s="26"/>
      <c r="F2" s="27"/>
      <c r="G2" s="27"/>
      <c r="H2" s="4"/>
      <c r="I2" s="27"/>
      <c r="J2" s="28"/>
      <c r="K2" s="27"/>
      <c r="L2" s="27"/>
      <c r="M2" s="4"/>
      <c r="N2" s="4"/>
      <c r="O2" s="27"/>
      <c r="P2" s="27"/>
      <c r="Q2" s="27"/>
      <c r="R2" s="4"/>
      <c r="S2" s="4"/>
      <c r="T2" s="4"/>
      <c r="U2" s="4"/>
      <c r="V2" s="4"/>
      <c r="W2" s="4"/>
    </row>
    <row x14ac:dyDescent="0.25" r="3" customHeight="1" ht="19.5">
      <c r="A3" s="29" t="s">
        <v>17</v>
      </c>
      <c r="B3" s="29" t="s">
        <v>18</v>
      </c>
      <c r="C3" s="29" t="s">
        <v>0</v>
      </c>
      <c r="D3" s="29" t="s">
        <v>19</v>
      </c>
      <c r="E3" s="30" t="s">
        <v>20</v>
      </c>
      <c r="F3" s="30" t="s">
        <v>21</v>
      </c>
      <c r="G3" s="30" t="s">
        <v>22</v>
      </c>
      <c r="H3" s="29" t="s">
        <v>23</v>
      </c>
      <c r="I3" s="30" t="s">
        <v>24</v>
      </c>
      <c r="J3" s="31" t="s">
        <v>25</v>
      </c>
      <c r="K3" s="30" t="s">
        <v>26</v>
      </c>
      <c r="L3" s="30" t="s">
        <v>27</v>
      </c>
      <c r="M3" s="4"/>
      <c r="N3" s="4"/>
      <c r="O3" s="32" t="s">
        <v>28</v>
      </c>
      <c r="P3" s="32" t="s">
        <v>29</v>
      </c>
      <c r="Q3" s="32" t="s">
        <v>30</v>
      </c>
      <c r="R3" s="29" t="s">
        <v>23</v>
      </c>
      <c r="S3" s="25"/>
      <c r="T3" s="25"/>
      <c r="U3" s="25"/>
      <c r="V3" s="25"/>
      <c r="W3" s="25"/>
    </row>
    <row x14ac:dyDescent="0.25" r="4" customHeight="1" ht="61.5">
      <c r="A4" s="33" t="s">
        <v>31</v>
      </c>
      <c r="B4" s="34" t="s">
        <v>32</v>
      </c>
      <c r="C4" s="34" t="s">
        <v>33</v>
      </c>
      <c r="D4" s="35" t="s">
        <v>34</v>
      </c>
      <c r="E4" s="36" t="s">
        <v>35</v>
      </c>
      <c r="F4" s="37">
        <f>I4-J4*8*K4+L4</f>
      </c>
      <c r="G4" s="37">
        <v>1252.77</v>
      </c>
      <c r="H4" s="38" t="s">
        <v>36</v>
      </c>
      <c r="I4" s="39">
        <v>1500</v>
      </c>
      <c r="J4" s="40">
        <v>1.5</v>
      </c>
      <c r="K4" s="41">
        <v>20.5</v>
      </c>
      <c r="L4" s="41">
        <v>0</v>
      </c>
      <c r="M4" s="4"/>
      <c r="N4" s="4"/>
      <c r="O4" s="42">
        <v>1500</v>
      </c>
      <c r="P4" s="42">
        <v>20.5028</v>
      </c>
      <c r="Q4" s="42">
        <f>P4*1.3</f>
      </c>
      <c r="R4" s="9" t="s">
        <v>37</v>
      </c>
      <c r="S4" s="4"/>
      <c r="T4" s="4"/>
      <c r="U4" s="4"/>
      <c r="V4" s="4"/>
      <c r="W4" s="4"/>
    </row>
    <row x14ac:dyDescent="0.25" r="5" customHeight="1" ht="75.75">
      <c r="A5" s="33" t="s">
        <v>31</v>
      </c>
      <c r="B5" s="34" t="s">
        <v>32</v>
      </c>
      <c r="C5" s="34" t="s">
        <v>33</v>
      </c>
      <c r="D5" s="35" t="s">
        <v>38</v>
      </c>
      <c r="E5" s="36" t="s">
        <v>35</v>
      </c>
      <c r="F5" s="37">
        <f>I5-J5*8*K5+L5</f>
      </c>
      <c r="G5" s="37">
        <f>F5</f>
      </c>
      <c r="H5" s="38" t="s">
        <v>39</v>
      </c>
      <c r="I5" s="39">
        <v>1450.27</v>
      </c>
      <c r="J5" s="40">
        <v>4.5</v>
      </c>
      <c r="K5" s="41">
        <v>18.6</v>
      </c>
      <c r="L5" s="41">
        <v>0</v>
      </c>
      <c r="M5" s="4"/>
      <c r="N5" s="4"/>
      <c r="O5" s="42">
        <v>1200</v>
      </c>
      <c r="P5" s="42">
        <v>15.0752</v>
      </c>
      <c r="Q5" s="42">
        <f>P5*1.3</f>
      </c>
      <c r="R5" s="43" t="s">
        <v>40</v>
      </c>
      <c r="S5" s="44"/>
      <c r="T5" s="4"/>
      <c r="U5" s="4"/>
      <c r="V5" s="4"/>
      <c r="W5" s="4"/>
    </row>
    <row x14ac:dyDescent="0.25" r="6" customHeight="1" ht="75.75">
      <c r="A6" s="33" t="s">
        <v>31</v>
      </c>
      <c r="B6" s="34" t="s">
        <v>41</v>
      </c>
      <c r="C6" s="34" t="s">
        <v>10</v>
      </c>
      <c r="D6" s="35" t="s">
        <v>42</v>
      </c>
      <c r="E6" s="36" t="s">
        <v>35</v>
      </c>
      <c r="F6" s="37">
        <f>I6-J6*8*K6+L6</f>
      </c>
      <c r="G6" s="37">
        <f>F6</f>
      </c>
      <c r="H6" s="38" t="s">
        <v>40</v>
      </c>
      <c r="I6" s="39">
        <v>1200</v>
      </c>
      <c r="J6" s="45">
        <v>3</v>
      </c>
      <c r="K6" s="41">
        <v>15.08</v>
      </c>
      <c r="L6" s="41">
        <v>0</v>
      </c>
      <c r="M6" s="4"/>
      <c r="N6" s="4"/>
      <c r="O6" s="42">
        <v>1450.27</v>
      </c>
      <c r="P6" s="42">
        <v>18.6028</v>
      </c>
      <c r="Q6" s="42">
        <f>P6*1.3</f>
      </c>
      <c r="R6" s="43" t="s">
        <v>43</v>
      </c>
      <c r="S6" s="4"/>
      <c r="T6" s="4"/>
      <c r="U6" s="4"/>
      <c r="V6" s="4"/>
      <c r="W6" s="4"/>
    </row>
    <row x14ac:dyDescent="0.25" r="7" customHeight="1" ht="61.5">
      <c r="A7" s="33" t="s">
        <v>31</v>
      </c>
      <c r="B7" s="34" t="s">
        <v>41</v>
      </c>
      <c r="C7" s="34" t="s">
        <v>10</v>
      </c>
      <c r="D7" s="35" t="s">
        <v>44</v>
      </c>
      <c r="E7" s="36" t="s">
        <v>35</v>
      </c>
      <c r="F7" s="37">
        <f>I7-J7*8*K7+L7</f>
      </c>
      <c r="G7" s="37">
        <f>F7</f>
      </c>
      <c r="H7" s="38" t="s">
        <v>45</v>
      </c>
      <c r="I7" s="39">
        <v>1200</v>
      </c>
      <c r="J7" s="45">
        <v>0</v>
      </c>
      <c r="K7" s="41">
        <v>15.08</v>
      </c>
      <c r="L7" s="41">
        <v>0</v>
      </c>
      <c r="M7" s="44"/>
      <c r="N7" s="4"/>
      <c r="O7" s="42"/>
      <c r="P7" s="42"/>
      <c r="Q7" s="42"/>
      <c r="R7" s="43"/>
      <c r="S7" s="4"/>
      <c r="T7" s="4"/>
      <c r="U7" s="4"/>
      <c r="V7" s="4"/>
      <c r="W7" s="4"/>
    </row>
    <row x14ac:dyDescent="0.25" r="8" customHeight="1" ht="75.75">
      <c r="A8" s="33" t="s">
        <v>31</v>
      </c>
      <c r="B8" s="34" t="s">
        <v>46</v>
      </c>
      <c r="C8" s="34" t="s">
        <v>33</v>
      </c>
      <c r="D8" s="35" t="s">
        <v>47</v>
      </c>
      <c r="E8" s="41" t="s">
        <v>35</v>
      </c>
      <c r="F8" s="37">
        <f>I8-J8*8*K8+L8</f>
      </c>
      <c r="G8" s="37">
        <f>F8</f>
      </c>
      <c r="H8" s="38" t="s">
        <v>43</v>
      </c>
      <c r="I8" s="41">
        <v>1200</v>
      </c>
      <c r="J8" s="40">
        <v>4.5</v>
      </c>
      <c r="K8" s="41">
        <v>15.08</v>
      </c>
      <c r="L8" s="41">
        <v>0</v>
      </c>
      <c r="M8" s="4"/>
      <c r="N8" s="4"/>
      <c r="O8" s="42"/>
      <c r="P8" s="42"/>
      <c r="Q8" s="42"/>
      <c r="R8" s="43"/>
      <c r="S8" s="4"/>
      <c r="T8" s="4"/>
      <c r="U8" s="4"/>
      <c r="V8" s="4"/>
      <c r="W8" s="4"/>
    </row>
    <row x14ac:dyDescent="0.25" r="9" customHeight="1" ht="48">
      <c r="A9" s="33" t="s">
        <v>31</v>
      </c>
      <c r="B9" s="34" t="s">
        <v>48</v>
      </c>
      <c r="C9" s="34" t="s">
        <v>33</v>
      </c>
      <c r="D9" s="35" t="s">
        <v>49</v>
      </c>
      <c r="E9" s="41" t="s">
        <v>35</v>
      </c>
      <c r="F9" s="37">
        <f>I9-J9*8*K9+L9</f>
      </c>
      <c r="G9" s="37">
        <f>F9</f>
      </c>
      <c r="H9" s="38" t="s">
        <v>50</v>
      </c>
      <c r="I9" s="39">
        <v>1450.27</v>
      </c>
      <c r="J9" s="45">
        <v>3</v>
      </c>
      <c r="K9" s="41">
        <v>18.6</v>
      </c>
      <c r="L9" s="41">
        <v>0</v>
      </c>
      <c r="M9" s="4"/>
      <c r="N9" s="4"/>
      <c r="O9" s="42"/>
      <c r="P9" s="42"/>
      <c r="Q9" s="42"/>
      <c r="R9" s="43"/>
      <c r="S9" s="4"/>
      <c r="T9" s="4"/>
      <c r="U9" s="4"/>
      <c r="V9" s="4"/>
      <c r="W9" s="4"/>
    </row>
    <row x14ac:dyDescent="0.25" r="10" customHeight="1" ht="48.75">
      <c r="A10" s="46" t="s">
        <v>31</v>
      </c>
      <c r="B10" s="47" t="s">
        <v>51</v>
      </c>
      <c r="C10" s="47" t="s">
        <v>52</v>
      </c>
      <c r="D10" s="48" t="s">
        <v>53</v>
      </c>
      <c r="E10" s="49" t="s">
        <v>35</v>
      </c>
      <c r="F10" s="50">
        <f>I10-J10*8*K10+L10</f>
      </c>
      <c r="G10" s="50">
        <f>F10</f>
      </c>
      <c r="H10" s="51" t="s">
        <v>50</v>
      </c>
      <c r="I10" s="52">
        <v>1450.27</v>
      </c>
      <c r="J10" s="53">
        <v>3</v>
      </c>
      <c r="K10" s="49">
        <v>18.6</v>
      </c>
      <c r="L10" s="49">
        <v>0</v>
      </c>
      <c r="M10" s="4"/>
      <c r="N10" s="4"/>
      <c r="O10" s="52"/>
      <c r="P10" s="52"/>
      <c r="Q10" s="52"/>
      <c r="R10" s="51"/>
      <c r="S10" s="4"/>
      <c r="T10" s="4"/>
      <c r="U10" s="4"/>
      <c r="V10" s="4"/>
      <c r="W10" s="4"/>
    </row>
    <row x14ac:dyDescent="0.25" r="11" customHeight="1" ht="20.25">
      <c r="A11" s="4"/>
      <c r="B11" s="54"/>
      <c r="C11" s="54"/>
      <c r="D11" s="55"/>
      <c r="E11" s="56"/>
      <c r="F11" s="57"/>
      <c r="G11" s="57"/>
      <c r="H11" s="58"/>
      <c r="I11" s="44"/>
      <c r="J11" s="59"/>
      <c r="K11" s="60"/>
      <c r="L11" s="60"/>
      <c r="M11" s="4"/>
      <c r="N11" s="4"/>
      <c r="O11" s="27"/>
      <c r="P11" s="27"/>
      <c r="Q11" s="27"/>
      <c r="R11" s="4"/>
      <c r="S11" s="4"/>
      <c r="T11" s="4"/>
      <c r="U11" s="4"/>
      <c r="V11" s="4"/>
      <c r="W11" s="4"/>
    </row>
    <row x14ac:dyDescent="0.25" r="12" customHeight="1" ht="20.25">
      <c r="A12" s="4"/>
      <c r="B12" s="54"/>
      <c r="C12" s="54"/>
      <c r="D12" s="55"/>
      <c r="E12" s="56"/>
      <c r="F12" s="57"/>
      <c r="G12" s="57"/>
      <c r="H12" s="58"/>
      <c r="I12" s="44"/>
      <c r="J12" s="59"/>
      <c r="K12" s="60"/>
      <c r="L12" s="60"/>
      <c r="M12" s="4"/>
      <c r="N12" s="4"/>
      <c r="O12" s="27"/>
      <c r="P12" s="27"/>
      <c r="Q12" s="27"/>
      <c r="R12" s="4"/>
      <c r="S12" s="4"/>
      <c r="T12" s="4"/>
      <c r="U12" s="4"/>
      <c r="V12" s="4"/>
      <c r="W12" s="4"/>
    </row>
    <row x14ac:dyDescent="0.25" r="13" customHeight="1" ht="20.25">
      <c r="A13" s="4"/>
      <c r="B13" s="54"/>
      <c r="C13" s="54"/>
      <c r="D13" s="55"/>
      <c r="E13" s="56"/>
      <c r="F13" s="57"/>
      <c r="G13" s="57"/>
      <c r="H13" s="58"/>
      <c r="I13" s="44"/>
      <c r="J13" s="59"/>
      <c r="K13" s="60"/>
      <c r="L13" s="60"/>
      <c r="M13" s="4"/>
      <c r="N13" s="4"/>
      <c r="O13" s="27"/>
      <c r="P13" s="27"/>
      <c r="Q13" s="27"/>
      <c r="R13" s="4"/>
      <c r="S13" s="4"/>
      <c r="T13" s="4"/>
      <c r="U13" s="4"/>
      <c r="V13" s="4"/>
      <c r="W13" s="4"/>
    </row>
    <row x14ac:dyDescent="0.25" r="14" customHeight="1" ht="20.25">
      <c r="A14" s="4"/>
      <c r="B14" s="54"/>
      <c r="C14" s="54"/>
      <c r="D14" s="55"/>
      <c r="E14" s="56"/>
      <c r="F14" s="57"/>
      <c r="G14" s="57"/>
      <c r="H14" s="58"/>
      <c r="I14" s="44"/>
      <c r="J14" s="59"/>
      <c r="K14" s="60"/>
      <c r="L14" s="60"/>
      <c r="M14" s="4"/>
      <c r="N14" s="4"/>
      <c r="O14" s="27"/>
      <c r="P14" s="27"/>
      <c r="Q14" s="27"/>
      <c r="R14" s="4"/>
      <c r="S14" s="4"/>
      <c r="T14" s="4"/>
      <c r="U14" s="4"/>
      <c r="V14" s="4"/>
      <c r="W14" s="4"/>
    </row>
    <row x14ac:dyDescent="0.25" r="15" customHeight="1" ht="20.25">
      <c r="A15" s="4"/>
      <c r="B15" s="54"/>
      <c r="C15" s="54"/>
      <c r="D15" s="55"/>
      <c r="E15" s="56"/>
      <c r="F15" s="57"/>
      <c r="G15" s="56"/>
      <c r="H15" s="4"/>
      <c r="I15" s="44"/>
      <c r="J15" s="59"/>
      <c r="K15" s="60"/>
      <c r="L15" s="60"/>
      <c r="M15" s="4"/>
      <c r="N15" s="4"/>
      <c r="O15" s="27"/>
      <c r="P15" s="27"/>
      <c r="Q15" s="27"/>
      <c r="R15" s="4"/>
      <c r="S15" s="4"/>
      <c r="T15" s="4"/>
      <c r="U15" s="4"/>
      <c r="V15" s="4"/>
      <c r="W15" s="4"/>
    </row>
    <row x14ac:dyDescent="0.25" r="16" customHeight="1" ht="20.25">
      <c r="A16" s="4"/>
      <c r="B16" s="54"/>
      <c r="C16" s="54"/>
      <c r="D16" s="55"/>
      <c r="E16" s="56"/>
      <c r="F16" s="57"/>
      <c r="G16" s="56"/>
      <c r="H16" s="4"/>
      <c r="I16" s="44"/>
      <c r="J16" s="59"/>
      <c r="K16" s="60"/>
      <c r="L16" s="60"/>
      <c r="M16" s="4"/>
      <c r="N16" s="4"/>
      <c r="O16" s="27"/>
      <c r="P16" s="27"/>
      <c r="Q16" s="27"/>
      <c r="R16" s="4"/>
      <c r="S16" s="4"/>
      <c r="T16" s="4"/>
      <c r="U16" s="4"/>
      <c r="V16" s="4"/>
      <c r="W16" s="4"/>
    </row>
    <row x14ac:dyDescent="0.25" r="17" customHeight="1" ht="20.25">
      <c r="A17" s="4"/>
      <c r="B17" s="54"/>
      <c r="C17" s="54"/>
      <c r="D17" s="55"/>
      <c r="E17" s="56"/>
      <c r="F17" s="57"/>
      <c r="G17" s="56"/>
      <c r="H17" s="4"/>
      <c r="I17" s="44"/>
      <c r="J17" s="59"/>
      <c r="K17" s="60"/>
      <c r="L17" s="60"/>
      <c r="M17" s="4"/>
      <c r="N17" s="4"/>
      <c r="O17" s="27"/>
      <c r="P17" s="27"/>
      <c r="Q17" s="27"/>
      <c r="R17" s="4"/>
      <c r="S17" s="4"/>
      <c r="T17" s="4"/>
      <c r="U17" s="4"/>
      <c r="V17" s="4"/>
      <c r="W17" s="4"/>
    </row>
    <row x14ac:dyDescent="0.25" r="18" customHeight="1" ht="20.25">
      <c r="A18" s="4"/>
      <c r="B18" s="54"/>
      <c r="C18" s="54"/>
      <c r="D18" s="55"/>
      <c r="E18" s="56"/>
      <c r="F18" s="57"/>
      <c r="G18" s="56"/>
      <c r="H18" s="4"/>
      <c r="I18" s="44"/>
      <c r="J18" s="59"/>
      <c r="K18" s="60"/>
      <c r="L18" s="60"/>
      <c r="M18" s="4"/>
      <c r="N18" s="4"/>
      <c r="O18" s="27"/>
      <c r="P18" s="27"/>
      <c r="Q18" s="27"/>
      <c r="R18" s="4"/>
      <c r="S18" s="4"/>
      <c r="T18" s="4"/>
      <c r="U18" s="4"/>
      <c r="V18" s="4"/>
      <c r="W18" s="4"/>
    </row>
    <row x14ac:dyDescent="0.25" r="19" customHeight="1" ht="30">
      <c r="A19" s="4"/>
      <c r="B19" s="61"/>
      <c r="C19" s="54"/>
      <c r="D19" s="62" t="s">
        <v>54</v>
      </c>
      <c r="E19" s="63"/>
      <c r="F19" s="64">
        <f>SUM(F4:F17)</f>
      </c>
      <c r="G19" s="64">
        <f>SUM(G4:G17)</f>
      </c>
      <c r="H19" s="4"/>
      <c r="I19" s="64">
        <f>SUM(I4:I17)</f>
      </c>
      <c r="J19" s="65">
        <f>SUM(J10:J17)</f>
      </c>
      <c r="K19" s="60"/>
      <c r="L19" s="60"/>
      <c r="M19" s="4"/>
      <c r="N19" s="4"/>
      <c r="O19" s="27"/>
      <c r="P19" s="27"/>
      <c r="Q19" s="27"/>
      <c r="R19" s="4"/>
      <c r="S19" s="4"/>
      <c r="T19" s="4"/>
      <c r="U19" s="4"/>
      <c r="V19" s="4"/>
      <c r="W19" s="4"/>
    </row>
    <row x14ac:dyDescent="0.25" r="20" customHeight="1" ht="20.25">
      <c r="A20" s="4"/>
      <c r="B20" s="4"/>
      <c r="C20" s="54"/>
      <c r="D20" s="4"/>
      <c r="E20" s="26"/>
      <c r="F20" s="44"/>
      <c r="G20" s="44"/>
      <c r="H20" s="4"/>
      <c r="I20" s="44"/>
      <c r="J20" s="28"/>
      <c r="K20" s="27"/>
      <c r="L20" s="27"/>
      <c r="M20" s="4"/>
      <c r="N20" s="4"/>
      <c r="O20" s="27"/>
      <c r="P20" s="27"/>
      <c r="Q20" s="27"/>
      <c r="R20" s="4"/>
      <c r="S20" s="4"/>
      <c r="T20" s="4"/>
      <c r="U20" s="4"/>
      <c r="V20" s="4"/>
      <c r="W20" s="4"/>
    </row>
    <row x14ac:dyDescent="0.25" r="21" customHeight="1" ht="20.25">
      <c r="A21" s="4"/>
      <c r="B21" s="4"/>
      <c r="C21" s="4"/>
      <c r="D21" s="66" t="s">
        <v>55</v>
      </c>
      <c r="E21" s="26"/>
      <c r="F21" s="27"/>
      <c r="G21" s="27"/>
      <c r="H21" s="4"/>
      <c r="I21" s="44"/>
      <c r="J21" s="28"/>
      <c r="K21" s="27"/>
      <c r="L21" s="27"/>
      <c r="M21" s="4"/>
      <c r="N21" s="4"/>
      <c r="O21" s="27"/>
      <c r="P21" s="27"/>
      <c r="Q21" s="27"/>
      <c r="R21" s="4"/>
      <c r="S21" s="4"/>
      <c r="T21" s="4"/>
      <c r="U21" s="4"/>
      <c r="V21" s="4"/>
      <c r="W21" s="4"/>
    </row>
    <row x14ac:dyDescent="0.25" r="22" customHeight="1" ht="17.25">
      <c r="A22" s="4"/>
      <c r="B22" s="4"/>
      <c r="C22" s="4"/>
      <c r="D22" s="4" t="s">
        <v>56</v>
      </c>
      <c r="E22" s="44">
        <v>4637.27</v>
      </c>
      <c r="F22" s="27"/>
      <c r="G22" s="27"/>
      <c r="H22" s="4"/>
      <c r="I22" s="27"/>
      <c r="J22" s="28"/>
      <c r="K22" s="27"/>
      <c r="L22" s="27"/>
      <c r="M22" s="4"/>
      <c r="N22" s="4"/>
      <c r="O22" s="27"/>
      <c r="P22" s="27"/>
      <c r="Q22" s="27"/>
      <c r="R22" s="4"/>
      <c r="S22" s="4"/>
      <c r="T22" s="4"/>
      <c r="U22" s="4"/>
      <c r="V22" s="4"/>
      <c r="W22" s="4"/>
    </row>
    <row x14ac:dyDescent="0.25" r="23" customHeight="1" ht="17.25">
      <c r="A23" s="4"/>
      <c r="B23" s="4"/>
      <c r="C23" s="4"/>
      <c r="D23" s="4" t="s">
        <v>57</v>
      </c>
      <c r="E23" s="44">
        <v>3876.64</v>
      </c>
      <c r="F23" s="27"/>
      <c r="G23" s="27"/>
      <c r="H23" s="4"/>
      <c r="I23" s="27"/>
      <c r="J23" s="28"/>
      <c r="K23" s="27"/>
      <c r="L23" s="27"/>
      <c r="M23" s="4"/>
      <c r="N23" s="4"/>
      <c r="O23" s="27"/>
      <c r="P23" s="27"/>
      <c r="Q23" s="27"/>
      <c r="R23" s="4"/>
      <c r="S23" s="4"/>
      <c r="T23" s="4"/>
      <c r="U23" s="4"/>
      <c r="V23" s="4"/>
      <c r="W23" s="4"/>
    </row>
    <row x14ac:dyDescent="0.25" r="24" customHeight="1" ht="17.25">
      <c r="A24" s="4"/>
      <c r="B24" s="4"/>
      <c r="C24" s="4"/>
      <c r="D24" s="4" t="s">
        <v>58</v>
      </c>
      <c r="E24" s="44">
        <v>3876.64</v>
      </c>
      <c r="F24" s="27"/>
      <c r="G24" s="27"/>
      <c r="H24" s="4"/>
      <c r="I24" s="27"/>
      <c r="J24" s="28"/>
      <c r="K24" s="27"/>
      <c r="L24" s="27"/>
      <c r="M24" s="4"/>
      <c r="N24" s="4"/>
      <c r="O24" s="27"/>
      <c r="P24" s="27"/>
      <c r="Q24" s="27"/>
      <c r="R24" s="4"/>
      <c r="S24" s="4"/>
      <c r="T24" s="4"/>
      <c r="U24" s="4"/>
      <c r="V24" s="4"/>
      <c r="W24" s="4"/>
    </row>
    <row x14ac:dyDescent="0.25" r="25" customHeight="1" ht="17.25">
      <c r="A25" s="4"/>
      <c r="B25" s="4"/>
      <c r="C25" s="4"/>
      <c r="D25" s="4" t="s">
        <v>59</v>
      </c>
      <c r="E25" s="44">
        <v>4637.27</v>
      </c>
      <c r="F25" s="27"/>
      <c r="G25" s="27"/>
      <c r="H25" s="4"/>
      <c r="I25" s="27"/>
      <c r="J25" s="28"/>
      <c r="K25" s="27"/>
      <c r="L25" s="27"/>
      <c r="M25" s="4"/>
      <c r="N25" s="4"/>
      <c r="O25" s="27"/>
      <c r="P25" s="27"/>
      <c r="Q25" s="27"/>
      <c r="R25" s="4"/>
      <c r="S25" s="4"/>
      <c r="T25" s="4"/>
      <c r="U25" s="4"/>
      <c r="V25" s="4"/>
      <c r="W25" s="4"/>
    </row>
    <row x14ac:dyDescent="0.25" r="26" customHeight="1" ht="17.25">
      <c r="A26" s="4"/>
      <c r="B26" s="4"/>
      <c r="C26" s="4"/>
      <c r="D26" s="4" t="s">
        <v>60</v>
      </c>
      <c r="E26" s="44">
        <v>5497.63</v>
      </c>
      <c r="F26" s="27" t="s">
        <v>61</v>
      </c>
      <c r="G26" s="27"/>
      <c r="H26" s="4"/>
      <c r="I26" s="27"/>
      <c r="J26" s="28"/>
      <c r="K26" s="27"/>
      <c r="L26" s="27"/>
      <c r="M26" s="4"/>
      <c r="N26" s="4"/>
      <c r="O26" s="27"/>
      <c r="P26" s="27"/>
      <c r="Q26" s="27"/>
      <c r="R26" s="4"/>
      <c r="S26" s="4"/>
      <c r="T26" s="4"/>
      <c r="U26" s="4"/>
      <c r="V26" s="4"/>
      <c r="W26" s="4"/>
    </row>
    <row x14ac:dyDescent="0.25" r="27" customHeight="1" ht="17.25">
      <c r="A27" s="4"/>
      <c r="B27" s="4"/>
      <c r="C27" s="4"/>
      <c r="D27" s="4"/>
      <c r="E27" s="44">
        <f>SUM(E22:E26)</f>
      </c>
      <c r="F27" s="27"/>
      <c r="G27" s="27"/>
      <c r="H27" s="4"/>
      <c r="I27" s="27"/>
      <c r="J27" s="28"/>
      <c r="K27" s="27"/>
      <c r="L27" s="27"/>
      <c r="M27" s="4"/>
      <c r="N27" s="4"/>
      <c r="O27" s="27"/>
      <c r="P27" s="27"/>
      <c r="Q27" s="27"/>
      <c r="R27" s="4"/>
      <c r="S27" s="4"/>
      <c r="T27" s="4"/>
      <c r="U27" s="4"/>
      <c r="V27" s="4"/>
      <c r="W2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2"/>
  <sheetViews>
    <sheetView workbookViewId="0"/>
  </sheetViews>
  <sheetFormatPr defaultRowHeight="15" x14ac:dyDescent="0.25"/>
  <cols>
    <col min="1" max="1" style="23" width="34.14785714285715" customWidth="1" bestFit="1"/>
    <col min="2" max="2" style="24" width="16.576428571428572" customWidth="1" bestFit="1"/>
    <col min="3" max="3" style="24" width="16.576428571428572" customWidth="1" bestFit="1"/>
    <col min="4" max="4" style="24" width="16.576428571428572" customWidth="1" bestFit="1"/>
    <col min="5" max="5" style="23" width="16.576428571428572" customWidth="1" bestFit="1"/>
    <col min="6" max="6" style="23" width="47.14785714285715" customWidth="1" bestFit="1"/>
    <col min="7" max="7" style="23" width="14.576428571428572" customWidth="1" bestFit="1"/>
  </cols>
  <sheetData>
    <row x14ac:dyDescent="0.25" r="1" customHeight="1" ht="17.25">
      <c r="A1" s="1" t="s">
        <v>0</v>
      </c>
      <c r="B1" s="2"/>
      <c r="C1" s="3"/>
      <c r="D1" s="3"/>
      <c r="E1" s="3"/>
      <c r="F1" s="4"/>
      <c r="G1" s="4"/>
    </row>
    <row x14ac:dyDescent="0.25" r="2" customHeight="1" ht="17.25">
      <c r="A2" s="5" t="s">
        <v>1</v>
      </c>
      <c r="B2" s="5" t="s">
        <v>2</v>
      </c>
      <c r="C2" s="6" t="s">
        <v>3</v>
      </c>
      <c r="D2" s="6" t="s">
        <v>4</v>
      </c>
      <c r="E2" s="3"/>
      <c r="F2" s="5" t="s">
        <v>1</v>
      </c>
      <c r="G2" s="6" t="s">
        <v>5</v>
      </c>
    </row>
    <row x14ac:dyDescent="0.25" r="3" customHeight="1" ht="17.25">
      <c r="A3" s="7" t="s">
        <v>6</v>
      </c>
      <c r="B3" s="8" t="s">
        <v>7</v>
      </c>
      <c r="C3" s="9" t="s">
        <v>8</v>
      </c>
      <c r="D3" s="9" t="s">
        <v>9</v>
      </c>
      <c r="E3" s="3"/>
      <c r="F3" s="9" t="s">
        <v>6</v>
      </c>
      <c r="G3" s="10" t="s">
        <v>10</v>
      </c>
    </row>
    <row x14ac:dyDescent="0.25" r="4" customHeight="1" ht="17.25">
      <c r="A4" s="11" t="s">
        <v>11</v>
      </c>
      <c r="B4" s="12" t="s">
        <v>7</v>
      </c>
      <c r="C4" s="9" t="s">
        <v>8</v>
      </c>
      <c r="D4" s="9" t="s">
        <v>12</v>
      </c>
      <c r="E4" s="3"/>
      <c r="F4" s="9"/>
      <c r="G4" s="10"/>
    </row>
    <row x14ac:dyDescent="0.25" r="5" customHeight="1" ht="17.25">
      <c r="A5" s="13" t="s">
        <v>13</v>
      </c>
      <c r="B5" s="8" t="s">
        <v>7</v>
      </c>
      <c r="C5" s="9" t="s">
        <v>8</v>
      </c>
      <c r="D5" s="5" t="s">
        <v>14</v>
      </c>
      <c r="E5" s="3"/>
      <c r="F5" s="9"/>
      <c r="G5" s="10"/>
    </row>
    <row x14ac:dyDescent="0.25" r="6" customHeight="1" ht="17.25">
      <c r="A6" s="13"/>
      <c r="B6" s="8"/>
      <c r="C6" s="9"/>
      <c r="D6" s="9"/>
      <c r="E6" s="3"/>
      <c r="F6" s="9"/>
      <c r="G6" s="10"/>
    </row>
    <row x14ac:dyDescent="0.25" r="7" customHeight="1" ht="17.25">
      <c r="A7" s="13"/>
      <c r="B7" s="8"/>
      <c r="C7" s="9"/>
      <c r="D7" s="9"/>
      <c r="E7" s="3"/>
      <c r="F7" s="9"/>
      <c r="G7" s="10"/>
    </row>
    <row x14ac:dyDescent="0.25" r="8" customHeight="1" ht="17.25">
      <c r="A8" s="13"/>
      <c r="B8" s="14"/>
      <c r="C8" s="15"/>
      <c r="D8" s="15"/>
      <c r="E8" s="3"/>
      <c r="F8" s="9"/>
      <c r="G8" s="10"/>
    </row>
    <row x14ac:dyDescent="0.25" r="9" customHeight="1" ht="17.25">
      <c r="A9" s="13"/>
      <c r="B9" s="8"/>
      <c r="C9" s="9"/>
      <c r="D9" s="15"/>
      <c r="E9" s="3"/>
      <c r="F9" s="9"/>
      <c r="G9" s="10"/>
    </row>
    <row x14ac:dyDescent="0.25" r="10" customHeight="1" ht="17.25">
      <c r="A10" s="13"/>
      <c r="B10" s="8"/>
      <c r="C10" s="9"/>
      <c r="D10" s="9"/>
      <c r="E10" s="3"/>
      <c r="F10" s="9"/>
      <c r="G10" s="10"/>
    </row>
    <row x14ac:dyDescent="0.25" r="11" customHeight="1" ht="17.25">
      <c r="A11" s="13"/>
      <c r="B11" s="8"/>
      <c r="C11" s="9"/>
      <c r="D11" s="16"/>
      <c r="E11" s="3"/>
      <c r="F11" s="17"/>
      <c r="G11" s="10"/>
    </row>
    <row x14ac:dyDescent="0.25" r="12" customHeight="1" ht="17.25">
      <c r="A12" s="18"/>
      <c r="B12" s="12"/>
      <c r="C12" s="9"/>
      <c r="D12" s="9"/>
      <c r="E12" s="3"/>
      <c r="F12" s="9"/>
      <c r="G12" s="10"/>
    </row>
    <row x14ac:dyDescent="0.25" r="13" customHeight="1" ht="17.25">
      <c r="A13" s="13"/>
      <c r="B13" s="19"/>
      <c r="C13" s="9"/>
      <c r="D13" s="9"/>
      <c r="E13" s="3"/>
      <c r="F13" s="9"/>
      <c r="G13" s="10"/>
    </row>
    <row x14ac:dyDescent="0.25" r="14" customHeight="1" ht="17.25">
      <c r="A14" s="13"/>
      <c r="B14" s="8"/>
      <c r="C14" s="9"/>
      <c r="D14" s="16"/>
      <c r="E14" s="3"/>
      <c r="F14" s="9"/>
      <c r="G14" s="10"/>
    </row>
    <row x14ac:dyDescent="0.25" r="15" customHeight="1" ht="17.25">
      <c r="A15" s="13"/>
      <c r="B15" s="8"/>
      <c r="C15" s="9"/>
      <c r="D15" s="9"/>
      <c r="E15" s="3"/>
      <c r="F15" s="20"/>
      <c r="G15" s="10"/>
    </row>
    <row x14ac:dyDescent="0.25" r="16" customHeight="1" ht="17.25">
      <c r="A16" s="18"/>
      <c r="B16" s="8"/>
      <c r="C16" s="9"/>
      <c r="D16" s="9"/>
      <c r="E16" s="3"/>
      <c r="F16" s="9"/>
      <c r="G16" s="10"/>
    </row>
    <row x14ac:dyDescent="0.25" r="17" customHeight="1" ht="17.25">
      <c r="A17" s="13"/>
      <c r="B17" s="8"/>
      <c r="C17" s="16"/>
      <c r="D17" s="9"/>
      <c r="E17" s="3"/>
      <c r="F17" s="9"/>
      <c r="G17" s="10"/>
    </row>
    <row x14ac:dyDescent="0.25" r="18" customHeight="1" ht="17.25">
      <c r="A18" s="13"/>
      <c r="B18" s="8"/>
      <c r="C18" s="9"/>
      <c r="D18" s="16"/>
      <c r="E18" s="3"/>
      <c r="F18" s="9"/>
      <c r="G18" s="10"/>
    </row>
    <row x14ac:dyDescent="0.25" r="19" customHeight="1" ht="17.25">
      <c r="A19" s="13"/>
      <c r="B19" s="8"/>
      <c r="C19" s="9"/>
      <c r="D19" s="16"/>
      <c r="E19" s="3"/>
      <c r="F19" s="9"/>
      <c r="G19" s="10"/>
    </row>
    <row x14ac:dyDescent="0.25" r="20" customHeight="1" ht="17.25">
      <c r="A20" s="13"/>
      <c r="B20" s="8"/>
      <c r="C20" s="9"/>
      <c r="D20" s="9"/>
      <c r="E20" s="3"/>
      <c r="F20" s="20"/>
      <c r="G20" s="10"/>
    </row>
    <row x14ac:dyDescent="0.25" r="21" customHeight="1" ht="17.25">
      <c r="A21" s="18"/>
      <c r="B21" s="8"/>
      <c r="C21" s="9"/>
      <c r="D21" s="9"/>
      <c r="E21" s="3"/>
      <c r="F21" s="9"/>
      <c r="G21" s="21"/>
    </row>
    <row x14ac:dyDescent="0.25" r="22" customHeight="1" ht="17.25">
      <c r="A22" s="13"/>
      <c r="B22" s="8"/>
      <c r="C22" s="9"/>
      <c r="D22" s="16"/>
      <c r="E22" s="3"/>
      <c r="F22" s="20"/>
      <c r="G22" s="20"/>
    </row>
    <row x14ac:dyDescent="0.25" r="23" customHeight="1" ht="17.25">
      <c r="A23" s="13"/>
      <c r="B23" s="22"/>
      <c r="C23" s="22"/>
      <c r="D23" s="9"/>
      <c r="E23" s="3"/>
      <c r="F23" s="9"/>
      <c r="G23" s="9"/>
    </row>
    <row x14ac:dyDescent="0.25" r="24" customHeight="1" ht="17.25">
      <c r="A24" s="13"/>
      <c r="B24" s="15"/>
      <c r="C24" s="22"/>
      <c r="D24" s="5"/>
      <c r="E24" s="4"/>
      <c r="F24" s="9"/>
      <c r="G24" s="9"/>
    </row>
    <row x14ac:dyDescent="0.25" r="25" customHeight="1" ht="17.25">
      <c r="A25" s="20"/>
      <c r="B25" s="5"/>
      <c r="C25" s="5"/>
      <c r="D25" s="5"/>
      <c r="E25" s="4"/>
      <c r="F25" s="9"/>
      <c r="G25" s="9"/>
    </row>
    <row x14ac:dyDescent="0.25" r="26" customHeight="1" ht="17.25">
      <c r="A26" s="9"/>
      <c r="B26" s="5"/>
      <c r="C26" s="5"/>
      <c r="D26" s="5"/>
      <c r="E26" s="4"/>
      <c r="F26" s="9"/>
      <c r="G26" s="9"/>
    </row>
    <row x14ac:dyDescent="0.25" r="27" customHeight="1" ht="17.25">
      <c r="A27" s="9"/>
      <c r="B27" s="5"/>
      <c r="C27" s="5"/>
      <c r="D27" s="5"/>
      <c r="E27" s="4"/>
      <c r="F27" s="9"/>
      <c r="G27" s="9"/>
    </row>
    <row x14ac:dyDescent="0.25" r="28" customHeight="1" ht="17.25">
      <c r="A28" s="9"/>
      <c r="B28" s="5"/>
      <c r="C28" s="5"/>
      <c r="D28" s="5"/>
      <c r="E28" s="4"/>
      <c r="F28" s="9"/>
      <c r="G28" s="9"/>
    </row>
    <row x14ac:dyDescent="0.25" r="29" customHeight="1" ht="17.25">
      <c r="A29" s="9"/>
      <c r="B29" s="5"/>
      <c r="C29" s="5"/>
      <c r="D29" s="5"/>
      <c r="E29" s="4"/>
      <c r="F29" s="9"/>
      <c r="G29" s="9"/>
    </row>
    <row x14ac:dyDescent="0.25" r="30" customHeight="1" ht="17.25">
      <c r="A30" s="9"/>
      <c r="B30" s="5"/>
      <c r="C30" s="5"/>
      <c r="D30" s="5"/>
      <c r="E30" s="4"/>
      <c r="F30" s="4"/>
      <c r="G30" s="4"/>
    </row>
    <row x14ac:dyDescent="0.25" r="31" customHeight="1" ht="17.25">
      <c r="A31" s="9"/>
      <c r="B31" s="5"/>
      <c r="C31" s="5"/>
      <c r="D31" s="5"/>
      <c r="E31" s="4"/>
      <c r="F31" s="4"/>
      <c r="G31" s="4"/>
    </row>
    <row x14ac:dyDescent="0.25" r="32" customHeight="1" ht="17.25">
      <c r="A32" s="9"/>
      <c r="B32" s="5"/>
      <c r="C32" s="5"/>
      <c r="D32" s="5"/>
      <c r="E32" s="4"/>
      <c r="F32" s="4"/>
      <c r="G32" s="4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DICIEMBRE</vt:lpstr>
      <vt:lpstr>NOVIEMBRE</vt:lpstr>
      <vt:lpstr>OCTUBRE</vt:lpstr>
      <vt:lpstr>SEPTIEMBRE</vt:lpstr>
      <vt:lpstr>AGOSTO</vt:lpstr>
      <vt:lpstr>JUNIO</vt:lpstr>
      <vt:lpstr>JULIO</vt:lpstr>
      <vt:lpstr>MAYO</vt:lpstr>
      <vt:lpstr>ABRIL</vt:lpstr>
      <vt:lpstr>MARZO</vt:lpstr>
      <vt:lpstr>FEBRERO ENV</vt:lpstr>
      <vt:lpstr>ABRIL 2026</vt:lpstr>
      <vt:lpstr>ORDENES DE COMPRA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2026-06-19T20:16:45.572Z</dcterms:created>
  <dcterms:modified xsi:type="dcterms:W3CDTF">2026-06-19T20:16:45.572Z</dcterms:modified>
</cp:coreProperties>
</file>