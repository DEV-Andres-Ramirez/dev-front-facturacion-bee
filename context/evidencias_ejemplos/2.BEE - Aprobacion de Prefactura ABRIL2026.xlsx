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Bee\ProcesoFacturacion\Ejemplo\"/>
    </mc:Choice>
  </mc:AlternateContent>
  <xr:revisionPtr revIDLastSave="0" documentId="13_ncr:1_{1BFFC256-92AC-466A-9631-9B9EAD0AF5E6}" xr6:coauthVersionLast="47" xr6:coauthVersionMax="47" xr10:uidLastSave="{00000000-0000-0000-0000-000000000000}"/>
  <bookViews>
    <workbookView xWindow="-120" yWindow="-120" windowWidth="20730" windowHeight="11040" xr2:uid="{6056E5F2-0B43-4CAD-A31F-5D732EB1BB39}"/>
  </bookViews>
  <sheets>
    <sheet name="Detalle" sheetId="1" r:id="rId1"/>
  </sheets>
  <definedNames>
    <definedName name="query___2026_05_05T155956.274" localSheetId="0" hidden="1">Detalle!$A$1:$X$7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9" i="1" s="1"/>
  <c r="N4" i="1"/>
  <c r="N5" i="1"/>
  <c r="N6" i="1"/>
  <c r="N7" i="1"/>
  <c r="N2" i="1"/>
  <c r="M3" i="1"/>
  <c r="M4" i="1"/>
  <c r="M5" i="1"/>
  <c r="M6" i="1"/>
  <c r="M7" i="1"/>
  <c r="M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B35030-317D-4E88-9C03-A21122561A8A}" odcFile="C:\Users\gflores\Downloads\query - 2026-05-05T155956.274.iqy" keepAlive="1" name="query - 2026-05-05T155956.274" type="5" refreshedVersion="8" minRefreshableVersion="3" saveData="1">
    <dbPr connection="Provider=Microsoft.Office.List.OLEDB.2.0;Data Source=&quot;&quot;;ApplicationName=Excel;Version=12.0.0.0" command="&lt;LIST&gt;&lt;VIEWGUID&gt;D9956583-FA8B-419A-AF7F-CCA651887790&lt;/VIEWGUID&gt;&lt;LISTNAME&gt;e3fcd00b-b6f7-4a83-a6ac-1b6a8db0bf51&lt;/LISTNAME&gt;&lt;LISTWEB&gt;https://bancolombia.sharepoint.com/teams/AIETI-TEAM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<sst xmlns="http://schemas.openxmlformats.org/spreadsheetml/2006/main" count="119" uniqueCount="62">
  <si>
    <t>Número de Contrato</t>
  </si>
  <si>
    <t>Etiqueta Aliado Estrategico</t>
  </si>
  <si>
    <t>Año</t>
  </si>
  <si>
    <t>Mes de facturación</t>
  </si>
  <si>
    <t>Nombre del colaborador</t>
  </si>
  <si>
    <t>Rol Mop</t>
  </si>
  <si>
    <t>Tipo de Compra</t>
  </si>
  <si>
    <t>Entrega de Valor</t>
  </si>
  <si>
    <t>Tarifa</t>
  </si>
  <si>
    <t>Desglose de Novedad</t>
  </si>
  <si>
    <t>Hora Novedad</t>
  </si>
  <si>
    <t>Tarifa Hora</t>
  </si>
  <si>
    <t>Monto de la Novedad</t>
  </si>
  <si>
    <t>Monto A Facturar</t>
  </si>
  <si>
    <t>Comentarios proveedor</t>
  </si>
  <si>
    <t>ComentariosCapacidad</t>
  </si>
  <si>
    <t>ID Proyecto</t>
  </si>
  <si>
    <t>Nombre Proyecto</t>
  </si>
  <si>
    <t>Quien lo Paga</t>
  </si>
  <si>
    <t>Radicar factura a</t>
  </si>
  <si>
    <t>LiderAprobador</t>
  </si>
  <si>
    <t>Indicar % trabajo compartido</t>
  </si>
  <si>
    <t>Aprobado</t>
  </si>
  <si>
    <t>Comentarios Líder</t>
  </si>
  <si>
    <t>BI-VSC-15479-2022-001</t>
  </si>
  <si>
    <t>BEE CONSULTORIA Y NEGOCIOS SAS</t>
  </si>
  <si>
    <t>ABRIL</t>
  </si>
  <si>
    <t>Ingeniero de Software (COBIS)</t>
  </si>
  <si>
    <t>Capex</t>
  </si>
  <si>
    <t>796007 EVC-717008-EV1-2026 Interoperabilidad Yappy</t>
  </si>
  <si>
    <t>Nuevo Ingreso</t>
  </si>
  <si>
    <t>Servicios del 13 al 30 de Abril 2026
Ingresó al banco Abril 13 de 2026</t>
  </si>
  <si>
    <t>EVC-717008</t>
  </si>
  <si>
    <t>ED Pagos y Flujos (InterOperabilidad)</t>
  </si>
  <si>
    <t>PMO</t>
  </si>
  <si>
    <t>Aprobado automáticamente: De acuerdo.  Capacidad dedicada 100% a la EVC de Pagos &amp; Flujos</t>
  </si>
  <si>
    <t>Desarrollador JavaScript (Front - Back)</t>
  </si>
  <si>
    <t>EVC-717008-EV1-2026 Interoperabilidad Yappy - Onboarding entrega 1</t>
  </si>
  <si>
    <t>Servicios del 9 al 30 de Abril 2026
Ingresó al banco Abril 9 de 2026</t>
  </si>
  <si>
    <t>EVC003</t>
  </si>
  <si>
    <t>EVC Canales Digitales BLP &amp; APP Personas (Yappy)</t>
  </si>
  <si>
    <t>Aprobado automáticamente: Proceder</t>
  </si>
  <si>
    <t>Tester Automatizador</t>
  </si>
  <si>
    <t>EVC004-EV-1-2026-Mostrar detalle de saldos retenidos en BLE</t>
  </si>
  <si>
    <t>Servicios del 1 al 30 de Abril 2026</t>
  </si>
  <si>
    <t>50% del mes en EVC Canales Digitales BLE &amp; APP Empresas.</t>
  </si>
  <si>
    <t>EVC004</t>
  </si>
  <si>
    <t>EVC Canales Digitales BLE &amp; APP Empresas</t>
  </si>
  <si>
    <t>Desarrollador Java (Front - Back)</t>
  </si>
  <si>
    <t>Servicios del 6 al 30 de Abril 2026
Vacaciones Marzo 30 -31, Abril 1 de 2026</t>
  </si>
  <si>
    <t>EVC-683892</t>
  </si>
  <si>
    <t>EVC Ciclo de Crédito</t>
  </si>
  <si>
    <t>Aprobado automáticamente: Se aprueba pre factura de Aneyda Raquel Diaz Vargas con rol Desarrollador Java (Front - Back) en la EVC Ciclo de Crédito, correspondiente al mes de abril de 2026. Monto: B/.3,974.87</t>
  </si>
  <si>
    <t>Pedro Perez</t>
  </si>
  <si>
    <t>Sara Castro</t>
  </si>
  <si>
    <t>Pablo Franco</t>
  </si>
  <si>
    <t>Nicolas Gutierrez Arcila</t>
  </si>
  <si>
    <t>Alejandra Muñoz</t>
  </si>
  <si>
    <t>Fernando Hurtado</t>
  </si>
  <si>
    <t>Carmen luisa Jimenez</t>
  </si>
  <si>
    <t>Sergio Fernandez</t>
  </si>
  <si>
    <t>Juan Hidalgo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</si>
</sst>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[$B/.-180A]* #,##0.00_-;\-[$B/.-180A]* #,##0.00_-;_-[$B/.-180A]* &quot;-&quot;??_-;_-@_-"/>
    <numFmt numFmtId="165" formatCode="_-[$B/.-180A]* #,##0.0000_-;\-[$B/.-180A]* #,##0.0000_-;_-[$B/.-180A]* &quot;-&quot;????_-;_-@_-"/>
    <numFmt numFmtId="166" formatCode="0.0000%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18" fillId="0" borderId="0" xfId="0" applyFont="1"/>
    <xf numFmtId="49" fontId="18" fillId="0" borderId="0" xfId="0" applyNumberFormat="1" applyFont="1"/>
    <xf numFmtId="3" fontId="18" fillId="0" borderId="0" xfId="0" applyNumberFormat="1" applyFont="1"/>
    <xf numFmtId="0" fontId="18" fillId="0" borderId="0" xfId="0" applyFont="1" applyAlignment="1">
      <alignment wrapText="1"/>
    </xf>
    <xf numFmtId="164" fontId="18" fillId="0" borderId="0" xfId="0" applyNumberFormat="1" applyFont="1"/>
    <xf numFmtId="4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43" fontId="19" fillId="33" borderId="0" xfId="42" applyFont="1" applyFill="1"/>
    <xf numFmtId="49" fontId="18" fillId="0" borderId="0" xfId="0" applyNumberFormat="1" applyFont="1" applyFill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6"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6" formatCode="0.0000%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[$B/.-180A]* #,##0.00_-;\-[$B/.-180A]* #,##0.00_-;_-[$B/.-180A]* &quot;-&quot;??_-;_-@_-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[$B/.-180A]* #,##0.00_-;\-[$B/.-180A]* #,##0.00_-;_-[$B/.-180A]* &quot;-&quot;??_-;_-@_-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_-[$B/.-180A]* #,##0.0000_-;\-[$B/.-180A]* #,##0.0000_-;_-[$B/.-180A]* &quot;-&quot;????_-;_-@_-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[$B/.-180A]* #,##0.00_-;\-[$B/.-180A]* #,##0.00_-;_-[$B/.-180A]* &quot;-&quot;??_-;_-@_-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- 2026-05-05T155956.274" backgroundRefresh="0" connectionId="1" xr16:uid="{5A442E0E-BA07-409B-90DC-108A5D60FFCE}" autoFormatId="16" applyNumberFormats="0" applyBorderFormats="0" applyFontFormats="0" applyPatternFormats="0" applyAlignmentFormats="0" applyWidthHeightFormats="0">
  <queryTableRefresh nextId="27">
    <queryTableFields count="24">
      <queryTableField id="23" name="Número de Contrato" tableColumnId="1"/>
      <queryTableField id="19" name="Etiqueta Aliado Estrategico" tableColumnId="2"/>
      <queryTableField id="21" name="Año" tableColumnId="3"/>
      <queryTableField id="3" name="Mes de facturación" tableColumnId="4"/>
      <queryTableField id="1" name="Nombre del colaborador" tableColumnId="5"/>
      <queryTableField id="2" name="Rol Mop" tableColumnId="6"/>
      <queryTableField id="22" name="Tipo de Compra" tableColumnId="7"/>
      <queryTableField id="24" name="Entrega de Valor" tableColumnId="8"/>
      <queryTableField id="4" name="Tarifa" tableColumnId="9"/>
      <queryTableField id="5" name="Desglose de Novedad" tableColumnId="10"/>
      <queryTableField id="16" name="Hora Novedad" tableColumnId="11"/>
      <queryTableField id="17" name="Tarifa Hora" tableColumnId="12"/>
      <queryTableField id="18" name="Monto de la Novedad" tableColumnId="13"/>
      <queryTableField id="15" name="Monto A Facturar" tableColumnId="14"/>
      <queryTableField id="6" name="Comentarios proveedor" tableColumnId="15"/>
      <queryTableField id="20" name="ComentariosCapacidad" tableColumnId="16"/>
      <queryTableField id="7" name="ID Proyecto" tableColumnId="17"/>
      <queryTableField id="8" name="Nombre Proyecto" tableColumnId="18"/>
      <queryTableField id="9" name="Quien lo Paga" tableColumnId="19"/>
      <queryTableField id="10" name="Radicar factura a" tableColumnId="20"/>
      <queryTableField id="14" name="LiderAprobador" tableColumnId="21"/>
      <queryTableField id="11" name="Indicar % trabajo compartido" tableColumnId="22"/>
      <queryTableField id="12" name="Aprobado" tableColumnId="23"/>
      <queryTableField id="13" name="Comentarios Líder" tableColumnId="24"/>
    </queryTableFields>
    <queryTableDeletedFields count="2">
      <deletedField name="Tipo de elemento"/>
      <deletedField name="Ruta de acces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E2F9B9-1E1E-42AA-B156-526AB815F8EC}" name="Tabla_query___2026_05_05T155956.274" displayName="Tabla_query___2026_05_05T155956.274" ref="A1:X7" tableType="queryTable" totalsRowShown="0" headerRowDxfId="25" dataDxfId="24">
  <autoFilter ref="A1:X7" xr:uid="{B1E2F9B9-1E1E-42AA-B156-526AB815F8EC}"/>
  <sortState xmlns:xlrd2="http://schemas.microsoft.com/office/spreadsheetml/2017/richdata2" ref="A2:X7">
    <sortCondition ref="B1:B7"/>
  </sortState>
  <tableColumns count="24">
    <tableColumn id="1" xr3:uid="{370BD720-FDCC-4208-BF5D-381C925D2372}" uniqueName="Aliado_x005f_x0020_Estrategico_x005f_x003a_N0" name="Número de Contrato" queryTableFieldId="23" dataDxfId="23"/>
    <tableColumn id="2" xr3:uid="{3993DEF3-D5E4-4908-9639-E3B37AF499CE}" uniqueName="EtiquetaAliadoEstrategico" name="Etiqueta Aliado Estrategico" queryTableFieldId="19" dataDxfId="22"/>
    <tableColumn id="3" xr3:uid="{C4832E35-9ABB-4D75-AAA7-500182353316}" uniqueName="Anyo" name="Año" queryTableFieldId="21" dataDxfId="21"/>
    <tableColumn id="4" xr3:uid="{568D35F4-6B9D-4480-9C1F-B02057FDE245}" uniqueName="Mes_x005f_x0020_de_x005f_x0020_facturaci_x00" name="Mes de facturación" queryTableFieldId="3" dataDxfId="20"/>
    <tableColumn id="5" xr3:uid="{9AE26CDF-E27E-49CE-8666-6F9E06D397D0}" uniqueName="Nombre_x005f_x0020_del_x005f_x0020_colaborad" name="Nombre del colaborador" queryTableFieldId="1" dataDxfId="19"/>
    <tableColumn id="6" xr3:uid="{F8EE55DF-9173-4CA7-A51D-DD708310970C}" uniqueName="Rol_x005f_x0020_Mop" name="Rol Mop" queryTableFieldId="2" dataDxfId="18"/>
    <tableColumn id="7" xr3:uid="{A8BE752F-8C8E-4308-A3EA-F877DFBD629B}" uniqueName="TipodeCompra" name="Tipo de Compra" queryTableFieldId="22" dataDxfId="17"/>
    <tableColumn id="8" xr3:uid="{D29452F0-F9A0-4993-9F77-D3F9FBA9CD83}" uniqueName="EntregadeValor" name="Entrega de Valor" queryTableFieldId="24" dataDxfId="16"/>
    <tableColumn id="9" xr3:uid="{16C70545-C79C-4C01-9E2F-EF272A613400}" uniqueName="Tarifa_x005f_x0020_" name="Tarifa" queryTableFieldId="4" dataDxfId="15"/>
    <tableColumn id="10" xr3:uid="{42BC6F45-59CB-4F7F-B6AF-3A0191ECFD68}" uniqueName="Desglose_x005f_x0020_de_x005f_x0020_Novedad" name="Desglose de Novedad" queryTableFieldId="5" dataDxfId="14"/>
    <tableColumn id="11" xr3:uid="{3B34F0CA-635A-4F7E-856C-55D183ABA05A}" uniqueName="HoraNovedad" name="Hora Novedad" queryTableFieldId="16" dataDxfId="13"/>
    <tableColumn id="12" xr3:uid="{16BC6D35-43C1-46F3-9548-41F5C2BD296A}" uniqueName="TarifaHora" name="Tarifa Hora" queryTableFieldId="17" dataDxfId="12"/>
    <tableColumn id="13" xr3:uid="{7C4BCF0F-B511-4201-96B1-629D1751F4DD}" uniqueName="MontoTarifaHora" name="Monto de la Novedad" queryTableFieldId="18" dataDxfId="11"/>
    <tableColumn id="14" xr3:uid="{FB42DFB2-B0DD-447B-BA73-10953E880CDD}" uniqueName="MontoAFacturar" name="Monto A Facturar" queryTableFieldId="15" dataDxfId="10"/>
    <tableColumn id="15" xr3:uid="{2E105D73-DF3D-4F42-8D44-29404F876B93}" uniqueName="Comentarios_x005f_x0020_proveedor" name="Comentarios proveedor" queryTableFieldId="6" dataDxfId="9"/>
    <tableColumn id="16" xr3:uid="{66359849-A6B2-4454-9F49-B3BC797796A2}" uniqueName="ComentariosCapacidad" name="ComentariosCapacidad" queryTableFieldId="20" dataDxfId="8"/>
    <tableColumn id="17" xr3:uid="{EBECE59B-DEFF-49E7-9CB1-B0CD52B69FEA}" uniqueName="ID_x005f_x0020_Proyecto" name="ID Proyecto" queryTableFieldId="7" dataDxfId="7"/>
    <tableColumn id="18" xr3:uid="{7D7250B7-E0FA-4D6E-9322-F7A47DD26D2C}" uniqueName="Nombre_x005f_x0020_Proyecto" name="Nombre Proyecto" queryTableFieldId="8" dataDxfId="6"/>
    <tableColumn id="19" xr3:uid="{F0D77620-82C5-4018-BF6F-670028B7B064}" uniqueName="Quien_x005f_x0020_lo_x005f_x0020_Paga" name="Quien lo Paga" queryTableFieldId="9" dataDxfId="3"/>
    <tableColumn id="20" xr3:uid="{91C2E8F2-F507-4123-9339-F9500DBE288E}" uniqueName="Radicar_x005f_x0020_factura_x005f_x0020_a_x0" name="Radicar factura a" queryTableFieldId="10" dataDxfId="2"/>
    <tableColumn id="21" xr3:uid="{E23EB832-6722-4EFB-9CC4-F1EA809E8122}" uniqueName="LiderAprobador" name="LiderAprobador" queryTableFieldId="14" dataDxfId="0"/>
    <tableColumn id="22" xr3:uid="{3962A066-72D4-45EA-8FD0-28EA1E1EE10C}" uniqueName="Indicar_x005f_x0020__x005f_x0025__x005f_x0020_trab" name="Indicar % trabajo compartido" queryTableFieldId="11" dataDxfId="1"/>
    <tableColumn id="23" xr3:uid="{4D1B17AD-375D-45F3-874D-7F47E25A9515}" uniqueName="Aprobado" name="Aprobado" queryTableFieldId="12" dataDxfId="5"/>
    <tableColumn id="24" xr3:uid="{F5B0D430-9461-47D9-832C-2C4D59EF1751}" uniqueName="Comentarios_x005f_x0020_L_x005f_x00ed_der_x0" name="Comentarios Líder" queryTableFieldId="13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8A3D-173A-453C-BD63-B9185F7363DD}">
  <dimension ref="A1:X9"/>
  <sheetViews>
    <sheetView showGridLines="0" tabSelected="1" topLeftCell="D1" workbookViewId="0">
      <pane ySplit="1" topLeftCell="A2" activePane="bottomLeft" state="frozen"/>
      <selection pane="bottomLeft" activeCell="I6" sqref="I6"/>
    </sheetView>
  </sheetViews>
  <sheetFormatPr baseColWidth="10" defaultColWidth="10.85546875" defaultRowHeight="12.95" customHeight="1" x14ac:dyDescent="0.25"/>
  <cols>
    <col min="1" max="1" width="20.42578125" style="1" bestFit="1" customWidth="1"/>
    <col min="2" max="2" width="60" style="1" bestFit="1" customWidth="1"/>
    <col min="3" max="3" width="6.28515625" style="1" bestFit="1" customWidth="1"/>
    <col min="4" max="4" width="19" style="1" bestFit="1" customWidth="1"/>
    <col min="5" max="5" width="34.5703125" style="1" bestFit="1" customWidth="1"/>
    <col min="6" max="6" width="37" style="1" bestFit="1" customWidth="1"/>
    <col min="7" max="7" width="16.140625" style="1" bestFit="1" customWidth="1"/>
    <col min="8" max="8" width="28.5703125" style="1" customWidth="1"/>
    <col min="9" max="9" width="12.42578125" style="1" bestFit="1" customWidth="1"/>
    <col min="10" max="10" width="20.85546875" style="1" bestFit="1" customWidth="1"/>
    <col min="11" max="11" width="14.7109375" style="1" bestFit="1" customWidth="1"/>
    <col min="12" max="12" width="13.42578125" style="1" bestFit="1" customWidth="1"/>
    <col min="13" max="13" width="20.42578125" style="1" bestFit="1" customWidth="1"/>
    <col min="14" max="14" width="17.140625" style="1" bestFit="1" customWidth="1"/>
    <col min="15" max="15" width="20" style="1" customWidth="1"/>
    <col min="16" max="16" width="17.85546875" style="1" customWidth="1"/>
    <col min="17" max="17" width="12.5703125" style="1" bestFit="1" customWidth="1"/>
    <col min="18" max="18" width="53.42578125" style="1" bestFit="1" customWidth="1"/>
    <col min="19" max="19" width="16.5703125" style="1" bestFit="1" customWidth="1"/>
    <col min="20" max="21" width="31.28515625" style="1" bestFit="1" customWidth="1"/>
    <col min="22" max="22" width="27.42578125" style="1" bestFit="1" customWidth="1"/>
    <col min="23" max="23" width="11.140625" style="1" bestFit="1" customWidth="1"/>
    <col min="24" max="24" width="80.7109375" style="1" bestFit="1" customWidth="1"/>
    <col min="25" max="16384" width="10.85546875" style="1"/>
  </cols>
  <sheetData>
    <row r="1" spans="1:24" ht="12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2.95" customHeight="1" x14ac:dyDescent="0.25">
      <c r="A2" s="2" t="s">
        <v>24</v>
      </c>
      <c r="B2" s="2" t="s">
        <v>25</v>
      </c>
      <c r="C2" s="3">
        <v>2026</v>
      </c>
      <c r="D2" s="2" t="s">
        <v>26</v>
      </c>
      <c r="E2" s="2" t="s">
        <v>57</v>
      </c>
      <c r="F2" s="2" t="s">
        <v>27</v>
      </c>
      <c r="G2" s="2" t="s">
        <v>28</v>
      </c>
      <c r="H2" s="4" t="s">
        <v>29</v>
      </c>
      <c r="I2" s="5">
        <v>1500</v>
      </c>
      <c r="J2" s="2" t="s">
        <v>30</v>
      </c>
      <c r="K2" s="6">
        <v>-12</v>
      </c>
      <c r="L2" s="7">
        <v>20.602799999999998</v>
      </c>
      <c r="M2" s="5">
        <f>Tabla_query___2026_05_05T155956.274[[#This Row],[Tarifa Hora]]*Tabla_query___2026_05_05T155956.274[[#This Row],[Hora Novedad]]</f>
        <v>-247.23359999999997</v>
      </c>
      <c r="N2" s="5">
        <f>Tabla_query___2026_05_05T155956.274[[#This Row],[Tarifa]]+Tabla_query___2026_05_05T155956.274[[#This Row],[Monto de la Novedad]]</f>
        <v>1252.7664</v>
      </c>
      <c r="O2" s="4" t="s">
        <v>31</v>
      </c>
      <c r="P2" s="4"/>
      <c r="Q2" s="2" t="s">
        <v>32</v>
      </c>
      <c r="R2" s="2" t="s">
        <v>33</v>
      </c>
      <c r="S2" s="2" t="s">
        <v>34</v>
      </c>
      <c r="T2" s="10" t="s">
        <v>59</v>
      </c>
      <c r="U2" s="10" t="s">
        <v>59</v>
      </c>
      <c r="V2" s="8">
        <v>1</v>
      </c>
      <c r="W2" s="2" t="s">
        <v>22</v>
      </c>
      <c r="X2" s="4" t="s">
        <v>35</v>
      </c>
    </row>
    <row r="3" spans="1:24" ht="12.95" customHeight="1" x14ac:dyDescent="0.25">
      <c r="A3" s="2" t="s">
        <v>24</v>
      </c>
      <c r="B3" s="2" t="s">
        <v>25</v>
      </c>
      <c r="C3" s="3">
        <v>2026</v>
      </c>
      <c r="D3" s="2" t="s">
        <v>26</v>
      </c>
      <c r="E3" s="2" t="s">
        <v>56</v>
      </c>
      <c r="F3" s="2" t="s">
        <v>36</v>
      </c>
      <c r="G3" s="2" t="s">
        <v>28</v>
      </c>
      <c r="H3" s="4" t="s">
        <v>37</v>
      </c>
      <c r="I3" s="5">
        <v>1450.27</v>
      </c>
      <c r="J3" s="2" t="s">
        <v>30</v>
      </c>
      <c r="K3" s="6">
        <v>-36</v>
      </c>
      <c r="L3" s="7">
        <v>18.602799999999998</v>
      </c>
      <c r="M3" s="5">
        <f>Tabla_query___2026_05_05T155956.274[[#This Row],[Tarifa Hora]]*Tabla_query___2026_05_05T155956.274[[#This Row],[Hora Novedad]]</f>
        <v>-669.70079999999996</v>
      </c>
      <c r="N3" s="5">
        <f>Tabla_query___2026_05_05T155956.274[[#This Row],[Tarifa]]+Tabla_query___2026_05_05T155956.274[[#This Row],[Monto de la Novedad]]</f>
        <v>780.56920000000002</v>
      </c>
      <c r="O3" s="4" t="s">
        <v>38</v>
      </c>
      <c r="P3" s="4"/>
      <c r="Q3" s="2" t="s">
        <v>39</v>
      </c>
      <c r="R3" s="2" t="s">
        <v>40</v>
      </c>
      <c r="S3" s="2" t="s">
        <v>34</v>
      </c>
      <c r="T3" s="10" t="s">
        <v>60</v>
      </c>
      <c r="U3" s="10" t="s">
        <v>60</v>
      </c>
      <c r="V3" s="8">
        <v>1</v>
      </c>
      <c r="W3" s="2" t="s">
        <v>22</v>
      </c>
      <c r="X3" s="4" t="s">
        <v>41</v>
      </c>
    </row>
    <row r="4" spans="1:24" ht="12.95" customHeight="1" x14ac:dyDescent="0.25">
      <c r="A4" s="2" t="s">
        <v>24</v>
      </c>
      <c r="B4" s="2" t="s">
        <v>25</v>
      </c>
      <c r="C4" s="3">
        <v>2026</v>
      </c>
      <c r="D4" s="2" t="s">
        <v>26</v>
      </c>
      <c r="E4" s="2" t="s">
        <v>53</v>
      </c>
      <c r="F4" s="2" t="s">
        <v>42</v>
      </c>
      <c r="G4" s="2" t="s">
        <v>28</v>
      </c>
      <c r="H4" s="4" t="s">
        <v>37</v>
      </c>
      <c r="I4" s="5">
        <v>1200</v>
      </c>
      <c r="J4" s="2" t="s">
        <v>30</v>
      </c>
      <c r="K4" s="6">
        <v>-24</v>
      </c>
      <c r="L4" s="7">
        <v>15.075238000000001</v>
      </c>
      <c r="M4" s="5">
        <f>Tabla_query___2026_05_05T155956.274[[#This Row],[Tarifa Hora]]*Tabla_query___2026_05_05T155956.274[[#This Row],[Hora Novedad]]</f>
        <v>-361.80571200000003</v>
      </c>
      <c r="N4" s="5">
        <f>Tabla_query___2026_05_05T155956.274[[#This Row],[Tarifa]]+Tabla_query___2026_05_05T155956.274[[#This Row],[Monto de la Novedad]]</f>
        <v>838.19428799999991</v>
      </c>
      <c r="O4" s="4" t="s">
        <v>38</v>
      </c>
      <c r="P4" s="4"/>
      <c r="Q4" s="2" t="s">
        <v>39</v>
      </c>
      <c r="R4" s="2" t="s">
        <v>40</v>
      </c>
      <c r="S4" s="2" t="s">
        <v>34</v>
      </c>
      <c r="T4" s="10" t="s">
        <v>61</v>
      </c>
      <c r="U4" s="10" t="s">
        <v>61</v>
      </c>
      <c r="V4" s="8">
        <v>1</v>
      </c>
      <c r="W4" s="2" t="s">
        <v>22</v>
      </c>
      <c r="X4" s="4" t="s">
        <v>41</v>
      </c>
    </row>
    <row r="5" spans="1:24" ht="12.95" customHeight="1" x14ac:dyDescent="0.25">
      <c r="A5" s="2" t="s">
        <v>24</v>
      </c>
      <c r="B5" s="2" t="s">
        <v>25</v>
      </c>
      <c r="C5" s="3">
        <v>2026</v>
      </c>
      <c r="D5" s="2" t="s">
        <v>26</v>
      </c>
      <c r="E5" s="2" t="s">
        <v>54</v>
      </c>
      <c r="F5" s="2" t="s">
        <v>42</v>
      </c>
      <c r="G5" s="2" t="s">
        <v>28</v>
      </c>
      <c r="H5" s="4" t="s">
        <v>37</v>
      </c>
      <c r="I5" s="5">
        <v>1200</v>
      </c>
      <c r="J5" s="2" t="s">
        <v>30</v>
      </c>
      <c r="K5" s="6">
        <v>-36</v>
      </c>
      <c r="L5" s="7">
        <v>15.075238000000001</v>
      </c>
      <c r="M5" s="5">
        <f>Tabla_query___2026_05_05T155956.274[[#This Row],[Tarifa Hora]]*Tabla_query___2026_05_05T155956.274[[#This Row],[Hora Novedad]]</f>
        <v>-542.70856800000001</v>
      </c>
      <c r="N5" s="5">
        <f>Tabla_query___2026_05_05T155956.274[[#This Row],[Tarifa]]+Tabla_query___2026_05_05T155956.274[[#This Row],[Monto de la Novedad]]</f>
        <v>657.29143199999999</v>
      </c>
      <c r="O5" s="4" t="s">
        <v>38</v>
      </c>
      <c r="P5" s="4"/>
      <c r="Q5" s="2" t="s">
        <v>39</v>
      </c>
      <c r="R5" s="2" t="s">
        <v>40</v>
      </c>
      <c r="S5" s="2" t="s">
        <v>34</v>
      </c>
      <c r="T5" s="10" t="s">
        <v>61</v>
      </c>
      <c r="U5" s="10" t="s">
        <v>61</v>
      </c>
      <c r="V5" s="8">
        <v>1</v>
      </c>
      <c r="W5" s="2" t="s">
        <v>22</v>
      </c>
      <c r="X5" s="4" t="s">
        <v>41</v>
      </c>
    </row>
    <row r="6" spans="1:24" ht="12.95" customHeight="1" x14ac:dyDescent="0.25">
      <c r="A6" s="2" t="s">
        <v>24</v>
      </c>
      <c r="B6" s="2" t="s">
        <v>25</v>
      </c>
      <c r="C6" s="3">
        <v>2026</v>
      </c>
      <c r="D6" s="2" t="s">
        <v>26</v>
      </c>
      <c r="E6" s="2" t="s">
        <v>55</v>
      </c>
      <c r="F6" s="2" t="s">
        <v>42</v>
      </c>
      <c r="G6" s="2" t="s">
        <v>28</v>
      </c>
      <c r="H6" s="4" t="s">
        <v>43</v>
      </c>
      <c r="I6" s="5">
        <v>1200</v>
      </c>
      <c r="J6" s="2" t="s">
        <v>30</v>
      </c>
      <c r="K6" s="6"/>
      <c r="L6" s="7"/>
      <c r="M6" s="5">
        <f>Tabla_query___2026_05_05T155956.274[[#This Row],[Tarifa Hora]]*Tabla_query___2026_05_05T155956.274[[#This Row],[Hora Novedad]]</f>
        <v>0</v>
      </c>
      <c r="N6" s="5">
        <f>Tabla_query___2026_05_05T155956.274[[#This Row],[Tarifa]]+Tabla_query___2026_05_05T155956.274[[#This Row],[Monto de la Novedad]]</f>
        <v>1200</v>
      </c>
      <c r="O6" s="4" t="s">
        <v>44</v>
      </c>
      <c r="P6" s="4" t="s">
        <v>45</v>
      </c>
      <c r="Q6" s="2" t="s">
        <v>46</v>
      </c>
      <c r="R6" s="2" t="s">
        <v>47</v>
      </c>
      <c r="S6" s="2" t="s">
        <v>34</v>
      </c>
      <c r="T6" s="10" t="s">
        <v>61</v>
      </c>
      <c r="U6" s="10" t="s">
        <v>61</v>
      </c>
      <c r="V6" s="8">
        <v>0.5</v>
      </c>
      <c r="W6" s="2" t="s">
        <v>22</v>
      </c>
      <c r="X6" s="4" t="s">
        <v>41</v>
      </c>
    </row>
    <row r="7" spans="1:24" ht="12.95" customHeight="1" x14ac:dyDescent="0.25">
      <c r="A7" s="2" t="s">
        <v>24</v>
      </c>
      <c r="B7" s="2" t="s">
        <v>25</v>
      </c>
      <c r="C7" s="3">
        <v>2026</v>
      </c>
      <c r="D7" s="2" t="s">
        <v>26</v>
      </c>
      <c r="E7" s="2" t="s">
        <v>58</v>
      </c>
      <c r="F7" s="2" t="s">
        <v>48</v>
      </c>
      <c r="G7" s="2"/>
      <c r="H7" s="4"/>
      <c r="I7" s="5">
        <v>1450.27</v>
      </c>
      <c r="J7" s="2" t="s">
        <v>30</v>
      </c>
      <c r="K7" s="6">
        <v>-24</v>
      </c>
      <c r="L7" s="7">
        <v>18.602799999999998</v>
      </c>
      <c r="M7" s="5">
        <f>Tabla_query___2026_05_05T155956.274[[#This Row],[Tarifa Hora]]*Tabla_query___2026_05_05T155956.274[[#This Row],[Hora Novedad]]</f>
        <v>-446.46719999999993</v>
      </c>
      <c r="N7" s="5">
        <f>Tabla_query___2026_05_05T155956.274[[#This Row],[Tarifa]]+Tabla_query___2026_05_05T155956.274[[#This Row],[Monto de la Novedad]]</f>
        <v>1003.8028</v>
      </c>
      <c r="O7" s="4" t="s">
        <v>49</v>
      </c>
      <c r="P7" s="4"/>
      <c r="Q7" s="2" t="s">
        <v>50</v>
      </c>
      <c r="R7" s="2" t="s">
        <v>51</v>
      </c>
      <c r="S7" s="2" t="s">
        <v>34</v>
      </c>
      <c r="T7" s="10" t="s">
        <v>60</v>
      </c>
      <c r="U7" s="10" t="s">
        <v>60</v>
      </c>
      <c r="V7" s="8">
        <v>1</v>
      </c>
      <c r="W7" s="2" t="s">
        <v>22</v>
      </c>
      <c r="X7" s="4" t="s">
        <v>52</v>
      </c>
    </row>
    <row r="9" spans="1:24" ht="12.95" customHeight="1" x14ac:dyDescent="0.25">
      <c r="N9" s="9">
        <f>SUBTOTAL(9,Tabla_query___2026_05_05T155956.274[Monto A Facturar])</f>
        <v>5732.6241200000004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Antonio Flores De Gracia</dc:creator>
  <cp:keywords/>
  <dc:description/>
  <cp:lastModifiedBy>Luisa Fernanda  Granada Ramírez</cp:lastModifiedBy>
  <cp:revision/>
  <dcterms:created xsi:type="dcterms:W3CDTF">2026-05-05T21:02:07Z</dcterms:created>
  <dcterms:modified xsi:type="dcterms:W3CDTF">2026-06-04T16:51:06Z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8a6d1c-b618-49e6-9840-c0959a7c2503_Enabled">
    <vt:lpwstr>true</vt:lpwstr>
  </property>
  <property fmtid="{D5CDD505-2E9C-101B-9397-08002B2CF9AE}" pid="3" name="MSIP_Label_7b8a6d1c-b618-49e6-9840-c0959a7c2503_SetDate">
    <vt:lpwstr>2026-05-05T21:02:07Z</vt:lpwstr>
  </property>
  <property fmtid="{D5CDD505-2E9C-101B-9397-08002B2CF9AE}" pid="4" name="MSIP_Label_7b8a6d1c-b618-49e6-9840-c0959a7c2503_Method">
    <vt:lpwstr>Privileged</vt:lpwstr>
  </property>
  <property fmtid="{D5CDD505-2E9C-101B-9397-08002B2CF9AE}" pid="5" name="MSIP_Label_7b8a6d1c-b618-49e6-9840-c0959a7c2503_Name">
    <vt:lpwstr>Banistmo Clasificación - Interna</vt:lpwstr>
  </property>
  <property fmtid="{D5CDD505-2E9C-101B-9397-08002B2CF9AE}" pid="6" name="MSIP_Label_7b8a6d1c-b618-49e6-9840-c0959a7c2503_SiteId">
    <vt:lpwstr>b5e244bd-c492-495b-8b10-61bfd453e423</vt:lpwstr>
  </property>
  <property fmtid="{D5CDD505-2E9C-101B-9397-08002B2CF9AE}" pid="7" name="MSIP_Label_7b8a6d1c-b618-49e6-9840-c0959a7c2503_ActionId">
    <vt:lpwstr>da196c59-3ebf-4bc6-b965-251cd6c24786</vt:lpwstr>
  </property>
  <property fmtid="{D5CDD505-2E9C-101B-9397-08002B2CF9AE}" pid="8" name="MSIP_Label_7b8a6d1c-b618-49e6-9840-c0959a7c2503_ContentBits">
    <vt:lpwstr>0</vt:lpwstr>
  </property>
  <property fmtid="{D5CDD505-2E9C-101B-9397-08002B2CF9AE}" pid="9" name="MSIP_Label_7b8a6d1c-b618-49e6-9840-c0959a7c2503_Tag">
    <vt:lpwstr>10, 0, 1, 1</vt:lpwstr>
  </property>
</Properties>
</file>